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R:\RT Department Pricing from MPM\RT Quotes\"/>
    </mc:Choice>
  </mc:AlternateContent>
  <xr:revisionPtr revIDLastSave="0" documentId="8_{9460878E-33E2-4D06-B35E-5A5586A76022}" xr6:coauthVersionLast="47" xr6:coauthVersionMax="47" xr10:uidLastSave="{00000000-0000-0000-0000-000000000000}"/>
  <bookViews>
    <workbookView xWindow="-120" yWindow="-120" windowWidth="51840" windowHeight="21240" xr2:uid="{325F4229-6B22-4EAC-A66F-61498E844E3C}"/>
  </bookViews>
  <sheets>
    <sheet name="RT Costing Worksheet" sheetId="21" r:id="rId1"/>
    <sheet name="Sheet1" sheetId="22" r:id="rId2"/>
  </sheets>
  <definedNames>
    <definedName name="_5x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1" l="1"/>
  <c r="F6" i="21"/>
  <c r="F4" i="21"/>
  <c r="G23" i="21" s="1"/>
  <c r="E9" i="21"/>
  <c r="F9" i="21" s="1"/>
  <c r="G28" i="21" s="1"/>
  <c r="E4" i="21"/>
  <c r="H5" i="21"/>
  <c r="I5" i="21" s="1"/>
  <c r="G30" i="21" s="1"/>
  <c r="E7" i="21"/>
  <c r="F7" i="21" s="1"/>
  <c r="DU41" i="21"/>
  <c r="DV41" i="21"/>
  <c r="DX41" i="21" s="1"/>
  <c r="DZ41" i="21"/>
  <c r="EH41" i="21" s="1"/>
  <c r="EF41" i="21"/>
  <c r="EN41" i="21"/>
  <c r="EV41" i="21"/>
  <c r="FB41" i="21"/>
  <c r="FD41" i="21"/>
  <c r="FJ41" i="21"/>
  <c r="FL41" i="21"/>
  <c r="FR41" i="21"/>
  <c r="FT41" i="21"/>
  <c r="FZ41" i="21"/>
  <c r="GB41" i="21"/>
  <c r="GH41" i="21"/>
  <c r="GJ41" i="21"/>
  <c r="DU42" i="21"/>
  <c r="EC42" i="21" s="1"/>
  <c r="EE42" i="21" s="1"/>
  <c r="DV42" i="21"/>
  <c r="DX42" i="21" s="1"/>
  <c r="DZ42" i="21"/>
  <c r="EF42" i="21"/>
  <c r="EG42" i="21" s="1"/>
  <c r="EK42" i="21"/>
  <c r="EN42" i="21"/>
  <c r="EV42" i="21"/>
  <c r="FB42" i="21"/>
  <c r="FD42" i="21"/>
  <c r="FJ42" i="21"/>
  <c r="FL42" i="21"/>
  <c r="FR42" i="21"/>
  <c r="FT42" i="21"/>
  <c r="FZ42" i="21"/>
  <c r="GB42" i="21"/>
  <c r="GH42" i="21"/>
  <c r="GJ42" i="21"/>
  <c r="DQ43" i="21"/>
  <c r="DR43" i="21" s="1"/>
  <c r="DU43" i="21"/>
  <c r="DV43" i="21"/>
  <c r="DX43" i="21" s="1"/>
  <c r="DZ43" i="21"/>
  <c r="EA43" i="21" s="1"/>
  <c r="EF43" i="21"/>
  <c r="EN43" i="21"/>
  <c r="EQ43" i="21"/>
  <c r="EV43" i="21"/>
  <c r="EY43" i="21"/>
  <c r="FB43" i="21"/>
  <c r="FD43" i="21"/>
  <c r="FG43" i="21"/>
  <c r="FJ43" i="21"/>
  <c r="FL43" i="21"/>
  <c r="FO43" i="21"/>
  <c r="FR43" i="21"/>
  <c r="FT43" i="21"/>
  <c r="FW43" i="21"/>
  <c r="FZ43" i="21"/>
  <c r="GB43" i="21"/>
  <c r="GE43" i="21"/>
  <c r="GH43" i="21"/>
  <c r="GJ43" i="21"/>
  <c r="GM43" i="21"/>
  <c r="DQ44" i="21"/>
  <c r="DR44" i="21" s="1"/>
  <c r="DU44" i="21"/>
  <c r="EC44" i="21" s="1"/>
  <c r="EE44" i="21" s="1"/>
  <c r="DV44" i="21"/>
  <c r="DX44" i="21" s="1"/>
  <c r="DZ44" i="21"/>
  <c r="EF44" i="21"/>
  <c r="EN44" i="21"/>
  <c r="EQ44" i="21"/>
  <c r="EV44" i="21"/>
  <c r="EY44" i="21"/>
  <c r="FB44" i="21"/>
  <c r="FD44" i="21"/>
  <c r="FG44" i="21"/>
  <c r="FJ44" i="21"/>
  <c r="FL44" i="21"/>
  <c r="FO44" i="21"/>
  <c r="FR44" i="21"/>
  <c r="FT44" i="21"/>
  <c r="FW44" i="21"/>
  <c r="FZ44" i="21"/>
  <c r="GB44" i="21"/>
  <c r="GE44" i="21"/>
  <c r="GH44" i="21"/>
  <c r="GJ44" i="21"/>
  <c r="GM44" i="21"/>
  <c r="DQ45" i="21"/>
  <c r="DR45" i="21" s="1"/>
  <c r="DU45" i="21"/>
  <c r="EC45" i="21" s="1"/>
  <c r="DV45" i="21"/>
  <c r="DX45" i="21" s="1"/>
  <c r="DZ45" i="21"/>
  <c r="EA45" i="21" s="1"/>
  <c r="EF45" i="21"/>
  <c r="EN45" i="21"/>
  <c r="EQ45" i="21"/>
  <c r="EV45" i="21"/>
  <c r="EY45" i="21"/>
  <c r="FB45" i="21"/>
  <c r="FD45" i="21"/>
  <c r="FG45" i="21"/>
  <c r="FJ45" i="21"/>
  <c r="FL45" i="21"/>
  <c r="FO45" i="21"/>
  <c r="FR45" i="21"/>
  <c r="FT45" i="21"/>
  <c r="FW45" i="21"/>
  <c r="FZ45" i="21"/>
  <c r="GB45" i="21"/>
  <c r="GE45" i="21"/>
  <c r="GH45" i="21"/>
  <c r="GJ45" i="21"/>
  <c r="GM45" i="21"/>
  <c r="DQ46" i="21"/>
  <c r="DR46" i="21" s="1"/>
  <c r="DU46" i="21"/>
  <c r="DW46" i="21" s="1"/>
  <c r="DV46" i="21"/>
  <c r="DX46" i="21" s="1"/>
  <c r="DZ46" i="21"/>
  <c r="EH46" i="21" s="1"/>
  <c r="EI46" i="21" s="1"/>
  <c r="EC46" i="21"/>
  <c r="EK46" i="21" s="1"/>
  <c r="EF46" i="21"/>
  <c r="EN46" i="21"/>
  <c r="EP46" i="21"/>
  <c r="EX46" i="21" s="1"/>
  <c r="EQ46" i="21"/>
  <c r="EV46" i="21"/>
  <c r="EY46" i="21"/>
  <c r="FB46" i="21"/>
  <c r="FD46" i="21"/>
  <c r="FG46" i="21"/>
  <c r="FJ46" i="21"/>
  <c r="FL46" i="21"/>
  <c r="FO46" i="21"/>
  <c r="FR46" i="21"/>
  <c r="FT46" i="21"/>
  <c r="FW46" i="21"/>
  <c r="FZ46" i="21"/>
  <c r="GB46" i="21"/>
  <c r="GE46" i="21"/>
  <c r="GH46" i="21"/>
  <c r="GJ46" i="21"/>
  <c r="GM46" i="21"/>
  <c r="DQ47" i="21"/>
  <c r="DR47" i="21" s="1"/>
  <c r="DU47" i="21"/>
  <c r="EC47" i="21" s="1"/>
  <c r="EE47" i="21" s="1"/>
  <c r="EG47" i="21" s="1"/>
  <c r="DV47" i="21"/>
  <c r="DX47" i="21" s="1"/>
  <c r="DZ47" i="21"/>
  <c r="EA47" i="21" s="1"/>
  <c r="EF47" i="21"/>
  <c r="EN47" i="21"/>
  <c r="EQ47" i="21"/>
  <c r="EV47" i="21"/>
  <c r="EY47" i="21"/>
  <c r="FB47" i="21"/>
  <c r="FD47" i="21"/>
  <c r="FG47" i="21"/>
  <c r="FJ47" i="21"/>
  <c r="FL47" i="21"/>
  <c r="FO47" i="21"/>
  <c r="FR47" i="21"/>
  <c r="FT47" i="21"/>
  <c r="FW47" i="21"/>
  <c r="FZ47" i="21"/>
  <c r="GB47" i="21"/>
  <c r="GE47" i="21"/>
  <c r="GH47" i="21"/>
  <c r="GJ47" i="21"/>
  <c r="GM47" i="21"/>
  <c r="DQ48" i="21"/>
  <c r="DR48" i="21" s="1"/>
  <c r="DU48" i="21"/>
  <c r="DV48" i="21"/>
  <c r="DX48" i="21" s="1"/>
  <c r="DZ48" i="21"/>
  <c r="EA48" i="21"/>
  <c r="EF48" i="21"/>
  <c r="EH48" i="21"/>
  <c r="EP48" i="21" s="1"/>
  <c r="EN48" i="21"/>
  <c r="EQ48" i="21"/>
  <c r="EV48" i="21"/>
  <c r="EY48" i="21"/>
  <c r="FB48" i="21"/>
  <c r="FD48" i="21"/>
  <c r="FG48" i="21"/>
  <c r="FJ48" i="21"/>
  <c r="FL48" i="21"/>
  <c r="FO48" i="21"/>
  <c r="FR48" i="21"/>
  <c r="FT48" i="21"/>
  <c r="FW48" i="21"/>
  <c r="FZ48" i="21"/>
  <c r="GB48" i="21"/>
  <c r="GE48" i="21"/>
  <c r="GH48" i="21"/>
  <c r="GJ48" i="21"/>
  <c r="GM48" i="21"/>
  <c r="DQ49" i="21"/>
  <c r="DR49" i="21" s="1"/>
  <c r="DU49" i="21"/>
  <c r="DV49" i="21"/>
  <c r="DX49" i="21" s="1"/>
  <c r="DZ49" i="21"/>
  <c r="EH49" i="21" s="1"/>
  <c r="EF49" i="21"/>
  <c r="EN49" i="21"/>
  <c r="EQ49" i="21"/>
  <c r="EV49" i="21"/>
  <c r="EY49" i="21"/>
  <c r="FB49" i="21"/>
  <c r="FD49" i="21"/>
  <c r="FG49" i="21"/>
  <c r="FJ49" i="21"/>
  <c r="FL49" i="21"/>
  <c r="FO49" i="21"/>
  <c r="FR49" i="21"/>
  <c r="FT49" i="21"/>
  <c r="FW49" i="21"/>
  <c r="FZ49" i="21"/>
  <c r="GB49" i="21"/>
  <c r="GE49" i="21"/>
  <c r="GH49" i="21"/>
  <c r="GJ49" i="21"/>
  <c r="GM49" i="21"/>
  <c r="DQ50" i="21"/>
  <c r="DR50" i="21" s="1"/>
  <c r="DU50" i="21"/>
  <c r="EC50" i="21" s="1"/>
  <c r="EE50" i="21" s="1"/>
  <c r="DV50" i="21"/>
  <c r="DX50" i="21" s="1"/>
  <c r="DZ50" i="21"/>
  <c r="EA50" i="21" s="1"/>
  <c r="EF50" i="21"/>
  <c r="EN50" i="21"/>
  <c r="EQ50" i="21"/>
  <c r="EV50" i="21"/>
  <c r="EY50" i="21"/>
  <c r="FB50" i="21"/>
  <c r="FD50" i="21"/>
  <c r="FG50" i="21"/>
  <c r="FJ50" i="21"/>
  <c r="FL50" i="21"/>
  <c r="FO50" i="21"/>
  <c r="FR50" i="21"/>
  <c r="FT50" i="21"/>
  <c r="FW50" i="21"/>
  <c r="FZ50" i="21"/>
  <c r="GB50" i="21"/>
  <c r="GE50" i="21"/>
  <c r="GH50" i="21"/>
  <c r="GJ50" i="21"/>
  <c r="GM50" i="21"/>
  <c r="DQ51" i="21"/>
  <c r="DR51" i="21" s="1"/>
  <c r="DU51" i="21"/>
  <c r="EC51" i="21" s="1"/>
  <c r="EE51" i="21" s="1"/>
  <c r="DV51" i="21"/>
  <c r="DX51" i="21"/>
  <c r="DZ51" i="21"/>
  <c r="EF51" i="21"/>
  <c r="EN51" i="21"/>
  <c r="EQ51" i="21"/>
  <c r="EV51" i="21"/>
  <c r="EY51" i="21"/>
  <c r="FB51" i="21"/>
  <c r="FD51" i="21"/>
  <c r="FG51" i="21"/>
  <c r="FJ51" i="21"/>
  <c r="FL51" i="21"/>
  <c r="FO51" i="21"/>
  <c r="FR51" i="21"/>
  <c r="FT51" i="21"/>
  <c r="FW51" i="21"/>
  <c r="FZ51" i="21"/>
  <c r="GB51" i="21"/>
  <c r="GE51" i="21"/>
  <c r="GH51" i="21"/>
  <c r="GJ51" i="21"/>
  <c r="GM51" i="21"/>
  <c r="DQ52" i="21"/>
  <c r="DR52" i="21" s="1"/>
  <c r="DU52" i="21"/>
  <c r="EC52" i="21" s="1"/>
  <c r="EE52" i="21" s="1"/>
  <c r="DV52" i="21"/>
  <c r="DX52" i="21" s="1"/>
  <c r="DZ52" i="21"/>
  <c r="EH52" i="21" s="1"/>
  <c r="EF52" i="21"/>
  <c r="EN52" i="21"/>
  <c r="EQ52" i="21"/>
  <c r="EV52" i="21"/>
  <c r="EY52" i="21"/>
  <c r="FB52" i="21"/>
  <c r="FD52" i="21"/>
  <c r="FG52" i="21"/>
  <c r="FJ52" i="21"/>
  <c r="FL52" i="21"/>
  <c r="FO52" i="21"/>
  <c r="FR52" i="21"/>
  <c r="FT52" i="21"/>
  <c r="FW52" i="21"/>
  <c r="FZ52" i="21"/>
  <c r="GB52" i="21"/>
  <c r="GE52" i="21"/>
  <c r="GH52" i="21"/>
  <c r="GJ52" i="21"/>
  <c r="GM52" i="21"/>
  <c r="DQ53" i="21"/>
  <c r="DR53" i="21" s="1"/>
  <c r="DU53" i="21"/>
  <c r="DV53" i="21"/>
  <c r="DX53" i="21" s="1"/>
  <c r="DZ53" i="21"/>
  <c r="EA53" i="21" s="1"/>
  <c r="EC53" i="21"/>
  <c r="EE53" i="21" s="1"/>
  <c r="EF53" i="21"/>
  <c r="EH53" i="21"/>
  <c r="EN53" i="21"/>
  <c r="EQ53" i="21"/>
  <c r="EV53" i="21"/>
  <c r="EY53" i="21"/>
  <c r="FB53" i="21"/>
  <c r="FD53" i="21"/>
  <c r="FG53" i="21"/>
  <c r="FJ53" i="21"/>
  <c r="FL53" i="21"/>
  <c r="FO53" i="21"/>
  <c r="FR53" i="21"/>
  <c r="FT53" i="21"/>
  <c r="FW53" i="21"/>
  <c r="FZ53" i="21"/>
  <c r="GB53" i="21"/>
  <c r="GE53" i="21"/>
  <c r="GH53" i="21"/>
  <c r="GJ53" i="21"/>
  <c r="GM53" i="21"/>
  <c r="DG43" i="21"/>
  <c r="DH43" i="21"/>
  <c r="DI43" i="21"/>
  <c r="DJ43" i="21"/>
  <c r="DG44" i="21"/>
  <c r="DH44" i="21"/>
  <c r="DI44" i="21"/>
  <c r="DJ44" i="21"/>
  <c r="DG45" i="21"/>
  <c r="DH45" i="21"/>
  <c r="DI45" i="21"/>
  <c r="DJ45" i="21"/>
  <c r="DG46" i="21"/>
  <c r="DH46" i="21"/>
  <c r="DI46" i="21"/>
  <c r="DJ46" i="21"/>
  <c r="DG47" i="21"/>
  <c r="DH47" i="21"/>
  <c r="DI47" i="21"/>
  <c r="DJ47" i="21"/>
  <c r="DG48" i="21"/>
  <c r="DH48" i="21"/>
  <c r="DI48" i="21"/>
  <c r="DJ48" i="21"/>
  <c r="DG49" i="21"/>
  <c r="DH49" i="21"/>
  <c r="DI49" i="21"/>
  <c r="DJ49" i="21"/>
  <c r="DG50" i="21"/>
  <c r="DH50" i="21"/>
  <c r="DI50" i="21"/>
  <c r="DJ50" i="21"/>
  <c r="DG51" i="21"/>
  <c r="DH51" i="21"/>
  <c r="DI51" i="21"/>
  <c r="DJ51" i="21"/>
  <c r="DG52" i="21"/>
  <c r="DH52" i="21"/>
  <c r="DI52" i="21"/>
  <c r="DJ52" i="21"/>
  <c r="DG53" i="21"/>
  <c r="DH53" i="21"/>
  <c r="DI53" i="21"/>
  <c r="DJ53" i="21"/>
  <c r="DM43" i="21"/>
  <c r="DN43" i="21"/>
  <c r="DO43" i="21"/>
  <c r="DM44" i="21"/>
  <c r="DN44" i="21"/>
  <c r="DO44" i="21"/>
  <c r="DM45" i="21"/>
  <c r="DN45" i="21"/>
  <c r="DO45" i="21"/>
  <c r="DM46" i="21"/>
  <c r="DN46" i="21"/>
  <c r="DO46" i="21"/>
  <c r="DM47" i="21"/>
  <c r="DN47" i="21"/>
  <c r="DO47" i="21"/>
  <c r="DM48" i="21"/>
  <c r="DN48" i="21"/>
  <c r="DO48" i="21"/>
  <c r="DM49" i="21"/>
  <c r="DN49" i="21"/>
  <c r="DO49" i="21"/>
  <c r="DM50" i="21"/>
  <c r="DN50" i="21"/>
  <c r="DO50" i="21"/>
  <c r="DM51" i="21"/>
  <c r="DN51" i="21"/>
  <c r="DO51" i="21"/>
  <c r="DM52" i="21"/>
  <c r="DN52" i="21"/>
  <c r="DO52" i="21"/>
  <c r="DM53" i="21"/>
  <c r="DN53" i="21"/>
  <c r="DO53" i="21"/>
  <c r="DA6" i="21"/>
  <c r="DA7" i="21" s="1"/>
  <c r="DA8" i="21" s="1"/>
  <c r="DA9" i="21" s="1"/>
  <c r="DA10" i="21" s="1"/>
  <c r="DA11" i="21" s="1"/>
  <c r="DA12" i="21" s="1"/>
  <c r="DA13" i="21" s="1"/>
  <c r="DA14" i="21" s="1"/>
  <c r="DA15" i="21" s="1"/>
  <c r="DA16" i="21" s="1"/>
  <c r="DA17" i="21" s="1"/>
  <c r="DA18" i="21" s="1"/>
  <c r="DA19" i="21" s="1"/>
  <c r="DA20" i="21" s="1"/>
  <c r="DA21" i="21" s="1"/>
  <c r="DA22" i="21" s="1"/>
  <c r="DA23" i="21" s="1"/>
  <c r="DA24" i="21" s="1"/>
  <c r="DA25" i="21" s="1"/>
  <c r="DA26" i="21" s="1"/>
  <c r="DA27" i="21" s="1"/>
  <c r="DA28" i="21" s="1"/>
  <c r="DA29" i="21" s="1"/>
  <c r="DA30" i="21" s="1"/>
  <c r="DA31" i="21" s="1"/>
  <c r="DA32" i="21" s="1"/>
  <c r="DA33" i="21" s="1"/>
  <c r="DA34" i="21" s="1"/>
  <c r="DA35" i="21" s="1"/>
  <c r="DA36" i="21" s="1"/>
  <c r="DA37" i="21" s="1"/>
  <c r="DA38" i="21" s="1"/>
  <c r="DA39" i="21" s="1"/>
  <c r="DA40" i="21" s="1"/>
  <c r="DA41" i="21" s="1"/>
  <c r="DA42" i="21" s="1"/>
  <c r="DA43" i="21" s="1"/>
  <c r="DA44" i="21" s="1"/>
  <c r="DA45" i="21" s="1"/>
  <c r="DA46" i="21" s="1"/>
  <c r="DA47" i="21" s="1"/>
  <c r="DA48" i="21" s="1"/>
  <c r="DA49" i="21" s="1"/>
  <c r="DA50" i="21" s="1"/>
  <c r="DA51" i="21" s="1"/>
  <c r="DA52" i="21" s="1"/>
  <c r="CP2" i="21" a="1"/>
  <c r="CP2" i="21" s="1"/>
  <c r="AH11" i="21"/>
  <c r="AD11" i="21"/>
  <c r="AD10" i="21"/>
  <c r="AD9" i="21"/>
  <c r="AD8" i="21"/>
  <c r="AD7" i="21"/>
  <c r="AD6" i="21"/>
  <c r="AD5" i="21"/>
  <c r="AD4" i="21"/>
  <c r="AH4" i="21"/>
  <c r="AX4" i="21" s="1"/>
  <c r="AH10" i="21"/>
  <c r="AH9" i="21"/>
  <c r="AH8" i="21"/>
  <c r="AH7" i="21"/>
  <c r="AH6" i="21"/>
  <c r="AH5" i="21"/>
  <c r="AU4" i="21"/>
  <c r="AU5" i="21" s="1"/>
  <c r="AU6" i="21" s="1"/>
  <c r="AU7" i="21" s="1"/>
  <c r="AU8" i="21" s="1"/>
  <c r="AU9" i="21" s="1"/>
  <c r="AU10" i="21" s="1"/>
  <c r="AU11" i="21" s="1"/>
  <c r="AU12" i="21" s="1"/>
  <c r="AU13" i="21" s="1"/>
  <c r="AU14" i="21" s="1"/>
  <c r="AU15" i="21" s="1"/>
  <c r="AU16" i="21" s="1"/>
  <c r="AU17" i="21" s="1"/>
  <c r="AU18" i="21" s="1"/>
  <c r="AU19" i="21" s="1"/>
  <c r="AU20" i="21" s="1"/>
  <c r="AU21" i="21" s="1"/>
  <c r="AU22" i="21" s="1"/>
  <c r="AU23" i="21" s="1"/>
  <c r="AU24" i="21" s="1"/>
  <c r="AU25" i="21" s="1"/>
  <c r="AU26" i="21" s="1"/>
  <c r="AU27" i="21" s="1"/>
  <c r="AU28" i="21" s="1"/>
  <c r="AU29" i="21" s="1"/>
  <c r="AU30" i="21" s="1"/>
  <c r="AU31" i="21" s="1"/>
  <c r="AU32" i="21" s="1"/>
  <c r="AU33" i="21" s="1"/>
  <c r="AU34" i="21" s="1"/>
  <c r="AU35" i="21" s="1"/>
  <c r="AU36" i="21" s="1"/>
  <c r="AU37" i="21" s="1"/>
  <c r="AU38" i="21" s="1"/>
  <c r="AU39" i="21" s="1"/>
  <c r="AU40" i="21" s="1"/>
  <c r="AU41" i="21" s="1"/>
  <c r="AU42" i="21" s="1"/>
  <c r="AU43" i="21" s="1"/>
  <c r="AU44" i="21" s="1"/>
  <c r="AU45" i="21" s="1"/>
  <c r="AU46" i="21" s="1"/>
  <c r="AU47" i="21" s="1"/>
  <c r="AU48" i="21" s="1"/>
  <c r="AU49" i="21" s="1"/>
  <c r="AU50" i="21" s="1"/>
  <c r="AU51" i="21" s="1"/>
  <c r="AU52" i="21" s="1"/>
  <c r="AU53" i="21" s="1"/>
  <c r="D28" i="21"/>
  <c r="D29" i="21" s="1"/>
  <c r="E24" i="21"/>
  <c r="E23" i="21"/>
  <c r="B7" i="21"/>
  <c r="GH5" i="21"/>
  <c r="GH6" i="21"/>
  <c r="GH7" i="21"/>
  <c r="GH8" i="21"/>
  <c r="GH9" i="21"/>
  <c r="GH10" i="21"/>
  <c r="E6" i="21"/>
  <c r="E5" i="21"/>
  <c r="F5" i="21" s="1"/>
  <c r="E8" i="21"/>
  <c r="F8" i="21" s="1"/>
  <c r="H4" i="21"/>
  <c r="I4" i="21" s="1"/>
  <c r="K7" i="21"/>
  <c r="K6" i="21"/>
  <c r="K5" i="21"/>
  <c r="L5" i="21" s="1"/>
  <c r="K4" i="21"/>
  <c r="GJ5" i="21"/>
  <c r="GJ6" i="21"/>
  <c r="GJ7" i="21"/>
  <c r="GJ8" i="21"/>
  <c r="GJ9" i="21"/>
  <c r="GJ10" i="21"/>
  <c r="GJ11" i="21"/>
  <c r="GJ12" i="21"/>
  <c r="GJ13" i="21"/>
  <c r="GJ14" i="21"/>
  <c r="GJ15" i="21"/>
  <c r="GJ16" i="21"/>
  <c r="GJ17" i="21"/>
  <c r="GJ18" i="21"/>
  <c r="GJ19" i="21"/>
  <c r="GJ20" i="21"/>
  <c r="GJ21" i="21"/>
  <c r="GJ22" i="21"/>
  <c r="GJ23" i="21"/>
  <c r="GJ24" i="21"/>
  <c r="GJ25" i="21"/>
  <c r="GJ26" i="21"/>
  <c r="GJ27" i="21"/>
  <c r="GJ28" i="21"/>
  <c r="GJ29" i="21"/>
  <c r="GJ30" i="21"/>
  <c r="GJ31" i="21"/>
  <c r="GJ32" i="21"/>
  <c r="GJ33" i="21"/>
  <c r="GJ34" i="21"/>
  <c r="GJ35" i="21"/>
  <c r="GJ36" i="21"/>
  <c r="GJ37" i="21"/>
  <c r="GJ38" i="21"/>
  <c r="GJ39" i="21"/>
  <c r="GJ40" i="21"/>
  <c r="GJ4" i="21"/>
  <c r="GB5" i="21"/>
  <c r="GB6" i="21"/>
  <c r="GB7" i="21"/>
  <c r="GB8" i="21"/>
  <c r="GB9" i="21"/>
  <c r="GB10" i="21"/>
  <c r="GB11" i="21"/>
  <c r="GB12" i="21"/>
  <c r="GB13" i="21"/>
  <c r="GB14" i="21"/>
  <c r="GB15" i="21"/>
  <c r="GB16" i="21"/>
  <c r="GB17" i="21"/>
  <c r="GB18" i="21"/>
  <c r="GB19" i="21"/>
  <c r="GB20" i="21"/>
  <c r="GB21" i="21"/>
  <c r="GB22" i="21"/>
  <c r="GB23" i="21"/>
  <c r="GB24" i="21"/>
  <c r="GB25" i="21"/>
  <c r="GB26" i="21"/>
  <c r="GB27" i="21"/>
  <c r="GB28" i="21"/>
  <c r="GB29" i="21"/>
  <c r="GB30" i="21"/>
  <c r="GB31" i="21"/>
  <c r="GB32" i="21"/>
  <c r="GB33" i="21"/>
  <c r="GB34" i="21"/>
  <c r="GB35" i="21"/>
  <c r="GB36" i="21"/>
  <c r="GB37" i="21"/>
  <c r="GB38" i="21"/>
  <c r="GB39" i="21"/>
  <c r="GB40" i="21"/>
  <c r="GB4" i="21"/>
  <c r="GH11" i="21"/>
  <c r="GH12" i="21"/>
  <c r="GH13" i="21"/>
  <c r="GH14" i="21"/>
  <c r="GH15" i="21"/>
  <c r="GH16" i="21"/>
  <c r="GH17" i="21"/>
  <c r="GH18" i="21"/>
  <c r="GH19" i="21"/>
  <c r="GH20" i="21"/>
  <c r="GH21" i="21"/>
  <c r="GH22" i="21"/>
  <c r="GH23" i="21"/>
  <c r="GH24" i="21"/>
  <c r="GH25" i="21"/>
  <c r="GH26" i="21"/>
  <c r="GH27" i="21"/>
  <c r="GH28" i="21"/>
  <c r="GH29" i="21"/>
  <c r="GH30" i="21"/>
  <c r="GH31" i="21"/>
  <c r="GH32" i="21"/>
  <c r="GH33" i="21"/>
  <c r="GH34" i="21"/>
  <c r="GH35" i="21"/>
  <c r="GH36" i="21"/>
  <c r="GH37" i="21"/>
  <c r="GH38" i="21"/>
  <c r="GH39" i="21"/>
  <c r="GH40" i="21"/>
  <c r="GH4" i="21"/>
  <c r="FR5" i="21"/>
  <c r="FR6" i="21"/>
  <c r="FR7" i="21"/>
  <c r="FR8" i="21"/>
  <c r="FR9" i="21"/>
  <c r="FR10" i="21"/>
  <c r="FR11" i="21"/>
  <c r="FR12" i="21"/>
  <c r="FR13" i="21"/>
  <c r="FR14" i="21"/>
  <c r="FR15" i="21"/>
  <c r="FR16" i="21"/>
  <c r="FR17" i="21"/>
  <c r="FR18" i="21"/>
  <c r="FR19" i="21"/>
  <c r="FR20" i="21"/>
  <c r="FR21" i="21"/>
  <c r="FR22" i="21"/>
  <c r="FR23" i="21"/>
  <c r="FR24" i="21"/>
  <c r="FR25" i="21"/>
  <c r="FR26" i="21"/>
  <c r="FR27" i="21"/>
  <c r="FR28" i="21"/>
  <c r="FR29" i="21"/>
  <c r="FR30" i="21"/>
  <c r="FR31" i="21"/>
  <c r="FR32" i="21"/>
  <c r="FR33" i="21"/>
  <c r="FR34" i="21"/>
  <c r="FR35" i="21"/>
  <c r="FR36" i="21"/>
  <c r="FR37" i="21"/>
  <c r="FR38" i="21"/>
  <c r="FR39" i="21"/>
  <c r="FR40" i="21"/>
  <c r="FZ5" i="21"/>
  <c r="FZ6" i="21"/>
  <c r="FZ7" i="21"/>
  <c r="FZ8" i="21"/>
  <c r="FZ9" i="21"/>
  <c r="FZ10" i="21"/>
  <c r="FZ11" i="21"/>
  <c r="FZ12" i="21"/>
  <c r="FZ13" i="21"/>
  <c r="FZ14" i="21"/>
  <c r="FZ15" i="21"/>
  <c r="FZ16" i="21"/>
  <c r="FZ17" i="21"/>
  <c r="FZ18" i="21"/>
  <c r="FZ19" i="21"/>
  <c r="FZ20" i="21"/>
  <c r="FZ21" i="21"/>
  <c r="FZ22" i="21"/>
  <c r="FZ23" i="21"/>
  <c r="FZ24" i="21"/>
  <c r="FZ25" i="21"/>
  <c r="FZ26" i="21"/>
  <c r="FZ27" i="21"/>
  <c r="FZ28" i="21"/>
  <c r="FZ29" i="21"/>
  <c r="FZ30" i="21"/>
  <c r="FZ31" i="21"/>
  <c r="FZ32" i="21"/>
  <c r="FZ33" i="21"/>
  <c r="FZ34" i="21"/>
  <c r="FZ35" i="21"/>
  <c r="FZ36" i="21"/>
  <c r="FZ37" i="21"/>
  <c r="FZ38" i="21"/>
  <c r="FZ39" i="21"/>
  <c r="FZ40" i="21"/>
  <c r="FZ4" i="21"/>
  <c r="FR4" i="21"/>
  <c r="DB5" i="21"/>
  <c r="DB6" i="21" s="1"/>
  <c r="DB7" i="21" s="1"/>
  <c r="DB8" i="21" s="1"/>
  <c r="DB9" i="21" s="1"/>
  <c r="DB10" i="21" s="1"/>
  <c r="DB11" i="21" s="1"/>
  <c r="DB12" i="21" s="1"/>
  <c r="DB13" i="21" s="1"/>
  <c r="DB14" i="21" s="1"/>
  <c r="DB15" i="21" s="1"/>
  <c r="DB16" i="21" s="1"/>
  <c r="DB17" i="21" s="1"/>
  <c r="DB18" i="21" s="1"/>
  <c r="DB19" i="21" s="1"/>
  <c r="DB20" i="21" s="1"/>
  <c r="DB21" i="21" s="1"/>
  <c r="DB22" i="21" s="1"/>
  <c r="DB23" i="21" s="1"/>
  <c r="DB24" i="21" s="1"/>
  <c r="DB25" i="21" s="1"/>
  <c r="DB26" i="21" s="1"/>
  <c r="DB27" i="21" s="1"/>
  <c r="DB28" i="21" s="1"/>
  <c r="DB29" i="21" s="1"/>
  <c r="DB30" i="21" s="1"/>
  <c r="DB31" i="21" s="1"/>
  <c r="DB32" i="21" s="1"/>
  <c r="DB33" i="21" s="1"/>
  <c r="DB34" i="21" s="1"/>
  <c r="DB35" i="21" s="1"/>
  <c r="DB36" i="21" s="1"/>
  <c r="DB37" i="21" s="1"/>
  <c r="DB38" i="21" s="1"/>
  <c r="DB39" i="21" s="1"/>
  <c r="DB40" i="21" s="1"/>
  <c r="DB41" i="21" s="1"/>
  <c r="DB42" i="21" s="1"/>
  <c r="DB43" i="21" s="1"/>
  <c r="DB44" i="21" s="1"/>
  <c r="DB45" i="21" s="1"/>
  <c r="DB46" i="21" s="1"/>
  <c r="DB47" i="21" s="1"/>
  <c r="DB48" i="21" s="1"/>
  <c r="DB49" i="21" s="1"/>
  <c r="DB50" i="21" s="1"/>
  <c r="DB51" i="21" s="1"/>
  <c r="DB52" i="21" s="1"/>
  <c r="G10" i="22"/>
  <c r="F10" i="22"/>
  <c r="E10" i="22"/>
  <c r="EG53" i="21" l="1"/>
  <c r="DW48" i="21"/>
  <c r="DY48" i="21" s="1"/>
  <c r="EH45" i="21"/>
  <c r="EI45" i="21" s="1"/>
  <c r="DW41" i="21"/>
  <c r="DY41" i="21" s="1"/>
  <c r="L7" i="21"/>
  <c r="G34" i="21" s="1"/>
  <c r="G31" i="21"/>
  <c r="EG51" i="21"/>
  <c r="DW49" i="21"/>
  <c r="DY49" i="21" s="1"/>
  <c r="EA41" i="21"/>
  <c r="L6" i="21"/>
  <c r="G33" i="21" s="1"/>
  <c r="G27" i="21"/>
  <c r="DW53" i="21"/>
  <c r="DY46" i="21"/>
  <c r="EP49" i="21"/>
  <c r="FF49" i="21" s="1"/>
  <c r="FN49" i="21" s="1"/>
  <c r="FV49" i="21" s="1"/>
  <c r="GD49" i="21" s="1"/>
  <c r="GL49" i="21" s="1"/>
  <c r="EI49" i="21"/>
  <c r="DY53" i="21"/>
  <c r="EI52" i="21"/>
  <c r="EP52" i="21"/>
  <c r="FF52" i="21" s="1"/>
  <c r="FN52" i="21" s="1"/>
  <c r="FV52" i="21" s="1"/>
  <c r="GD52" i="21" s="1"/>
  <c r="GL52" i="21" s="1"/>
  <c r="DW51" i="21"/>
  <c r="DY51" i="21" s="1"/>
  <c r="DW45" i="21"/>
  <c r="EK53" i="21"/>
  <c r="ES53" i="21" s="1"/>
  <c r="EA52" i="21"/>
  <c r="DW52" i="21"/>
  <c r="DY52" i="21" s="1"/>
  <c r="EH50" i="21"/>
  <c r="EG50" i="21"/>
  <c r="EA49" i="21"/>
  <c r="EI48" i="21"/>
  <c r="EH47" i="21"/>
  <c r="EE46" i="21"/>
  <c r="EG46" i="21" s="1"/>
  <c r="EP45" i="21"/>
  <c r="EH43" i="21"/>
  <c r="EG52" i="21"/>
  <c r="EK47" i="21"/>
  <c r="ES47" i="21" s="1"/>
  <c r="EA46" i="21"/>
  <c r="EG44" i="21"/>
  <c r="EC41" i="21"/>
  <c r="G32" i="21"/>
  <c r="DK51" i="21"/>
  <c r="DS51" i="21" s="1"/>
  <c r="DK45" i="21"/>
  <c r="DS45" i="21" s="1"/>
  <c r="G29" i="21"/>
  <c r="G24" i="21"/>
  <c r="G25" i="21"/>
  <c r="DK49" i="21"/>
  <c r="DS49" i="21" s="1"/>
  <c r="DK46" i="21"/>
  <c r="DS46" i="21" s="1"/>
  <c r="DK44" i="21"/>
  <c r="DS44" i="21" s="1"/>
  <c r="DK47" i="21"/>
  <c r="DS47" i="21" s="1"/>
  <c r="DK52" i="21"/>
  <c r="DS52" i="21" s="1"/>
  <c r="DK48" i="21"/>
  <c r="DS48" i="21" s="1"/>
  <c r="DK53" i="21"/>
  <c r="DS53" i="21" s="1"/>
  <c r="DK50" i="21"/>
  <c r="DS50" i="21" s="1"/>
  <c r="EA42" i="21"/>
  <c r="EK45" i="21"/>
  <c r="EE45" i="21"/>
  <c r="EG45" i="21" s="1"/>
  <c r="FF46" i="21"/>
  <c r="FN46" i="21" s="1"/>
  <c r="FV46" i="21" s="1"/>
  <c r="GD46" i="21" s="1"/>
  <c r="GL46" i="21" s="1"/>
  <c r="DY45" i="21"/>
  <c r="EX48" i="21"/>
  <c r="FF48" i="21"/>
  <c r="FN48" i="21" s="1"/>
  <c r="FV48" i="21" s="1"/>
  <c r="GD48" i="21" s="1"/>
  <c r="GL48" i="21" s="1"/>
  <c r="FA47" i="21"/>
  <c r="EI41" i="21"/>
  <c r="EI53" i="21"/>
  <c r="EP53" i="21"/>
  <c r="EK52" i="21"/>
  <c r="FA46" i="21"/>
  <c r="ES42" i="21"/>
  <c r="EA44" i="21"/>
  <c r="EH44" i="21"/>
  <c r="EX49" i="21"/>
  <c r="EC49" i="21"/>
  <c r="EC48" i="21"/>
  <c r="DW43" i="21"/>
  <c r="DY43" i="21" s="1"/>
  <c r="EC43" i="21"/>
  <c r="EH42" i="21"/>
  <c r="EP41" i="21"/>
  <c r="FA42" i="21"/>
  <c r="EH51" i="21"/>
  <c r="EA51" i="21"/>
  <c r="EK44" i="21"/>
  <c r="EK50" i="21"/>
  <c r="FA53" i="21"/>
  <c r="EK51" i="21"/>
  <c r="DW44" i="21"/>
  <c r="DY44" i="21" s="1"/>
  <c r="DW50" i="21"/>
  <c r="DY50" i="21" s="1"/>
  <c r="ES46" i="21"/>
  <c r="DW47" i="21"/>
  <c r="DY47" i="21" s="1"/>
  <c r="DW42" i="21"/>
  <c r="DY42" i="21" s="1"/>
  <c r="DK43" i="21"/>
  <c r="DS43" i="21" s="1"/>
  <c r="E25" i="21"/>
  <c r="E26" i="21" s="1"/>
  <c r="E10" i="21"/>
  <c r="D30" i="21"/>
  <c r="F10" i="21"/>
  <c r="N4" i="21" s="1"/>
  <c r="G26" i="21"/>
  <c r="CY5" i="21"/>
  <c r="CY6" i="21" s="1"/>
  <c r="CY7" i="21" s="1"/>
  <c r="CY8" i="21" s="1"/>
  <c r="CY9" i="21" s="1"/>
  <c r="CY10" i="21" s="1"/>
  <c r="CY11" i="21" s="1"/>
  <c r="CY12" i="21" s="1"/>
  <c r="CY13" i="21" s="1"/>
  <c r="CY14" i="21" s="1"/>
  <c r="CY15" i="21" s="1"/>
  <c r="CY16" i="21" s="1"/>
  <c r="CY17" i="21" s="1"/>
  <c r="CY18" i="21" s="1"/>
  <c r="CY19" i="21" s="1"/>
  <c r="CY20" i="21" s="1"/>
  <c r="CY21" i="21" s="1"/>
  <c r="CY22" i="21" s="1"/>
  <c r="CY23" i="21" s="1"/>
  <c r="CY24" i="21" s="1"/>
  <c r="CY25" i="21" s="1"/>
  <c r="CY26" i="21" s="1"/>
  <c r="CY27" i="21" s="1"/>
  <c r="CY28" i="21" s="1"/>
  <c r="CY29" i="21" s="1"/>
  <c r="CY30" i="21" s="1"/>
  <c r="CY31" i="21" s="1"/>
  <c r="CY32" i="21" s="1"/>
  <c r="CY33" i="21" s="1"/>
  <c r="CY34" i="21" s="1"/>
  <c r="CY35" i="21" s="1"/>
  <c r="CY36" i="21" s="1"/>
  <c r="CY37" i="21" s="1"/>
  <c r="CY38" i="21" s="1"/>
  <c r="CY39" i="21" s="1"/>
  <c r="CY40" i="21" s="1"/>
  <c r="CY41" i="21" s="1"/>
  <c r="CY42" i="21" s="1"/>
  <c r="CY43" i="21" s="1"/>
  <c r="CY44" i="21" s="1"/>
  <c r="CY45" i="21" s="1"/>
  <c r="CY46" i="21" s="1"/>
  <c r="CY47" i="21" s="1"/>
  <c r="CY48" i="21" s="1"/>
  <c r="CY49" i="21" s="1"/>
  <c r="CY50" i="21" s="1"/>
  <c r="CY51" i="21" s="1"/>
  <c r="CY52" i="21" s="1"/>
  <c r="CZ5" i="21"/>
  <c r="CZ6" i="21" s="1"/>
  <c r="CZ7" i="21" s="1"/>
  <c r="CZ8" i="21" s="1"/>
  <c r="CZ9" i="21" s="1"/>
  <c r="CZ10" i="21" s="1"/>
  <c r="CZ11" i="21" s="1"/>
  <c r="CZ12" i="21" s="1"/>
  <c r="CZ13" i="21" s="1"/>
  <c r="CZ14" i="21" s="1"/>
  <c r="CZ15" i="21" s="1"/>
  <c r="CZ16" i="21" s="1"/>
  <c r="CZ17" i="21" s="1"/>
  <c r="CZ18" i="21" s="1"/>
  <c r="CZ19" i="21" s="1"/>
  <c r="CZ20" i="21" s="1"/>
  <c r="CZ21" i="21" s="1"/>
  <c r="CZ22" i="21" s="1"/>
  <c r="CZ23" i="21" s="1"/>
  <c r="CZ24" i="21" s="1"/>
  <c r="CZ25" i="21" s="1"/>
  <c r="CZ26" i="21" s="1"/>
  <c r="CZ27" i="21" s="1"/>
  <c r="CZ28" i="21" s="1"/>
  <c r="CZ29" i="21" s="1"/>
  <c r="CZ30" i="21" s="1"/>
  <c r="CZ31" i="21" s="1"/>
  <c r="CZ32" i="21" s="1"/>
  <c r="CZ33" i="21" s="1"/>
  <c r="CZ34" i="21" s="1"/>
  <c r="CZ35" i="21" s="1"/>
  <c r="CZ36" i="21" s="1"/>
  <c r="CZ37" i="21" s="1"/>
  <c r="CZ38" i="21" s="1"/>
  <c r="CZ39" i="21" s="1"/>
  <c r="CZ40" i="21" s="1"/>
  <c r="CZ41" i="21" s="1"/>
  <c r="CZ42" i="21" s="1"/>
  <c r="CZ43" i="21" s="1"/>
  <c r="CZ44" i="21" s="1"/>
  <c r="CZ45" i="21" s="1"/>
  <c r="CZ46" i="21" s="1"/>
  <c r="CZ47" i="21" s="1"/>
  <c r="CZ48" i="21" s="1"/>
  <c r="CZ49" i="21" s="1"/>
  <c r="CZ50" i="21" s="1"/>
  <c r="CZ51" i="21" s="1"/>
  <c r="CZ52" i="21" s="1"/>
  <c r="EX52" i="21" l="1"/>
  <c r="EK41" i="21"/>
  <c r="EE41" i="21"/>
  <c r="EG41" i="21" s="1"/>
  <c r="EP47" i="21"/>
  <c r="EI47" i="21"/>
  <c r="EP50" i="21"/>
  <c r="EI50" i="21"/>
  <c r="EP43" i="21"/>
  <c r="EI43" i="21"/>
  <c r="EX45" i="21"/>
  <c r="FF45" i="21"/>
  <c r="FN45" i="21" s="1"/>
  <c r="FV45" i="21" s="1"/>
  <c r="GD45" i="21" s="1"/>
  <c r="GL45" i="21" s="1"/>
  <c r="G35" i="21"/>
  <c r="EY41" i="21"/>
  <c r="EQ42" i="21"/>
  <c r="FC42" i="21"/>
  <c r="FE42" i="21" s="1"/>
  <c r="FI42" i="21"/>
  <c r="ES51" i="21"/>
  <c r="FA51" i="21"/>
  <c r="EP42" i="21"/>
  <c r="EI42" i="21"/>
  <c r="FI53" i="21"/>
  <c r="FC53" i="21"/>
  <c r="FE53" i="21" s="1"/>
  <c r="FI46" i="21"/>
  <c r="FC46" i="21"/>
  <c r="FE46" i="21" s="1"/>
  <c r="FA50" i="21"/>
  <c r="ES50" i="21"/>
  <c r="ES44" i="21"/>
  <c r="FA44" i="21"/>
  <c r="EK48" i="21"/>
  <c r="EE48" i="21"/>
  <c r="EG48" i="21" s="1"/>
  <c r="FC47" i="21"/>
  <c r="FE47" i="21" s="1"/>
  <c r="FI47" i="21"/>
  <c r="EX41" i="21"/>
  <c r="FF41" i="21"/>
  <c r="EE43" i="21"/>
  <c r="EG43" i="21" s="1"/>
  <c r="EK43" i="21"/>
  <c r="ES52" i="21"/>
  <c r="FA52" i="21"/>
  <c r="FF53" i="21"/>
  <c r="FN53" i="21" s="1"/>
  <c r="FV53" i="21" s="1"/>
  <c r="GD53" i="21" s="1"/>
  <c r="GL53" i="21" s="1"/>
  <c r="EX53" i="21"/>
  <c r="EE49" i="21"/>
  <c r="EG49" i="21" s="1"/>
  <c r="EK49" i="21"/>
  <c r="FA45" i="21"/>
  <c r="ES45" i="21"/>
  <c r="EQ41" i="21"/>
  <c r="EI51" i="21"/>
  <c r="EP51" i="21"/>
  <c r="EP44" i="21"/>
  <c r="EI44" i="21"/>
  <c r="E31" i="21"/>
  <c r="P4" i="21"/>
  <c r="O4" i="21"/>
  <c r="AE5" i="21"/>
  <c r="AE6" i="21"/>
  <c r="AE7" i="21"/>
  <c r="AE8" i="21"/>
  <c r="AE9" i="21"/>
  <c r="AF10" i="21"/>
  <c r="AE11" i="21"/>
  <c r="K8" i="21"/>
  <c r="H8" i="21"/>
  <c r="EX43" i="21" l="1"/>
  <c r="FF43" i="21"/>
  <c r="FN43" i="21" s="1"/>
  <c r="FV43" i="21" s="1"/>
  <c r="GD43" i="21" s="1"/>
  <c r="GL43" i="21" s="1"/>
  <c r="EX47" i="21"/>
  <c r="FF47" i="21"/>
  <c r="FN47" i="21" s="1"/>
  <c r="FV47" i="21" s="1"/>
  <c r="GD47" i="21" s="1"/>
  <c r="GL47" i="21" s="1"/>
  <c r="FF50" i="21"/>
  <c r="FN50" i="21" s="1"/>
  <c r="FV50" i="21" s="1"/>
  <c r="GD50" i="21" s="1"/>
  <c r="GL50" i="21" s="1"/>
  <c r="EX50" i="21"/>
  <c r="FA41" i="21"/>
  <c r="ES41" i="21"/>
  <c r="FN41" i="21"/>
  <c r="FV41" i="21" s="1"/>
  <c r="GD41" i="21" s="1"/>
  <c r="GL41" i="21" s="1"/>
  <c r="FG41" i="21"/>
  <c r="FK46" i="21"/>
  <c r="FM46" i="21" s="1"/>
  <c r="FQ46" i="21"/>
  <c r="FC45" i="21"/>
  <c r="FE45" i="21" s="1"/>
  <c r="FI45" i="21"/>
  <c r="FQ47" i="21"/>
  <c r="FK47" i="21"/>
  <c r="FM47" i="21" s="1"/>
  <c r="ES49" i="21"/>
  <c r="FA49" i="21"/>
  <c r="FK53" i="21"/>
  <c r="FM53" i="21" s="1"/>
  <c r="FQ53" i="21"/>
  <c r="ES48" i="21"/>
  <c r="FA48" i="21"/>
  <c r="FF42" i="21"/>
  <c r="FN42" i="21" s="1"/>
  <c r="FV42" i="21" s="1"/>
  <c r="GD42" i="21" s="1"/>
  <c r="GL42" i="21" s="1"/>
  <c r="EX42" i="21"/>
  <c r="EY42" i="21" s="1"/>
  <c r="EX44" i="21"/>
  <c r="FF44" i="21"/>
  <c r="FN44" i="21" s="1"/>
  <c r="FV44" i="21" s="1"/>
  <c r="GD44" i="21" s="1"/>
  <c r="GL44" i="21" s="1"/>
  <c r="FC52" i="21"/>
  <c r="FE52" i="21" s="1"/>
  <c r="FI52" i="21"/>
  <c r="FI44" i="21"/>
  <c r="FC44" i="21"/>
  <c r="FE44" i="21" s="1"/>
  <c r="FI51" i="21"/>
  <c r="FC51" i="21"/>
  <c r="FE51" i="21" s="1"/>
  <c r="EX51" i="21"/>
  <c r="FF51" i="21"/>
  <c r="FN51" i="21" s="1"/>
  <c r="FV51" i="21" s="1"/>
  <c r="GD51" i="21" s="1"/>
  <c r="GL51" i="21" s="1"/>
  <c r="FK42" i="21"/>
  <c r="FM42" i="21" s="1"/>
  <c r="FO42" i="21" s="1"/>
  <c r="FQ42" i="21"/>
  <c r="FA43" i="21"/>
  <c r="ES43" i="21"/>
  <c r="FI50" i="21"/>
  <c r="FC50" i="21"/>
  <c r="FE50" i="21" s="1"/>
  <c r="AE4" i="21"/>
  <c r="I8" i="21"/>
  <c r="N6" i="21" s="1"/>
  <c r="AF8" i="21"/>
  <c r="AF6" i="21"/>
  <c r="AE10" i="21"/>
  <c r="AF11" i="21"/>
  <c r="AF7" i="21"/>
  <c r="AF9" i="21"/>
  <c r="AF5" i="21"/>
  <c r="L8" i="21"/>
  <c r="N8" i="21" s="1"/>
  <c r="P8" i="21" s="1"/>
  <c r="R8" i="21" s="1"/>
  <c r="AG81" i="21"/>
  <c r="AG79" i="21"/>
  <c r="AF4" i="21"/>
  <c r="FC41" i="21" l="1"/>
  <c r="FE41" i="21" s="1"/>
  <c r="FI41" i="21"/>
  <c r="FQ50" i="21"/>
  <c r="FK50" i="21"/>
  <c r="FM50" i="21" s="1"/>
  <c r="FK44" i="21"/>
  <c r="FM44" i="21" s="1"/>
  <c r="FQ44" i="21"/>
  <c r="FY53" i="21"/>
  <c r="FS53" i="21"/>
  <c r="FU53" i="21" s="1"/>
  <c r="FQ52" i="21"/>
  <c r="FK52" i="21"/>
  <c r="FM52" i="21" s="1"/>
  <c r="FI43" i="21"/>
  <c r="FC43" i="21"/>
  <c r="FE43" i="21" s="1"/>
  <c r="FC49" i="21"/>
  <c r="FE49" i="21" s="1"/>
  <c r="FI49" i="21"/>
  <c r="FW41" i="21"/>
  <c r="FS42" i="21"/>
  <c r="FU42" i="21" s="1"/>
  <c r="FW42" i="21" s="1"/>
  <c r="FY42" i="21"/>
  <c r="FS47" i="21"/>
  <c r="FU47" i="21" s="1"/>
  <c r="FY47" i="21"/>
  <c r="FQ45" i="21"/>
  <c r="FK45" i="21"/>
  <c r="FM45" i="21" s="1"/>
  <c r="FO41" i="21"/>
  <c r="FY46" i="21"/>
  <c r="FS46" i="21"/>
  <c r="FU46" i="21" s="1"/>
  <c r="FG42" i="21"/>
  <c r="FK51" i="21"/>
  <c r="FM51" i="21" s="1"/>
  <c r="FQ51" i="21"/>
  <c r="FC48" i="21"/>
  <c r="FE48" i="21" s="1"/>
  <c r="FI48" i="21"/>
  <c r="AI6" i="21"/>
  <c r="O8" i="21"/>
  <c r="AR4" i="21"/>
  <c r="DJ4" i="21" s="1"/>
  <c r="AJ6" i="21"/>
  <c r="AJ5" i="21"/>
  <c r="AI5" i="21"/>
  <c r="AG76" i="21"/>
  <c r="AG83" i="21"/>
  <c r="FQ41" i="21" l="1"/>
  <c r="FK41" i="21"/>
  <c r="FM41" i="21" s="1"/>
  <c r="FY50" i="21"/>
  <c r="FS50" i="21"/>
  <c r="FU50" i="21" s="1"/>
  <c r="FQ49" i="21"/>
  <c r="FK49" i="21"/>
  <c r="FM49" i="21" s="1"/>
  <c r="GG46" i="21"/>
  <c r="GI46" i="21" s="1"/>
  <c r="GK46" i="21" s="1"/>
  <c r="GA46" i="21"/>
  <c r="GC46" i="21" s="1"/>
  <c r="FK43" i="21"/>
  <c r="FM43" i="21" s="1"/>
  <c r="FQ43" i="21"/>
  <c r="FY45" i="21"/>
  <c r="FS45" i="21"/>
  <c r="FU45" i="21" s="1"/>
  <c r="GG47" i="21"/>
  <c r="GI47" i="21" s="1"/>
  <c r="GK47" i="21" s="1"/>
  <c r="GA47" i="21"/>
  <c r="GC47" i="21" s="1"/>
  <c r="FY52" i="21"/>
  <c r="FS52" i="21"/>
  <c r="FU52" i="21" s="1"/>
  <c r="FK48" i="21"/>
  <c r="FM48" i="21" s="1"/>
  <c r="FQ48" i="21"/>
  <c r="GG53" i="21"/>
  <c r="GI53" i="21" s="1"/>
  <c r="GK53" i="21" s="1"/>
  <c r="GA53" i="21"/>
  <c r="GC53" i="21" s="1"/>
  <c r="FY44" i="21"/>
  <c r="FS44" i="21"/>
  <c r="FU44" i="21" s="1"/>
  <c r="FY51" i="21"/>
  <c r="FS51" i="21"/>
  <c r="FU51" i="21" s="1"/>
  <c r="GG42" i="21"/>
  <c r="GI42" i="21" s="1"/>
  <c r="GK42" i="21" s="1"/>
  <c r="GM42" i="21" s="1"/>
  <c r="GA42" i="21"/>
  <c r="GC42" i="21" s="1"/>
  <c r="GE42" i="21" s="1"/>
  <c r="AI9" i="21"/>
  <c r="AJ9" i="21"/>
  <c r="O6" i="21"/>
  <c r="P6" i="21"/>
  <c r="DV5" i="21"/>
  <c r="DV6" i="21"/>
  <c r="DV7" i="21"/>
  <c r="DV8" i="21"/>
  <c r="DV9" i="21"/>
  <c r="DV10" i="21"/>
  <c r="DV11" i="21"/>
  <c r="DV12" i="21"/>
  <c r="DV13" i="21"/>
  <c r="DV14" i="21"/>
  <c r="DV15" i="21"/>
  <c r="DV16" i="21"/>
  <c r="DV17" i="21"/>
  <c r="DV18" i="21"/>
  <c r="DV19" i="21"/>
  <c r="DV20" i="21"/>
  <c r="DV21" i="21"/>
  <c r="DV22" i="21"/>
  <c r="DV23" i="21"/>
  <c r="DV24" i="21"/>
  <c r="DV25" i="21"/>
  <c r="DV26" i="21"/>
  <c r="DV27" i="21"/>
  <c r="DV28" i="21"/>
  <c r="DV29" i="21"/>
  <c r="DV30" i="21"/>
  <c r="DV31" i="21"/>
  <c r="DV32" i="21"/>
  <c r="DV33" i="21"/>
  <c r="DV34" i="21"/>
  <c r="DV35" i="21"/>
  <c r="DV36" i="21"/>
  <c r="DV37" i="21"/>
  <c r="DV38" i="21"/>
  <c r="DV39" i="21"/>
  <c r="DV40" i="21"/>
  <c r="DV4" i="21"/>
  <c r="FT5" i="21"/>
  <c r="FT6" i="21"/>
  <c r="FT7" i="21"/>
  <c r="FT8" i="21"/>
  <c r="FT9" i="21"/>
  <c r="FT10" i="21"/>
  <c r="FT11" i="21"/>
  <c r="FT12" i="21"/>
  <c r="FT13" i="21"/>
  <c r="FT14" i="21"/>
  <c r="FT15" i="21"/>
  <c r="FT16" i="21"/>
  <c r="FT17" i="21"/>
  <c r="FT18" i="21"/>
  <c r="FT19" i="21"/>
  <c r="FT20" i="21"/>
  <c r="FT21" i="21"/>
  <c r="FT22" i="21"/>
  <c r="FT23" i="21"/>
  <c r="FT24" i="21"/>
  <c r="FT25" i="21"/>
  <c r="FT26" i="21"/>
  <c r="FT27" i="21"/>
  <c r="FT28" i="21"/>
  <c r="FT29" i="21"/>
  <c r="FT30" i="21"/>
  <c r="FT31" i="21"/>
  <c r="FT32" i="21"/>
  <c r="FT33" i="21"/>
  <c r="FT34" i="21"/>
  <c r="FT35" i="21"/>
  <c r="FT36" i="21"/>
  <c r="FT37" i="21"/>
  <c r="FT38" i="21"/>
  <c r="FT39" i="21"/>
  <c r="FT40" i="21"/>
  <c r="FT4" i="21"/>
  <c r="FL5" i="21"/>
  <c r="FL6" i="21"/>
  <c r="FL7" i="21"/>
  <c r="FL8" i="21"/>
  <c r="FL9" i="21"/>
  <c r="FL10" i="21"/>
  <c r="FL11" i="21"/>
  <c r="FL12" i="21"/>
  <c r="FL13" i="21"/>
  <c r="FL14" i="21"/>
  <c r="FL15" i="21"/>
  <c r="FL16" i="21"/>
  <c r="FL17" i="21"/>
  <c r="FL18" i="21"/>
  <c r="FL19" i="21"/>
  <c r="FL20" i="21"/>
  <c r="FL21" i="21"/>
  <c r="FL22" i="21"/>
  <c r="FL23" i="21"/>
  <c r="FL24" i="21"/>
  <c r="FL25" i="21"/>
  <c r="FL26" i="21"/>
  <c r="FL27" i="21"/>
  <c r="FL28" i="21"/>
  <c r="FL29" i="21"/>
  <c r="FL30" i="21"/>
  <c r="FL31" i="21"/>
  <c r="FL32" i="21"/>
  <c r="FL33" i="21"/>
  <c r="FL34" i="21"/>
  <c r="FL35" i="21"/>
  <c r="FL36" i="21"/>
  <c r="FL37" i="21"/>
  <c r="FL38" i="21"/>
  <c r="FL39" i="21"/>
  <c r="FL40" i="21"/>
  <c r="FL4" i="21"/>
  <c r="FD5" i="21"/>
  <c r="FD6" i="21"/>
  <c r="FD7" i="21"/>
  <c r="FD8" i="21"/>
  <c r="FD9" i="21"/>
  <c r="FD10" i="21"/>
  <c r="FD11" i="21"/>
  <c r="FD12" i="21"/>
  <c r="FD13" i="21"/>
  <c r="FD14" i="21"/>
  <c r="FD15" i="21"/>
  <c r="FD16" i="21"/>
  <c r="FD17" i="21"/>
  <c r="FD18" i="21"/>
  <c r="FD19" i="21"/>
  <c r="FD20" i="21"/>
  <c r="FD21" i="21"/>
  <c r="FD22" i="21"/>
  <c r="FD23" i="21"/>
  <c r="FD24" i="21"/>
  <c r="FD25" i="21"/>
  <c r="FD26" i="21"/>
  <c r="FD27" i="21"/>
  <c r="FD28" i="21"/>
  <c r="FD29" i="21"/>
  <c r="FD30" i="21"/>
  <c r="FD31" i="21"/>
  <c r="FD32" i="21"/>
  <c r="FD33" i="21"/>
  <c r="FD34" i="21"/>
  <c r="FD35" i="21"/>
  <c r="FD36" i="21"/>
  <c r="FD37" i="21"/>
  <c r="FD38" i="21"/>
  <c r="FD39" i="21"/>
  <c r="FD40" i="21"/>
  <c r="FD4" i="21"/>
  <c r="EV5" i="21"/>
  <c r="EV6" i="21"/>
  <c r="EV7" i="21"/>
  <c r="EV8" i="21"/>
  <c r="EV9" i="21"/>
  <c r="EV10" i="21"/>
  <c r="EV11" i="21"/>
  <c r="EV12" i="21"/>
  <c r="EV13" i="21"/>
  <c r="EV14" i="21"/>
  <c r="EV15" i="21"/>
  <c r="EV16" i="21"/>
  <c r="EV17" i="21"/>
  <c r="EV18" i="21"/>
  <c r="EV19" i="21"/>
  <c r="EV20" i="21"/>
  <c r="EV21" i="21"/>
  <c r="EV22" i="21"/>
  <c r="EV23" i="21"/>
  <c r="EV24" i="21"/>
  <c r="EV25" i="21"/>
  <c r="EV26" i="21"/>
  <c r="EV27" i="21"/>
  <c r="EV28" i="21"/>
  <c r="EV29" i="21"/>
  <c r="EV30" i="21"/>
  <c r="EV31" i="21"/>
  <c r="EV32" i="21"/>
  <c r="EV33" i="21"/>
  <c r="EV34" i="21"/>
  <c r="EV35" i="21"/>
  <c r="EV36" i="21"/>
  <c r="EV37" i="21"/>
  <c r="EV38" i="21"/>
  <c r="EV39" i="21"/>
  <c r="EV40" i="21"/>
  <c r="EV4" i="21"/>
  <c r="EN5" i="21"/>
  <c r="EN6" i="21"/>
  <c r="EN7" i="21"/>
  <c r="EN8" i="21"/>
  <c r="EN9" i="21"/>
  <c r="EN10" i="21"/>
  <c r="EN11" i="21"/>
  <c r="EN12" i="21"/>
  <c r="EN13" i="21"/>
  <c r="EN14" i="21"/>
  <c r="EN15" i="21"/>
  <c r="EN16" i="21"/>
  <c r="EN17" i="21"/>
  <c r="EN18" i="21"/>
  <c r="EN19" i="21"/>
  <c r="EN20" i="21"/>
  <c r="EN21" i="21"/>
  <c r="EN22" i="21"/>
  <c r="EN23" i="21"/>
  <c r="EN24" i="21"/>
  <c r="EN25" i="21"/>
  <c r="EN26" i="21"/>
  <c r="EN27" i="21"/>
  <c r="EN28" i="21"/>
  <c r="EN29" i="21"/>
  <c r="EN30" i="21"/>
  <c r="EN31" i="21"/>
  <c r="EN32" i="21"/>
  <c r="EN33" i="21"/>
  <c r="EN34" i="21"/>
  <c r="EN35" i="21"/>
  <c r="EN36" i="21"/>
  <c r="EN37" i="21"/>
  <c r="EN38" i="21"/>
  <c r="EN39" i="21"/>
  <c r="EN40" i="21"/>
  <c r="EN4" i="21"/>
  <c r="EF6" i="21"/>
  <c r="EF7" i="21"/>
  <c r="EF8" i="21"/>
  <c r="EF9" i="21"/>
  <c r="EF10" i="21"/>
  <c r="EF11" i="21"/>
  <c r="EF12" i="21"/>
  <c r="EF13" i="21"/>
  <c r="EF14" i="21"/>
  <c r="EF15" i="21"/>
  <c r="EF16" i="21"/>
  <c r="EF17" i="21"/>
  <c r="EF18" i="21"/>
  <c r="EF19" i="21"/>
  <c r="EF20" i="21"/>
  <c r="EF21" i="21"/>
  <c r="EF22" i="21"/>
  <c r="EF23" i="21"/>
  <c r="EF24" i="21"/>
  <c r="EF25" i="21"/>
  <c r="EF26" i="21"/>
  <c r="EF27" i="21"/>
  <c r="EF28" i="21"/>
  <c r="EF29" i="21"/>
  <c r="EF30" i="21"/>
  <c r="EF31" i="21"/>
  <c r="EF32" i="21"/>
  <c r="EF33" i="21"/>
  <c r="EF34" i="21"/>
  <c r="EF35" i="21"/>
  <c r="EF36" i="21"/>
  <c r="EF37" i="21"/>
  <c r="EF38" i="21"/>
  <c r="EF39" i="21"/>
  <c r="EF40" i="21"/>
  <c r="EF5" i="21"/>
  <c r="EF4" i="21"/>
  <c r="FS41" i="21" l="1"/>
  <c r="FU41" i="21" s="1"/>
  <c r="FY41" i="21"/>
  <c r="GA52" i="21"/>
  <c r="GC52" i="21" s="1"/>
  <c r="GG52" i="21"/>
  <c r="GI52" i="21" s="1"/>
  <c r="GK52" i="21" s="1"/>
  <c r="GG50" i="21"/>
  <c r="GI50" i="21" s="1"/>
  <c r="GK50" i="21" s="1"/>
  <c r="GA50" i="21"/>
  <c r="GC50" i="21" s="1"/>
  <c r="GA51" i="21"/>
  <c r="GC51" i="21" s="1"/>
  <c r="GG51" i="21"/>
  <c r="GI51" i="21" s="1"/>
  <c r="GK51" i="21" s="1"/>
  <c r="GA45" i="21"/>
  <c r="GC45" i="21" s="1"/>
  <c r="GG45" i="21"/>
  <c r="GI45" i="21" s="1"/>
  <c r="GK45" i="21" s="1"/>
  <c r="FY43" i="21"/>
  <c r="FS43" i="21"/>
  <c r="FU43" i="21" s="1"/>
  <c r="GA44" i="21"/>
  <c r="GC44" i="21" s="1"/>
  <c r="GG44" i="21"/>
  <c r="GI44" i="21" s="1"/>
  <c r="GK44" i="21" s="1"/>
  <c r="FS48" i="21"/>
  <c r="FU48" i="21" s="1"/>
  <c r="FY48" i="21"/>
  <c r="FS49" i="21"/>
  <c r="FU49" i="21" s="1"/>
  <c r="FY49" i="21"/>
  <c r="DX4" i="21"/>
  <c r="R6" i="21"/>
  <c r="AO4" i="21" s="1"/>
  <c r="ET5" i="21"/>
  <c r="ET6" i="21" s="1"/>
  <c r="ET7" i="21" s="1"/>
  <c r="GG41" i="21" l="1"/>
  <c r="GI41" i="21" s="1"/>
  <c r="GK41" i="21" s="1"/>
  <c r="GM41" i="21" s="1"/>
  <c r="GA41" i="21"/>
  <c r="GC41" i="21" s="1"/>
  <c r="GE41" i="21" s="1"/>
  <c r="GA43" i="21"/>
  <c r="GC43" i="21" s="1"/>
  <c r="GG43" i="21"/>
  <c r="GI43" i="21" s="1"/>
  <c r="GK43" i="21" s="1"/>
  <c r="GG49" i="21"/>
  <c r="GI49" i="21" s="1"/>
  <c r="GK49" i="21" s="1"/>
  <c r="GA49" i="21"/>
  <c r="GC49" i="21" s="1"/>
  <c r="GA48" i="21"/>
  <c r="GC48" i="21" s="1"/>
  <c r="GG48" i="21"/>
  <c r="GI48" i="21" s="1"/>
  <c r="GK48" i="21" s="1"/>
  <c r="DI4" i="21"/>
  <c r="AO5" i="21"/>
  <c r="DI5" i="21" s="1"/>
  <c r="ET8" i="21"/>
  <c r="ET9" i="21" l="1"/>
  <c r="ET10" i="21" l="1"/>
  <c r="ET11" i="21" l="1"/>
  <c r="ET12" i="21" l="1"/>
  <c r="ET13" i="21" l="1"/>
  <c r="ET14" i="21" l="1"/>
  <c r="ET15" i="21" l="1"/>
  <c r="ET16" i="21" l="1"/>
  <c r="ET17" i="21" l="1"/>
  <c r="ET18" i="21" l="1"/>
  <c r="ET19" i="21" l="1"/>
  <c r="ET20" i="21" l="1"/>
  <c r="ET21" i="21" l="1"/>
  <c r="ET22" i="21" l="1"/>
  <c r="ET23" i="21" l="1"/>
  <c r="ET24" i="21" l="1"/>
  <c r="ET25" i="21" l="1"/>
  <c r="ET26" i="21" l="1"/>
  <c r="ET27" i="21" l="1"/>
  <c r="ET28" i="21" l="1"/>
  <c r="ET29" i="21" l="1"/>
  <c r="ET30" i="21" l="1"/>
  <c r="ET31" i="21" l="1"/>
  <c r="ET32" i="21" l="1"/>
  <c r="ET33" i="21" l="1"/>
  <c r="ET34" i="21" l="1"/>
  <c r="ET35" i="21" l="1"/>
  <c r="ET36" i="21" l="1"/>
  <c r="ET37" i="21" l="1"/>
  <c r="ET38" i="21" l="1"/>
  <c r="ET39" i="21" l="1"/>
  <c r="ET40" i="21" l="1"/>
  <c r="ET41" i="21" s="1"/>
  <c r="ET42" i="21" l="1"/>
  <c r="EU41" i="21"/>
  <c r="EW41" i="21" s="1"/>
  <c r="EL5" i="21"/>
  <c r="EL6" i="21" s="1"/>
  <c r="EL7" i="21" s="1"/>
  <c r="EL8" i="21" s="1"/>
  <c r="FJ5" i="21"/>
  <c r="FJ6" i="21"/>
  <c r="FJ7" i="21"/>
  <c r="FJ10" i="21"/>
  <c r="FJ11" i="21"/>
  <c r="FJ12" i="21"/>
  <c r="FJ13" i="21"/>
  <c r="FJ14" i="21"/>
  <c r="FJ15" i="21"/>
  <c r="FJ16" i="21"/>
  <c r="FJ17" i="21"/>
  <c r="FJ18" i="21"/>
  <c r="FJ19" i="21"/>
  <c r="FJ20" i="21"/>
  <c r="FJ21" i="21"/>
  <c r="FJ22" i="21"/>
  <c r="FJ23" i="21"/>
  <c r="FJ24" i="21"/>
  <c r="FJ25" i="21"/>
  <c r="FJ26" i="21"/>
  <c r="FJ27" i="21"/>
  <c r="FJ28" i="21"/>
  <c r="FJ29" i="21"/>
  <c r="FJ30" i="21"/>
  <c r="FJ31" i="21"/>
  <c r="FJ32" i="21"/>
  <c r="FJ33" i="21"/>
  <c r="FJ34" i="21"/>
  <c r="FJ35" i="21"/>
  <c r="FJ36" i="21"/>
  <c r="FJ37" i="21"/>
  <c r="FJ38" i="21"/>
  <c r="FJ39" i="21"/>
  <c r="FJ40" i="21"/>
  <c r="FJ4" i="21"/>
  <c r="FB5" i="21"/>
  <c r="FB6" i="21"/>
  <c r="FB7" i="21"/>
  <c r="FB10" i="21"/>
  <c r="FB11" i="21"/>
  <c r="FB12" i="21"/>
  <c r="FB13" i="21"/>
  <c r="FB14" i="21"/>
  <c r="FB15" i="21"/>
  <c r="FB16" i="21"/>
  <c r="FB17" i="21"/>
  <c r="FB18" i="21"/>
  <c r="FB19" i="21"/>
  <c r="FB20" i="21"/>
  <c r="FB21" i="21"/>
  <c r="FB22" i="21"/>
  <c r="FB23" i="21"/>
  <c r="FB24" i="21"/>
  <c r="FB25" i="21"/>
  <c r="FB26" i="21"/>
  <c r="FB27" i="21"/>
  <c r="FB28" i="21"/>
  <c r="FB29" i="21"/>
  <c r="FB30" i="21"/>
  <c r="FB31" i="21"/>
  <c r="FB32" i="21"/>
  <c r="FB33" i="21"/>
  <c r="FB34" i="21"/>
  <c r="FB35" i="21"/>
  <c r="FB36" i="21"/>
  <c r="FB37" i="21"/>
  <c r="FB38" i="21"/>
  <c r="FB39" i="21"/>
  <c r="FB40" i="21"/>
  <c r="FB4" i="21"/>
  <c r="DX5" i="21"/>
  <c r="DX6" i="21"/>
  <c r="DX7" i="21"/>
  <c r="DX8" i="21"/>
  <c r="DX9" i="21"/>
  <c r="DX10" i="21"/>
  <c r="DX11" i="21"/>
  <c r="DX12" i="21"/>
  <c r="DX13" i="21"/>
  <c r="DX14" i="21"/>
  <c r="DX15" i="21"/>
  <c r="DX16" i="21"/>
  <c r="DX17" i="21"/>
  <c r="DX18" i="21"/>
  <c r="DX19" i="21"/>
  <c r="DX20" i="21"/>
  <c r="DX21" i="21"/>
  <c r="DX22" i="21"/>
  <c r="DX23" i="21"/>
  <c r="DX24" i="21"/>
  <c r="DX25" i="21"/>
  <c r="DX26" i="21"/>
  <c r="DX27" i="21"/>
  <c r="DX28" i="21"/>
  <c r="DX29" i="21"/>
  <c r="DX30" i="21"/>
  <c r="DX31" i="21"/>
  <c r="DX32" i="21"/>
  <c r="DX33" i="21"/>
  <c r="DX34" i="21"/>
  <c r="DX35" i="21"/>
  <c r="DX36" i="21"/>
  <c r="DX37" i="21"/>
  <c r="DX38" i="21"/>
  <c r="DX39" i="21"/>
  <c r="DX40" i="21"/>
  <c r="DZ4" i="21"/>
  <c r="EH4" i="21" s="1"/>
  <c r="EP4" i="21" s="1"/>
  <c r="EX4" i="21" s="1"/>
  <c r="DU4" i="21"/>
  <c r="DW4" i="21" s="1"/>
  <c r="ET43" i="21" l="1"/>
  <c r="EU42" i="21"/>
  <c r="EW42" i="21" s="1"/>
  <c r="EL9" i="21"/>
  <c r="EL10" i="21" s="1"/>
  <c r="FF4" i="21"/>
  <c r="FN4" i="21" s="1"/>
  <c r="EC4" i="21"/>
  <c r="EK4" i="21" s="1"/>
  <c r="ET44" i="21" l="1"/>
  <c r="EU43" i="21"/>
  <c r="EW43" i="21" s="1"/>
  <c r="FA4" i="21"/>
  <c r="FI4" i="21" s="1"/>
  <c r="FK4" i="21" s="1"/>
  <c r="FM4" i="21" s="1"/>
  <c r="FO4" i="21" s="1"/>
  <c r="ES4" i="21"/>
  <c r="EU4" i="21" s="1"/>
  <c r="EL11" i="21"/>
  <c r="FV4" i="21"/>
  <c r="GD4" i="21" s="1"/>
  <c r="FC4" i="21"/>
  <c r="FE4" i="21" s="1"/>
  <c r="FG4" i="21" s="1"/>
  <c r="EE4" i="21"/>
  <c r="EG4" i="21" s="1"/>
  <c r="EI4" i="21" s="1"/>
  <c r="ET45" i="21" l="1"/>
  <c r="EU44" i="21"/>
  <c r="EW44" i="21" s="1"/>
  <c r="GL4" i="21"/>
  <c r="FQ4" i="21"/>
  <c r="EL12" i="21"/>
  <c r="DZ5" i="21"/>
  <c r="EW4" i="21"/>
  <c r="EY4" i="21" s="1"/>
  <c r="ET46" i="21" l="1"/>
  <c r="EU45" i="21"/>
  <c r="EW45" i="21" s="1"/>
  <c r="FY4" i="21"/>
  <c r="FS4" i="21"/>
  <c r="EL13" i="21"/>
  <c r="EH5" i="21"/>
  <c r="EM4" i="21"/>
  <c r="EO4" i="21" s="1"/>
  <c r="EQ4" i="21" s="1"/>
  <c r="DU5" i="21"/>
  <c r="DZ6" i="21"/>
  <c r="DY4" i="21"/>
  <c r="EA4" i="21" s="1"/>
  <c r="DE11" i="21"/>
  <c r="AA11" i="21"/>
  <c r="AC11" i="21" s="1"/>
  <c r="DE10" i="21"/>
  <c r="AA10" i="21"/>
  <c r="AC10" i="21" s="1"/>
  <c r="DE9" i="21"/>
  <c r="AA9" i="21"/>
  <c r="DE8" i="21"/>
  <c r="AA8" i="21"/>
  <c r="AC8" i="21" s="1"/>
  <c r="DE7" i="21"/>
  <c r="AA7" i="21"/>
  <c r="AC7" i="21" s="1"/>
  <c r="DE6" i="21"/>
  <c r="AA6" i="21"/>
  <c r="DE5" i="21"/>
  <c r="AA5" i="21"/>
  <c r="AG5" i="21" s="1"/>
  <c r="DE4" i="21"/>
  <c r="CL4" i="21"/>
  <c r="CL5" i="21" s="1"/>
  <c r="CL6" i="21" s="1"/>
  <c r="CL7" i="21" s="1"/>
  <c r="CL8" i="21" s="1"/>
  <c r="CL9" i="21" s="1"/>
  <c r="CL10" i="21" s="1"/>
  <c r="CL11" i="21" s="1"/>
  <c r="CL12" i="21" s="1"/>
  <c r="CL13" i="21" s="1"/>
  <c r="CL14" i="21" s="1"/>
  <c r="CL15" i="21" s="1"/>
  <c r="CL16" i="21" s="1"/>
  <c r="CL17" i="21" s="1"/>
  <c r="CL18" i="21" s="1"/>
  <c r="CL19" i="21" s="1"/>
  <c r="CL20" i="21" s="1"/>
  <c r="CL21" i="21" s="1"/>
  <c r="CL22" i="21" s="1"/>
  <c r="CL23" i="21" s="1"/>
  <c r="CL24" i="21" s="1"/>
  <c r="CL25" i="21" s="1"/>
  <c r="CL26" i="21" s="1"/>
  <c r="CL27" i="21" s="1"/>
  <c r="CL28" i="21" s="1"/>
  <c r="CL29" i="21" s="1"/>
  <c r="CL30" i="21" s="1"/>
  <c r="CL31" i="21" s="1"/>
  <c r="CL32" i="21" s="1"/>
  <c r="CL33" i="21" s="1"/>
  <c r="CL34" i="21" s="1"/>
  <c r="CL35" i="21" s="1"/>
  <c r="CL36" i="21" s="1"/>
  <c r="CL37" i="21" s="1"/>
  <c r="CL38" i="21" s="1"/>
  <c r="CL39" i="21" s="1"/>
  <c r="CL40" i="21" s="1"/>
  <c r="CF4" i="21"/>
  <c r="CF5" i="21" s="1"/>
  <c r="CF6" i="21" s="1"/>
  <c r="CF7" i="21" s="1"/>
  <c r="CF8" i="21" s="1"/>
  <c r="CF9" i="21" s="1"/>
  <c r="CF10" i="21" s="1"/>
  <c r="CF11" i="21" s="1"/>
  <c r="CF12" i="21" s="1"/>
  <c r="CF13" i="21" s="1"/>
  <c r="CF14" i="21" s="1"/>
  <c r="CF15" i="21" s="1"/>
  <c r="CF16" i="21" s="1"/>
  <c r="CF17" i="21" s="1"/>
  <c r="CF18" i="21" s="1"/>
  <c r="CF19" i="21" s="1"/>
  <c r="CF20" i="21" s="1"/>
  <c r="CF21" i="21" s="1"/>
  <c r="CF22" i="21" s="1"/>
  <c r="CF23" i="21" s="1"/>
  <c r="CF24" i="21" s="1"/>
  <c r="CF25" i="21" s="1"/>
  <c r="CF26" i="21" s="1"/>
  <c r="CF27" i="21" s="1"/>
  <c r="CF28" i="21" s="1"/>
  <c r="CF29" i="21" s="1"/>
  <c r="CF30" i="21" s="1"/>
  <c r="CF31" i="21" s="1"/>
  <c r="CF32" i="21" s="1"/>
  <c r="CF33" i="21" s="1"/>
  <c r="CF34" i="21" s="1"/>
  <c r="CF35" i="21" s="1"/>
  <c r="CF36" i="21" s="1"/>
  <c r="CF37" i="21" s="1"/>
  <c r="CF38" i="21" s="1"/>
  <c r="CF39" i="21" s="1"/>
  <c r="CF40" i="21" s="1"/>
  <c r="BZ4" i="21"/>
  <c r="BZ5" i="21" s="1"/>
  <c r="BZ6" i="21" s="1"/>
  <c r="BZ7" i="21" s="1"/>
  <c r="BZ8" i="21" s="1"/>
  <c r="BZ9" i="21" s="1"/>
  <c r="BZ10" i="21" s="1"/>
  <c r="BZ11" i="21" s="1"/>
  <c r="BZ12" i="21" s="1"/>
  <c r="BZ13" i="21" s="1"/>
  <c r="BZ14" i="21" s="1"/>
  <c r="BZ15" i="21" s="1"/>
  <c r="BZ16" i="21" s="1"/>
  <c r="BZ17" i="21" s="1"/>
  <c r="BZ18" i="21" s="1"/>
  <c r="BZ19" i="21" s="1"/>
  <c r="BZ20" i="21" s="1"/>
  <c r="BZ21" i="21" s="1"/>
  <c r="BZ22" i="21" s="1"/>
  <c r="BZ23" i="21" s="1"/>
  <c r="BZ24" i="21" s="1"/>
  <c r="BZ25" i="21" s="1"/>
  <c r="BZ26" i="21" s="1"/>
  <c r="BZ27" i="21" s="1"/>
  <c r="BZ28" i="21" s="1"/>
  <c r="BZ29" i="21" s="1"/>
  <c r="BZ30" i="21" s="1"/>
  <c r="BZ31" i="21" s="1"/>
  <c r="BZ32" i="21" s="1"/>
  <c r="BZ33" i="21" s="1"/>
  <c r="BZ34" i="21" s="1"/>
  <c r="BZ35" i="21" s="1"/>
  <c r="BZ36" i="21" s="1"/>
  <c r="BZ37" i="21" s="1"/>
  <c r="BZ38" i="21" s="1"/>
  <c r="BZ39" i="21" s="1"/>
  <c r="BZ40" i="21" s="1"/>
  <c r="BT4" i="21"/>
  <c r="BT5" i="21" s="1"/>
  <c r="BT6" i="21" s="1"/>
  <c r="BT7" i="21" s="1"/>
  <c r="BT8" i="21" s="1"/>
  <c r="BT9" i="21" s="1"/>
  <c r="BT10" i="21" s="1"/>
  <c r="BT11" i="21" s="1"/>
  <c r="BT12" i="21" s="1"/>
  <c r="BT13" i="21" s="1"/>
  <c r="BT14" i="21" s="1"/>
  <c r="BT15" i="21" s="1"/>
  <c r="BT16" i="21" s="1"/>
  <c r="BT17" i="21" s="1"/>
  <c r="BT18" i="21" s="1"/>
  <c r="BT19" i="21" s="1"/>
  <c r="BT20" i="21" s="1"/>
  <c r="BT21" i="21" s="1"/>
  <c r="BT22" i="21" s="1"/>
  <c r="BT23" i="21" s="1"/>
  <c r="BT24" i="21" s="1"/>
  <c r="BT25" i="21" s="1"/>
  <c r="BT26" i="21" s="1"/>
  <c r="BT27" i="21" s="1"/>
  <c r="BT28" i="21" s="1"/>
  <c r="BT29" i="21" s="1"/>
  <c r="BT30" i="21" s="1"/>
  <c r="BT31" i="21" s="1"/>
  <c r="BT32" i="21" s="1"/>
  <c r="BT33" i="21" s="1"/>
  <c r="BT34" i="21" s="1"/>
  <c r="BT35" i="21" s="1"/>
  <c r="BT36" i="21" s="1"/>
  <c r="BT37" i="21" s="1"/>
  <c r="BT38" i="21" s="1"/>
  <c r="BT39" i="21" s="1"/>
  <c r="BT40" i="21" s="1"/>
  <c r="BN4" i="21"/>
  <c r="BN5" i="21" s="1"/>
  <c r="BN6" i="21" s="1"/>
  <c r="BN7" i="21" s="1"/>
  <c r="BN8" i="21" s="1"/>
  <c r="BN9" i="21" s="1"/>
  <c r="BN10" i="21" s="1"/>
  <c r="BN11" i="21" s="1"/>
  <c r="BN12" i="21" s="1"/>
  <c r="BN13" i="21" s="1"/>
  <c r="BN14" i="21" s="1"/>
  <c r="BN15" i="21" s="1"/>
  <c r="BN16" i="21" s="1"/>
  <c r="BN17" i="21" s="1"/>
  <c r="BN18" i="21" s="1"/>
  <c r="BN19" i="21" s="1"/>
  <c r="BN20" i="21" s="1"/>
  <c r="BN21" i="21" s="1"/>
  <c r="BN22" i="21" s="1"/>
  <c r="BN23" i="21" s="1"/>
  <c r="BN24" i="21" s="1"/>
  <c r="BN25" i="21" s="1"/>
  <c r="BN26" i="21" s="1"/>
  <c r="BN27" i="21" s="1"/>
  <c r="BN28" i="21" s="1"/>
  <c r="BN29" i="21" s="1"/>
  <c r="BN30" i="21" s="1"/>
  <c r="BN31" i="21" s="1"/>
  <c r="BN32" i="21" s="1"/>
  <c r="BN33" i="21" s="1"/>
  <c r="BN34" i="21" s="1"/>
  <c r="BN35" i="21" s="1"/>
  <c r="BN36" i="21" s="1"/>
  <c r="BN37" i="21" s="1"/>
  <c r="BN38" i="21" s="1"/>
  <c r="BN39" i="21" s="1"/>
  <c r="BN40" i="21" s="1"/>
  <c r="BH4" i="21"/>
  <c r="BH5" i="21" s="1"/>
  <c r="BH6" i="21" s="1"/>
  <c r="BH7" i="21" s="1"/>
  <c r="BH8" i="21" s="1"/>
  <c r="BH9" i="21" s="1"/>
  <c r="BH10" i="21" s="1"/>
  <c r="BH11" i="21" s="1"/>
  <c r="BH12" i="21" s="1"/>
  <c r="BH13" i="21" s="1"/>
  <c r="BH14" i="21" s="1"/>
  <c r="BH15" i="21" s="1"/>
  <c r="BH16" i="21" s="1"/>
  <c r="BH17" i="21" s="1"/>
  <c r="BH18" i="21" s="1"/>
  <c r="BH19" i="21" s="1"/>
  <c r="BH20" i="21" s="1"/>
  <c r="BH21" i="21" s="1"/>
  <c r="BH22" i="21" s="1"/>
  <c r="BH23" i="21" s="1"/>
  <c r="BH24" i="21" s="1"/>
  <c r="BH25" i="21" s="1"/>
  <c r="BH26" i="21" s="1"/>
  <c r="BH27" i="21" s="1"/>
  <c r="BH28" i="21" s="1"/>
  <c r="BH29" i="21" s="1"/>
  <c r="BH30" i="21" s="1"/>
  <c r="BH31" i="21" s="1"/>
  <c r="BH32" i="21" s="1"/>
  <c r="BH33" i="21" s="1"/>
  <c r="BH34" i="21" s="1"/>
  <c r="BH35" i="21" s="1"/>
  <c r="BH36" i="21" s="1"/>
  <c r="BH37" i="21" s="1"/>
  <c r="BH38" i="21" s="1"/>
  <c r="BH39" i="21" s="1"/>
  <c r="BH40" i="21" s="1"/>
  <c r="BB4" i="21"/>
  <c r="BB5" i="21" s="1"/>
  <c r="BB6" i="21" s="1"/>
  <c r="BB7" i="21" s="1"/>
  <c r="BB8" i="21" s="1"/>
  <c r="BB9" i="21" s="1"/>
  <c r="BB10" i="21" s="1"/>
  <c r="BB11" i="21" s="1"/>
  <c r="BB12" i="21" s="1"/>
  <c r="BB13" i="21" s="1"/>
  <c r="BB14" i="21" s="1"/>
  <c r="BB15" i="21" s="1"/>
  <c r="BB16" i="21" s="1"/>
  <c r="BB17" i="21" s="1"/>
  <c r="BB18" i="21" s="1"/>
  <c r="BB19" i="21" s="1"/>
  <c r="BB20" i="21" s="1"/>
  <c r="BB21" i="21" s="1"/>
  <c r="BB22" i="21" s="1"/>
  <c r="BB23" i="21" s="1"/>
  <c r="BB24" i="21" s="1"/>
  <c r="BB25" i="21" s="1"/>
  <c r="BB26" i="21" s="1"/>
  <c r="BB27" i="21" s="1"/>
  <c r="BB28" i="21" s="1"/>
  <c r="BB29" i="21" s="1"/>
  <c r="BB30" i="21" s="1"/>
  <c r="BB31" i="21" s="1"/>
  <c r="BB32" i="21" s="1"/>
  <c r="BB33" i="21" s="1"/>
  <c r="BB34" i="21" s="1"/>
  <c r="BB35" i="21" s="1"/>
  <c r="BB36" i="21" s="1"/>
  <c r="BB37" i="21" s="1"/>
  <c r="BB38" i="21" s="1"/>
  <c r="BB39" i="21" s="1"/>
  <c r="BB40" i="21" s="1"/>
  <c r="AV4" i="21"/>
  <c r="AV5" i="21" s="1"/>
  <c r="AV6" i="21" s="1"/>
  <c r="AV7" i="21" s="1"/>
  <c r="AV8" i="21" s="1"/>
  <c r="AV9" i="21" s="1"/>
  <c r="AV10" i="21" s="1"/>
  <c r="AV11" i="21" s="1"/>
  <c r="AV12" i="21" s="1"/>
  <c r="AV13" i="21" s="1"/>
  <c r="AV14" i="21" s="1"/>
  <c r="AV15" i="21" s="1"/>
  <c r="AV16" i="21" s="1"/>
  <c r="AV17" i="21" s="1"/>
  <c r="AV18" i="21" s="1"/>
  <c r="AV19" i="21" s="1"/>
  <c r="AV20" i="21" s="1"/>
  <c r="AV21" i="21" s="1"/>
  <c r="AV22" i="21" s="1"/>
  <c r="AV23" i="21" s="1"/>
  <c r="AV24" i="21" s="1"/>
  <c r="AV25" i="21" s="1"/>
  <c r="AV26" i="21" s="1"/>
  <c r="AV27" i="21" s="1"/>
  <c r="AV28" i="21" s="1"/>
  <c r="AV29" i="21" s="1"/>
  <c r="AV30" i="21" s="1"/>
  <c r="AV31" i="21" s="1"/>
  <c r="AV32" i="21" s="1"/>
  <c r="AV33" i="21" s="1"/>
  <c r="AV34" i="21" s="1"/>
  <c r="AV35" i="21" s="1"/>
  <c r="AV36" i="21" s="1"/>
  <c r="AV37" i="21" s="1"/>
  <c r="AV38" i="21" s="1"/>
  <c r="AV39" i="21" s="1"/>
  <c r="AV40" i="21" s="1"/>
  <c r="AA4" i="21"/>
  <c r="AC4" i="21" s="1"/>
  <c r="BB53" i="21" l="1"/>
  <c r="BB41" i="21"/>
  <c r="BB42" i="21" s="1"/>
  <c r="BB43" i="21" s="1"/>
  <c r="BB44" i="21" s="1"/>
  <c r="BB45" i="21" s="1"/>
  <c r="BB46" i="21" s="1"/>
  <c r="BB47" i="21" s="1"/>
  <c r="BB48" i="21" s="1"/>
  <c r="BB49" i="21" s="1"/>
  <c r="BB50" i="21" s="1"/>
  <c r="BB51" i="21" s="1"/>
  <c r="BB52" i="21" s="1"/>
  <c r="BH53" i="21"/>
  <c r="BH41" i="21"/>
  <c r="BH42" i="21" s="1"/>
  <c r="BH43" i="21" s="1"/>
  <c r="BH44" i="21" s="1"/>
  <c r="BH45" i="21" s="1"/>
  <c r="BH46" i="21" s="1"/>
  <c r="BH47" i="21" s="1"/>
  <c r="BH48" i="21" s="1"/>
  <c r="BH49" i="21" s="1"/>
  <c r="BH50" i="21" s="1"/>
  <c r="BH51" i="21" s="1"/>
  <c r="BH52" i="21" s="1"/>
  <c r="CF53" i="21"/>
  <c r="CF41" i="21"/>
  <c r="CF42" i="21" s="1"/>
  <c r="CF43" i="21" s="1"/>
  <c r="CF44" i="21" s="1"/>
  <c r="CF45" i="21" s="1"/>
  <c r="CF46" i="21" s="1"/>
  <c r="CF47" i="21" s="1"/>
  <c r="CF48" i="21" s="1"/>
  <c r="CF49" i="21" s="1"/>
  <c r="CF50" i="21" s="1"/>
  <c r="CF51" i="21" s="1"/>
  <c r="CF52" i="21" s="1"/>
  <c r="BZ53" i="21"/>
  <c r="BZ41" i="21"/>
  <c r="BZ42" i="21" s="1"/>
  <c r="BZ43" i="21" s="1"/>
  <c r="BZ44" i="21" s="1"/>
  <c r="BZ45" i="21" s="1"/>
  <c r="BZ46" i="21" s="1"/>
  <c r="BZ47" i="21" s="1"/>
  <c r="BZ48" i="21" s="1"/>
  <c r="BZ49" i="21" s="1"/>
  <c r="BZ50" i="21" s="1"/>
  <c r="BZ51" i="21" s="1"/>
  <c r="BZ52" i="21" s="1"/>
  <c r="BN53" i="21"/>
  <c r="BN41" i="21"/>
  <c r="BN42" i="21" s="1"/>
  <c r="BN43" i="21" s="1"/>
  <c r="BN44" i="21" s="1"/>
  <c r="BN45" i="21" s="1"/>
  <c r="BN46" i="21" s="1"/>
  <c r="BN47" i="21" s="1"/>
  <c r="BN48" i="21" s="1"/>
  <c r="BN49" i="21" s="1"/>
  <c r="BN50" i="21" s="1"/>
  <c r="BN51" i="21" s="1"/>
  <c r="BN52" i="21" s="1"/>
  <c r="CL53" i="21"/>
  <c r="CL41" i="21"/>
  <c r="CL42" i="21" s="1"/>
  <c r="CL43" i="21" s="1"/>
  <c r="CL44" i="21" s="1"/>
  <c r="CL45" i="21" s="1"/>
  <c r="CL46" i="21" s="1"/>
  <c r="CL47" i="21" s="1"/>
  <c r="CL48" i="21" s="1"/>
  <c r="CL49" i="21" s="1"/>
  <c r="CL50" i="21" s="1"/>
  <c r="CL51" i="21" s="1"/>
  <c r="CL52" i="21" s="1"/>
  <c r="AV53" i="21"/>
  <c r="AV41" i="21"/>
  <c r="AV42" i="21" s="1"/>
  <c r="AV43" i="21" s="1"/>
  <c r="AV44" i="21" s="1"/>
  <c r="AV45" i="21" s="1"/>
  <c r="AV46" i="21" s="1"/>
  <c r="AV47" i="21" s="1"/>
  <c r="AV48" i="21" s="1"/>
  <c r="AV49" i="21" s="1"/>
  <c r="AV50" i="21" s="1"/>
  <c r="AV51" i="21" s="1"/>
  <c r="AV52" i="21" s="1"/>
  <c r="BT53" i="21"/>
  <c r="BT41" i="21"/>
  <c r="BT42" i="21" s="1"/>
  <c r="BT43" i="21" s="1"/>
  <c r="BT44" i="21" s="1"/>
  <c r="BT45" i="21" s="1"/>
  <c r="BT46" i="21" s="1"/>
  <c r="BT47" i="21" s="1"/>
  <c r="BT48" i="21" s="1"/>
  <c r="BT49" i="21" s="1"/>
  <c r="BT50" i="21" s="1"/>
  <c r="BT51" i="21" s="1"/>
  <c r="BT52" i="21" s="1"/>
  <c r="ET47" i="21"/>
  <c r="EU46" i="21"/>
  <c r="EW46" i="21" s="1"/>
  <c r="AG6" i="21"/>
  <c r="AC6" i="21"/>
  <c r="AG9" i="21"/>
  <c r="AC9" i="21"/>
  <c r="AG4" i="21"/>
  <c r="GG4" i="21"/>
  <c r="GI4" i="21" s="1"/>
  <c r="GK4" i="21" s="1"/>
  <c r="GM4" i="21" s="1"/>
  <c r="GA4" i="21"/>
  <c r="GC4" i="21" s="1"/>
  <c r="GE4" i="21" s="1"/>
  <c r="AX5" i="21"/>
  <c r="AX6" i="21" s="1"/>
  <c r="AX7" i="21" s="1"/>
  <c r="AX8" i="21" s="1"/>
  <c r="AX9" i="21" s="1"/>
  <c r="AX10" i="21" s="1"/>
  <c r="AX11" i="21" s="1"/>
  <c r="AX12" i="21" s="1"/>
  <c r="AX13" i="21" s="1"/>
  <c r="AX14" i="21" s="1"/>
  <c r="AX15" i="21" s="1"/>
  <c r="AX16" i="21" s="1"/>
  <c r="AX17" i="21" s="1"/>
  <c r="AX18" i="21" s="1"/>
  <c r="AX19" i="21" s="1"/>
  <c r="AX20" i="21" s="1"/>
  <c r="AJ4" i="21"/>
  <c r="AI4" i="21"/>
  <c r="CA4" i="21"/>
  <c r="CA5" i="21" s="1"/>
  <c r="CA6" i="21" s="1"/>
  <c r="CA7" i="21" s="1"/>
  <c r="CA8" i="21" s="1"/>
  <c r="CA9" i="21" s="1"/>
  <c r="CA10" i="21" s="1"/>
  <c r="CA11" i="21" s="1"/>
  <c r="CA12" i="21" s="1"/>
  <c r="CA13" i="21" s="1"/>
  <c r="CA14" i="21" s="1"/>
  <c r="CA15" i="21" s="1"/>
  <c r="CA16" i="21" s="1"/>
  <c r="CA17" i="21" s="1"/>
  <c r="CA18" i="21" s="1"/>
  <c r="CA19" i="21" s="1"/>
  <c r="CA20" i="21" s="1"/>
  <c r="CA21" i="21" s="1"/>
  <c r="CA22" i="21" s="1"/>
  <c r="CA23" i="21" s="1"/>
  <c r="CA24" i="21" s="1"/>
  <c r="CA25" i="21" s="1"/>
  <c r="CA26" i="21" s="1"/>
  <c r="CA27" i="21" s="1"/>
  <c r="CA28" i="21" s="1"/>
  <c r="CA29" i="21" s="1"/>
  <c r="CA30" i="21" s="1"/>
  <c r="CA31" i="21" s="1"/>
  <c r="CA32" i="21" s="1"/>
  <c r="CA33" i="21" s="1"/>
  <c r="CA34" i="21" s="1"/>
  <c r="CA35" i="21" s="1"/>
  <c r="CA36" i="21" s="1"/>
  <c r="CA37" i="21" s="1"/>
  <c r="CA38" i="21" s="1"/>
  <c r="CA39" i="21" s="1"/>
  <c r="CA40" i="21" s="1"/>
  <c r="CG4" i="21"/>
  <c r="CG5" i="21" s="1"/>
  <c r="CG6" i="21" s="1"/>
  <c r="CG7" i="21" s="1"/>
  <c r="CG8" i="21" s="1"/>
  <c r="CG9" i="21" s="1"/>
  <c r="CG10" i="21" s="1"/>
  <c r="CG11" i="21" s="1"/>
  <c r="CG12" i="21" s="1"/>
  <c r="CG13" i="21" s="1"/>
  <c r="CG14" i="21" s="1"/>
  <c r="CG15" i="21" s="1"/>
  <c r="CG16" i="21" s="1"/>
  <c r="CG17" i="21" s="1"/>
  <c r="CG18" i="21" s="1"/>
  <c r="CG19" i="21" s="1"/>
  <c r="CG20" i="21" s="1"/>
  <c r="CG21" i="21" s="1"/>
  <c r="CG22" i="21" s="1"/>
  <c r="CG23" i="21" s="1"/>
  <c r="CG24" i="21" s="1"/>
  <c r="CG25" i="21" s="1"/>
  <c r="CG26" i="21" s="1"/>
  <c r="CG27" i="21" s="1"/>
  <c r="CG28" i="21" s="1"/>
  <c r="CG29" i="21" s="1"/>
  <c r="CG30" i="21" s="1"/>
  <c r="CG31" i="21" s="1"/>
  <c r="CG32" i="21" s="1"/>
  <c r="CG33" i="21" s="1"/>
  <c r="CG34" i="21" s="1"/>
  <c r="CG35" i="21" s="1"/>
  <c r="CG36" i="21" s="1"/>
  <c r="CG37" i="21" s="1"/>
  <c r="CG38" i="21" s="1"/>
  <c r="CG39" i="21" s="1"/>
  <c r="CG40" i="21" s="1"/>
  <c r="BO4" i="21"/>
  <c r="BO5" i="21" s="1"/>
  <c r="BO6" i="21" s="1"/>
  <c r="BO7" i="21" s="1"/>
  <c r="BO8" i="21" s="1"/>
  <c r="BO9" i="21" s="1"/>
  <c r="BO10" i="21" s="1"/>
  <c r="BO11" i="21" s="1"/>
  <c r="BO12" i="21" s="1"/>
  <c r="BO13" i="21" s="1"/>
  <c r="BO14" i="21" s="1"/>
  <c r="BO15" i="21" s="1"/>
  <c r="BO16" i="21" s="1"/>
  <c r="BO17" i="21" s="1"/>
  <c r="BO18" i="21" s="1"/>
  <c r="BO19" i="21" s="1"/>
  <c r="BO20" i="21" s="1"/>
  <c r="BO21" i="21" s="1"/>
  <c r="BO22" i="21" s="1"/>
  <c r="BO23" i="21" s="1"/>
  <c r="BO24" i="21" s="1"/>
  <c r="BO25" i="21" s="1"/>
  <c r="BO26" i="21" s="1"/>
  <c r="BO27" i="21" s="1"/>
  <c r="BO28" i="21" s="1"/>
  <c r="BO29" i="21" s="1"/>
  <c r="BO30" i="21" s="1"/>
  <c r="BO31" i="21" s="1"/>
  <c r="BO32" i="21" s="1"/>
  <c r="BO33" i="21" s="1"/>
  <c r="BO34" i="21" s="1"/>
  <c r="BO35" i="21" s="1"/>
  <c r="BO36" i="21" s="1"/>
  <c r="BO37" i="21" s="1"/>
  <c r="BO38" i="21" s="1"/>
  <c r="BO39" i="21" s="1"/>
  <c r="BO40" i="21" s="1"/>
  <c r="BC4" i="21"/>
  <c r="BC5" i="21" s="1"/>
  <c r="BC6" i="21" s="1"/>
  <c r="BC7" i="21" s="1"/>
  <c r="BC8" i="21" s="1"/>
  <c r="BC9" i="21" s="1"/>
  <c r="BC10" i="21" s="1"/>
  <c r="BC11" i="21" s="1"/>
  <c r="BC12" i="21" s="1"/>
  <c r="BC13" i="21" s="1"/>
  <c r="BC14" i="21" s="1"/>
  <c r="BC15" i="21" s="1"/>
  <c r="BC16" i="21" s="1"/>
  <c r="BC17" i="21" s="1"/>
  <c r="BC18" i="21" s="1"/>
  <c r="BC19" i="21" s="1"/>
  <c r="BC20" i="21" s="1"/>
  <c r="BC21" i="21" s="1"/>
  <c r="BC22" i="21" s="1"/>
  <c r="BC23" i="21" s="1"/>
  <c r="BC24" i="21" s="1"/>
  <c r="BC25" i="21" s="1"/>
  <c r="BC26" i="21" s="1"/>
  <c r="BC27" i="21" s="1"/>
  <c r="BC28" i="21" s="1"/>
  <c r="BC29" i="21" s="1"/>
  <c r="BC30" i="21" s="1"/>
  <c r="BC31" i="21" s="1"/>
  <c r="BC32" i="21" s="1"/>
  <c r="BC33" i="21" s="1"/>
  <c r="BC34" i="21" s="1"/>
  <c r="BC35" i="21" s="1"/>
  <c r="BC36" i="21" s="1"/>
  <c r="BC37" i="21" s="1"/>
  <c r="BC38" i="21" s="1"/>
  <c r="BC39" i="21" s="1"/>
  <c r="BC40" i="21" s="1"/>
  <c r="AC5" i="21"/>
  <c r="BI4" i="21"/>
  <c r="BI5" i="21" s="1"/>
  <c r="BI6" i="21" s="1"/>
  <c r="BI7" i="21" s="1"/>
  <c r="BI8" i="21" s="1"/>
  <c r="BI9" i="21" s="1"/>
  <c r="BI10" i="21" s="1"/>
  <c r="BI11" i="21" s="1"/>
  <c r="BI12" i="21" s="1"/>
  <c r="BI13" i="21" s="1"/>
  <c r="BI14" i="21" s="1"/>
  <c r="BI15" i="21" s="1"/>
  <c r="BI16" i="21" s="1"/>
  <c r="BI17" i="21" s="1"/>
  <c r="BI18" i="21" s="1"/>
  <c r="BI19" i="21" s="1"/>
  <c r="BI20" i="21" s="1"/>
  <c r="BI21" i="21" s="1"/>
  <c r="BI22" i="21" s="1"/>
  <c r="BI23" i="21" s="1"/>
  <c r="BI24" i="21" s="1"/>
  <c r="BI25" i="21" s="1"/>
  <c r="BI26" i="21" s="1"/>
  <c r="BI27" i="21" s="1"/>
  <c r="BI28" i="21" s="1"/>
  <c r="BI29" i="21" s="1"/>
  <c r="BI30" i="21" s="1"/>
  <c r="BI31" i="21" s="1"/>
  <c r="BI32" i="21" s="1"/>
  <c r="BI33" i="21" s="1"/>
  <c r="BI34" i="21" s="1"/>
  <c r="BI35" i="21" s="1"/>
  <c r="BI36" i="21" s="1"/>
  <c r="BI37" i="21" s="1"/>
  <c r="BI38" i="21" s="1"/>
  <c r="BI39" i="21" s="1"/>
  <c r="BI40" i="21" s="1"/>
  <c r="BU4" i="21"/>
  <c r="BU5" i="21" s="1"/>
  <c r="BU6" i="21" s="1"/>
  <c r="BU7" i="21" s="1"/>
  <c r="BU8" i="21" s="1"/>
  <c r="BU9" i="21" s="1"/>
  <c r="BU10" i="21" s="1"/>
  <c r="BU11" i="21" s="1"/>
  <c r="BU12" i="21" s="1"/>
  <c r="BU13" i="21" s="1"/>
  <c r="BU14" i="21" s="1"/>
  <c r="BU15" i="21" s="1"/>
  <c r="BU16" i="21" s="1"/>
  <c r="BU17" i="21" s="1"/>
  <c r="BU18" i="21" s="1"/>
  <c r="BU19" i="21" s="1"/>
  <c r="BU20" i="21" s="1"/>
  <c r="BU21" i="21" s="1"/>
  <c r="BU22" i="21" s="1"/>
  <c r="BU23" i="21" s="1"/>
  <c r="BU24" i="21" s="1"/>
  <c r="BU25" i="21" s="1"/>
  <c r="BU26" i="21" s="1"/>
  <c r="BU27" i="21" s="1"/>
  <c r="BU28" i="21" s="1"/>
  <c r="BU29" i="21" s="1"/>
  <c r="BU30" i="21" s="1"/>
  <c r="BU31" i="21" s="1"/>
  <c r="BU32" i="21" s="1"/>
  <c r="BU33" i="21" s="1"/>
  <c r="BU34" i="21" s="1"/>
  <c r="BU35" i="21" s="1"/>
  <c r="BU36" i="21" s="1"/>
  <c r="BU37" i="21" s="1"/>
  <c r="BU38" i="21" s="1"/>
  <c r="BU39" i="21" s="1"/>
  <c r="BU40" i="21" s="1"/>
  <c r="AW4" i="21"/>
  <c r="AW5" i="21" s="1"/>
  <c r="AW6" i="21" s="1"/>
  <c r="AW7" i="21" s="1"/>
  <c r="AW8" i="21" s="1"/>
  <c r="AW9" i="21" s="1"/>
  <c r="AW10" i="21" s="1"/>
  <c r="AW11" i="21" s="1"/>
  <c r="AW12" i="21" s="1"/>
  <c r="AW13" i="21" s="1"/>
  <c r="AW14" i="21" s="1"/>
  <c r="AW15" i="21" s="1"/>
  <c r="AW16" i="21" s="1"/>
  <c r="AW17" i="21" s="1"/>
  <c r="AW18" i="21" s="1"/>
  <c r="AW19" i="21" s="1"/>
  <c r="AW20" i="21" s="1"/>
  <c r="AW21" i="21" s="1"/>
  <c r="AW22" i="21" s="1"/>
  <c r="AW23" i="21" s="1"/>
  <c r="AW24" i="21" s="1"/>
  <c r="AW25" i="21" s="1"/>
  <c r="AW26" i="21" s="1"/>
  <c r="AW27" i="21" s="1"/>
  <c r="AW28" i="21" s="1"/>
  <c r="AW29" i="21" s="1"/>
  <c r="AW30" i="21" s="1"/>
  <c r="AW31" i="21" s="1"/>
  <c r="AW32" i="21" s="1"/>
  <c r="AW33" i="21" s="1"/>
  <c r="AW34" i="21" s="1"/>
  <c r="AW35" i="21" s="1"/>
  <c r="AW36" i="21" s="1"/>
  <c r="AW37" i="21" s="1"/>
  <c r="AW38" i="21" s="1"/>
  <c r="AW39" i="21" s="1"/>
  <c r="AW40" i="21" s="1"/>
  <c r="CM4" i="21"/>
  <c r="CM5" i="21" s="1"/>
  <c r="CM6" i="21" s="1"/>
  <c r="CM7" i="21" s="1"/>
  <c r="CM8" i="21" s="1"/>
  <c r="CM9" i="21" s="1"/>
  <c r="CM10" i="21" s="1"/>
  <c r="CM11" i="21" s="1"/>
  <c r="CM12" i="21" s="1"/>
  <c r="CM13" i="21" s="1"/>
  <c r="CM14" i="21" s="1"/>
  <c r="CM15" i="21" s="1"/>
  <c r="CM16" i="21" s="1"/>
  <c r="CM17" i="21" s="1"/>
  <c r="CM18" i="21" s="1"/>
  <c r="CM19" i="21" s="1"/>
  <c r="CM20" i="21" s="1"/>
  <c r="CM21" i="21" s="1"/>
  <c r="CM22" i="21" s="1"/>
  <c r="CM23" i="21" s="1"/>
  <c r="CM24" i="21" s="1"/>
  <c r="CM25" i="21" s="1"/>
  <c r="CM26" i="21" s="1"/>
  <c r="CM27" i="21" s="1"/>
  <c r="CM28" i="21" s="1"/>
  <c r="CM29" i="21" s="1"/>
  <c r="CM30" i="21" s="1"/>
  <c r="CM31" i="21" s="1"/>
  <c r="CM32" i="21" s="1"/>
  <c r="CM33" i="21" s="1"/>
  <c r="CM34" i="21" s="1"/>
  <c r="CM35" i="21" s="1"/>
  <c r="CM36" i="21" s="1"/>
  <c r="CM37" i="21" s="1"/>
  <c r="CM38" i="21" s="1"/>
  <c r="CM39" i="21" s="1"/>
  <c r="CM40" i="21" s="1"/>
  <c r="EL14" i="21"/>
  <c r="EH6" i="21"/>
  <c r="EP5" i="21"/>
  <c r="EX5" i="21" s="1"/>
  <c r="DU6" i="21"/>
  <c r="EC5" i="21"/>
  <c r="EK5" i="21" s="1"/>
  <c r="ES5" i="21" s="1"/>
  <c r="EU5" i="21" s="1"/>
  <c r="EW5" i="21" s="1"/>
  <c r="DW5" i="21"/>
  <c r="DY5" i="21" s="1"/>
  <c r="EA5" i="21" s="1"/>
  <c r="DU7" i="21"/>
  <c r="DZ7" i="21"/>
  <c r="AW53" i="21" l="1"/>
  <c r="AW41" i="21"/>
  <c r="AW42" i="21" s="1"/>
  <c r="AW43" i="21" s="1"/>
  <c r="AW44" i="21" s="1"/>
  <c r="AW45" i="21" s="1"/>
  <c r="AW46" i="21" s="1"/>
  <c r="AW47" i="21" s="1"/>
  <c r="AW48" i="21" s="1"/>
  <c r="AW49" i="21" s="1"/>
  <c r="AW50" i="21" s="1"/>
  <c r="AW51" i="21" s="1"/>
  <c r="AW52" i="21" s="1"/>
  <c r="BU53" i="21"/>
  <c r="BU41" i="21"/>
  <c r="BU42" i="21" s="1"/>
  <c r="BU43" i="21" s="1"/>
  <c r="BU44" i="21" s="1"/>
  <c r="BU45" i="21" s="1"/>
  <c r="BU46" i="21" s="1"/>
  <c r="BU47" i="21" s="1"/>
  <c r="BU48" i="21" s="1"/>
  <c r="BU49" i="21" s="1"/>
  <c r="BU50" i="21" s="1"/>
  <c r="BU51" i="21" s="1"/>
  <c r="BU52" i="21" s="1"/>
  <c r="BO53" i="21"/>
  <c r="BO41" i="21"/>
  <c r="BO42" i="21" s="1"/>
  <c r="BO43" i="21" s="1"/>
  <c r="BO44" i="21" s="1"/>
  <c r="BO45" i="21" s="1"/>
  <c r="BO46" i="21" s="1"/>
  <c r="BO47" i="21" s="1"/>
  <c r="BO48" i="21" s="1"/>
  <c r="BO49" i="21" s="1"/>
  <c r="BO50" i="21" s="1"/>
  <c r="BO51" i="21" s="1"/>
  <c r="BO52" i="21" s="1"/>
  <c r="BI53" i="21"/>
  <c r="BI41" i="21"/>
  <c r="BI42" i="21" s="1"/>
  <c r="BI43" i="21" s="1"/>
  <c r="BI44" i="21" s="1"/>
  <c r="BI45" i="21" s="1"/>
  <c r="BI46" i="21" s="1"/>
  <c r="BI47" i="21" s="1"/>
  <c r="BI48" i="21" s="1"/>
  <c r="BI49" i="21" s="1"/>
  <c r="BI50" i="21" s="1"/>
  <c r="BI51" i="21" s="1"/>
  <c r="BI52" i="21" s="1"/>
  <c r="CG53" i="21"/>
  <c r="CG41" i="21"/>
  <c r="CG42" i="21" s="1"/>
  <c r="CG43" i="21" s="1"/>
  <c r="CG44" i="21" s="1"/>
  <c r="CG45" i="21" s="1"/>
  <c r="CG46" i="21" s="1"/>
  <c r="CG47" i="21" s="1"/>
  <c r="CG48" i="21" s="1"/>
  <c r="CG49" i="21" s="1"/>
  <c r="CG50" i="21" s="1"/>
  <c r="CG51" i="21" s="1"/>
  <c r="CG52" i="21" s="1"/>
  <c r="BC53" i="21"/>
  <c r="BC41" i="21"/>
  <c r="BC42" i="21" s="1"/>
  <c r="BC43" i="21" s="1"/>
  <c r="BC44" i="21" s="1"/>
  <c r="BC45" i="21" s="1"/>
  <c r="BC46" i="21" s="1"/>
  <c r="BC47" i="21" s="1"/>
  <c r="BC48" i="21" s="1"/>
  <c r="BC49" i="21" s="1"/>
  <c r="BC50" i="21" s="1"/>
  <c r="BC51" i="21" s="1"/>
  <c r="BC52" i="21" s="1"/>
  <c r="CM53" i="21"/>
  <c r="CM41" i="21"/>
  <c r="CM42" i="21" s="1"/>
  <c r="CM43" i="21" s="1"/>
  <c r="CM44" i="21" s="1"/>
  <c r="CM45" i="21" s="1"/>
  <c r="CM46" i="21" s="1"/>
  <c r="CM47" i="21" s="1"/>
  <c r="CM48" i="21" s="1"/>
  <c r="CM49" i="21" s="1"/>
  <c r="CM50" i="21" s="1"/>
  <c r="CM51" i="21" s="1"/>
  <c r="CM52" i="21" s="1"/>
  <c r="CA53" i="21"/>
  <c r="CA41" i="21"/>
  <c r="CA42" i="21" s="1"/>
  <c r="CA43" i="21" s="1"/>
  <c r="CA44" i="21" s="1"/>
  <c r="CA45" i="21" s="1"/>
  <c r="CA46" i="21" s="1"/>
  <c r="CA47" i="21" s="1"/>
  <c r="CA48" i="21" s="1"/>
  <c r="CA49" i="21" s="1"/>
  <c r="CA50" i="21" s="1"/>
  <c r="CA51" i="21" s="1"/>
  <c r="CA52" i="21" s="1"/>
  <c r="ET48" i="21"/>
  <c r="EU47" i="21"/>
  <c r="EW47" i="21" s="1"/>
  <c r="AY4" i="21"/>
  <c r="AY5" i="21" s="1"/>
  <c r="AY6" i="21" s="1"/>
  <c r="AY7" i="21" s="1"/>
  <c r="AY8" i="21" s="1"/>
  <c r="AY9" i="21" s="1"/>
  <c r="AY10" i="21" s="1"/>
  <c r="AY11" i="21" s="1"/>
  <c r="AY12" i="21" s="1"/>
  <c r="AY13" i="21" s="1"/>
  <c r="AY14" i="21" s="1"/>
  <c r="AY15" i="21" s="1"/>
  <c r="AY16" i="21" s="1"/>
  <c r="AY17" i="21" s="1"/>
  <c r="AY18" i="21" s="1"/>
  <c r="AY19" i="21" s="1"/>
  <c r="AY20" i="21" s="1"/>
  <c r="AY21" i="21" s="1"/>
  <c r="AY22" i="21" s="1"/>
  <c r="AY23" i="21" s="1"/>
  <c r="AZ4" i="21"/>
  <c r="AZ5" i="21" s="1"/>
  <c r="AZ6" i="21" s="1"/>
  <c r="AZ7" i="21" s="1"/>
  <c r="AZ8" i="21" s="1"/>
  <c r="AZ9" i="21" s="1"/>
  <c r="AZ10" i="21" s="1"/>
  <c r="AZ11" i="21" s="1"/>
  <c r="AZ12" i="21" s="1"/>
  <c r="AZ13" i="21" s="1"/>
  <c r="AZ14" i="21" s="1"/>
  <c r="AZ15" i="21" s="1"/>
  <c r="AZ16" i="21" s="1"/>
  <c r="AZ17" i="21" s="1"/>
  <c r="AZ18" i="21" s="1"/>
  <c r="AZ19" i="21" s="1"/>
  <c r="AZ20" i="21" s="1"/>
  <c r="AZ21" i="21" s="1"/>
  <c r="AZ22" i="21" s="1"/>
  <c r="AZ23" i="21" s="1"/>
  <c r="AX21" i="21"/>
  <c r="AX22" i="21" s="1"/>
  <c r="AX23" i="21" s="1"/>
  <c r="EY5" i="21"/>
  <c r="BE4" i="21"/>
  <c r="BE5" i="21" s="1"/>
  <c r="BE6" i="21" s="1"/>
  <c r="BE7" i="21" s="1"/>
  <c r="BE8" i="21" s="1"/>
  <c r="BE9" i="21" s="1"/>
  <c r="BE10" i="21" s="1"/>
  <c r="BE11" i="21" s="1"/>
  <c r="BE12" i="21" s="1"/>
  <c r="BE13" i="21" s="1"/>
  <c r="BE14" i="21" s="1"/>
  <c r="BE15" i="21" s="1"/>
  <c r="BK4" i="21"/>
  <c r="BK5" i="21" s="1"/>
  <c r="BL4" i="21"/>
  <c r="FF5" i="21"/>
  <c r="FN5" i="21" s="1"/>
  <c r="FV5" i="21" s="1"/>
  <c r="GD5" i="21" s="1"/>
  <c r="EL15" i="21"/>
  <c r="EH7" i="21"/>
  <c r="EP6" i="21"/>
  <c r="EX6" i="21" s="1"/>
  <c r="FU4" i="21"/>
  <c r="FW4" i="21" s="1"/>
  <c r="EM5" i="21"/>
  <c r="EO5" i="21" s="1"/>
  <c r="EQ5" i="21" s="1"/>
  <c r="FA5" i="21"/>
  <c r="EE5" i="21"/>
  <c r="EG5" i="21" s="1"/>
  <c r="EI5" i="21" s="1"/>
  <c r="DU8" i="21"/>
  <c r="EC6" i="21"/>
  <c r="EK6" i="21" s="1"/>
  <c r="ES6" i="21" s="1"/>
  <c r="EU6" i="21" s="1"/>
  <c r="EW6" i="21" s="1"/>
  <c r="DW6" i="21"/>
  <c r="DY6" i="21" s="1"/>
  <c r="EA6" i="21" s="1"/>
  <c r="EC7" i="21"/>
  <c r="EK7" i="21" s="1"/>
  <c r="DW7" i="21"/>
  <c r="DY7" i="21" s="1"/>
  <c r="EA7" i="21" s="1"/>
  <c r="DZ8" i="21"/>
  <c r="BF4" i="21"/>
  <c r="BF5" i="21" s="1"/>
  <c r="BF6" i="21" s="1"/>
  <c r="BF7" i="21" s="1"/>
  <c r="BF8" i="21" s="1"/>
  <c r="BF9" i="21" s="1"/>
  <c r="BF10" i="21" s="1"/>
  <c r="BF11" i="21" s="1"/>
  <c r="BF12" i="21" s="1"/>
  <c r="BF13" i="21" s="1"/>
  <c r="BF14" i="21" s="1"/>
  <c r="BF15" i="21" s="1"/>
  <c r="BD4" i="21"/>
  <c r="BJ4" i="21"/>
  <c r="ET49" i="21" l="1"/>
  <c r="EU48" i="21"/>
  <c r="EW48" i="21" s="1"/>
  <c r="GL5" i="21"/>
  <c r="AZ24" i="21"/>
  <c r="BE16" i="21"/>
  <c r="AX24" i="21"/>
  <c r="BF16" i="21"/>
  <c r="AY24" i="21"/>
  <c r="EY6" i="21"/>
  <c r="FA7" i="21"/>
  <c r="FI7" i="21" s="1"/>
  <c r="ES7" i="21"/>
  <c r="EU7" i="21" s="1"/>
  <c r="EW7" i="21" s="1"/>
  <c r="FF6" i="21"/>
  <c r="FN6" i="21" s="1"/>
  <c r="FV6" i="21" s="1"/>
  <c r="GD6" i="21" s="1"/>
  <c r="EL16" i="21"/>
  <c r="BJ5" i="21"/>
  <c r="BL5" i="21"/>
  <c r="BK6" i="21"/>
  <c r="EH8" i="21"/>
  <c r="EP7" i="21"/>
  <c r="EX7" i="21" s="1"/>
  <c r="BD5" i="21"/>
  <c r="BD6" i="21" s="1"/>
  <c r="BD7" i="21" s="1"/>
  <c r="BD8" i="21" s="1"/>
  <c r="BD9" i="21" s="1"/>
  <c r="BD10" i="21" s="1"/>
  <c r="BD11" i="21" s="1"/>
  <c r="BD12" i="21" s="1"/>
  <c r="BD13" i="21" s="1"/>
  <c r="BD14" i="21" s="1"/>
  <c r="BD15" i="21" s="1"/>
  <c r="EM6" i="21"/>
  <c r="EO6" i="21" s="1"/>
  <c r="EQ6" i="21" s="1"/>
  <c r="FA6" i="21"/>
  <c r="FC5" i="21"/>
  <c r="FE5" i="21" s="1"/>
  <c r="FG5" i="21" s="1"/>
  <c r="FI5" i="21"/>
  <c r="EM7" i="21"/>
  <c r="EO7" i="21" s="1"/>
  <c r="EE6" i="21"/>
  <c r="EG6" i="21" s="1"/>
  <c r="EI6" i="21" s="1"/>
  <c r="EE7" i="21"/>
  <c r="EG7" i="21" s="1"/>
  <c r="EI7" i="21" s="1"/>
  <c r="EC8" i="21"/>
  <c r="EK8" i="21" s="1"/>
  <c r="DW8" i="21"/>
  <c r="DY8" i="21" s="1"/>
  <c r="EA8" i="21" s="1"/>
  <c r="DU9" i="21"/>
  <c r="DZ9" i="21"/>
  <c r="DU10" i="21"/>
  <c r="ET50" i="21" l="1"/>
  <c r="EU49" i="21"/>
  <c r="EW49" i="21" s="1"/>
  <c r="GL6" i="21"/>
  <c r="BD16" i="21"/>
  <c r="BF17" i="21"/>
  <c r="AY25" i="21"/>
  <c r="BE17" i="21"/>
  <c r="AX25" i="21"/>
  <c r="AZ25" i="21"/>
  <c r="FC7" i="21"/>
  <c r="FE7" i="21" s="1"/>
  <c r="EY7" i="21"/>
  <c r="FA8" i="21"/>
  <c r="FC8" i="21" s="1"/>
  <c r="FE8" i="21" s="1"/>
  <c r="ES8" i="21"/>
  <c r="EU8" i="21" s="1"/>
  <c r="EW8" i="21" s="1"/>
  <c r="FF7" i="21"/>
  <c r="FN7" i="21" s="1"/>
  <c r="FV7" i="21" s="1"/>
  <c r="GD7" i="21" s="1"/>
  <c r="EQ7" i="21"/>
  <c r="EL17" i="21"/>
  <c r="BK7" i="21"/>
  <c r="BL6" i="21"/>
  <c r="BJ6" i="21"/>
  <c r="EH9" i="21"/>
  <c r="EP8" i="21"/>
  <c r="FK5" i="21"/>
  <c r="FM5" i="21" s="1"/>
  <c r="FO5" i="21" s="1"/>
  <c r="FQ5" i="21"/>
  <c r="FI6" i="21"/>
  <c r="FC6" i="21"/>
  <c r="FE6" i="21" s="1"/>
  <c r="FG6" i="21" s="1"/>
  <c r="FK7" i="21"/>
  <c r="FM7" i="21" s="1"/>
  <c r="FQ7" i="21"/>
  <c r="EM8" i="21"/>
  <c r="EO8" i="21" s="1"/>
  <c r="EE8" i="21"/>
  <c r="EG8" i="21" s="1"/>
  <c r="EI8" i="21" s="1"/>
  <c r="EC10" i="21"/>
  <c r="EK10" i="21" s="1"/>
  <c r="DW10" i="21"/>
  <c r="DY10" i="21" s="1"/>
  <c r="EC9" i="21"/>
  <c r="EK9" i="21" s="1"/>
  <c r="ES9" i="21" s="1"/>
  <c r="EU9" i="21" s="1"/>
  <c r="DW9" i="21"/>
  <c r="DY9" i="21" s="1"/>
  <c r="EA9" i="21" s="1"/>
  <c r="DZ10" i="21"/>
  <c r="DU11" i="21"/>
  <c r="CC4" i="21"/>
  <c r="CC5" i="21" s="1"/>
  <c r="CC6" i="21" s="1"/>
  <c r="CC7" i="21" s="1"/>
  <c r="CC8" i="21" s="1"/>
  <c r="CC9" i="21" s="1"/>
  <c r="CC10" i="21" s="1"/>
  <c r="CB4" i="21"/>
  <c r="CD4" i="21"/>
  <c r="CD5" i="21" s="1"/>
  <c r="CD6" i="21" s="1"/>
  <c r="CD7" i="21" s="1"/>
  <c r="CD8" i="21" s="1"/>
  <c r="CD9" i="21" s="1"/>
  <c r="CD10" i="21" s="1"/>
  <c r="ET51" i="21" l="1"/>
  <c r="EU50" i="21"/>
  <c r="EW50" i="21" s="1"/>
  <c r="FS5" i="21"/>
  <c r="FU5" i="21" s="1"/>
  <c r="FW5" i="21" s="1"/>
  <c r="FY5" i="21"/>
  <c r="FS7" i="21"/>
  <c r="FU7" i="21" s="1"/>
  <c r="FW7" i="21" s="1"/>
  <c r="FY7" i="21"/>
  <c r="GL7" i="21"/>
  <c r="AX26" i="21"/>
  <c r="BE18" i="21"/>
  <c r="BE19" i="21" s="1"/>
  <c r="BE20" i="21" s="1"/>
  <c r="BE21" i="21" s="1"/>
  <c r="AY26" i="21"/>
  <c r="BF18" i="21"/>
  <c r="BF19" i="21" s="1"/>
  <c r="BF20" i="21" s="1"/>
  <c r="BF21" i="21" s="1"/>
  <c r="AZ26" i="21"/>
  <c r="CB5" i="21"/>
  <c r="CB6" i="21" s="1"/>
  <c r="CB7" i="21" s="1"/>
  <c r="CB8" i="21" s="1"/>
  <c r="CB9" i="21" s="1"/>
  <c r="CB10" i="21" s="1"/>
  <c r="CB11" i="21" s="1"/>
  <c r="BD17" i="21"/>
  <c r="AP4" i="21"/>
  <c r="AP5" i="21" s="1"/>
  <c r="AP6" i="21" s="1"/>
  <c r="AP7" i="21" s="1"/>
  <c r="AP8" i="21" s="1"/>
  <c r="AP9" i="21" s="1"/>
  <c r="AQ4" i="21"/>
  <c r="AQ5" i="21" s="1"/>
  <c r="AQ6" i="21" s="1"/>
  <c r="AQ7" i="21" s="1"/>
  <c r="AQ8" i="21" s="1"/>
  <c r="AQ9" i="21" s="1"/>
  <c r="AQ10" i="21" s="1"/>
  <c r="AQ11" i="21" s="1"/>
  <c r="AQ12" i="21" s="1"/>
  <c r="AQ13" i="21" s="1"/>
  <c r="AQ14" i="21" s="1"/>
  <c r="AQ15" i="21" s="1"/>
  <c r="AQ16" i="21" s="1"/>
  <c r="AQ17" i="21" s="1"/>
  <c r="AQ18" i="21" s="1"/>
  <c r="AQ19" i="21" s="1"/>
  <c r="AQ20" i="21" s="1"/>
  <c r="AQ21" i="21" s="1"/>
  <c r="AQ22" i="21" s="1"/>
  <c r="AQ23" i="21" s="1"/>
  <c r="AQ24" i="21" s="1"/>
  <c r="AQ30" i="21" s="1"/>
  <c r="AQ31" i="21" s="1"/>
  <c r="AQ32" i="21" s="1"/>
  <c r="AQ33" i="21" s="1"/>
  <c r="AQ34" i="21" s="1"/>
  <c r="AQ35" i="21" s="1"/>
  <c r="AQ36" i="21" s="1"/>
  <c r="AQ37" i="21" s="1"/>
  <c r="AQ38" i="21" s="1"/>
  <c r="AQ39" i="21" s="1"/>
  <c r="AQ40" i="21" s="1"/>
  <c r="AR5" i="21"/>
  <c r="DJ5" i="21" s="1"/>
  <c r="FI8" i="21"/>
  <c r="FQ8" i="21" s="1"/>
  <c r="EW9" i="21"/>
  <c r="FA10" i="21"/>
  <c r="FC10" i="21" s="1"/>
  <c r="FE10" i="21" s="1"/>
  <c r="ES10" i="21"/>
  <c r="EU10" i="21" s="1"/>
  <c r="FG7" i="21"/>
  <c r="FF8" i="21"/>
  <c r="FN8" i="21" s="1"/>
  <c r="FV8" i="21" s="1"/>
  <c r="GD8" i="21" s="1"/>
  <c r="EX8" i="21"/>
  <c r="EY8" i="21" s="1"/>
  <c r="FO7" i="21"/>
  <c r="EQ8" i="21"/>
  <c r="EL18" i="21"/>
  <c r="BJ7" i="21"/>
  <c r="BL7" i="21"/>
  <c r="BK8" i="21"/>
  <c r="BK9" i="21" s="1"/>
  <c r="BK10" i="21" s="1"/>
  <c r="BK11" i="21" s="1"/>
  <c r="BK12" i="21" s="1"/>
  <c r="BK13" i="21" s="1"/>
  <c r="BK14" i="21" s="1"/>
  <c r="BK15" i="21" s="1"/>
  <c r="BK16" i="21" s="1"/>
  <c r="BK17" i="21" s="1"/>
  <c r="BK18" i="21" s="1"/>
  <c r="BK19" i="21" s="1"/>
  <c r="BK20" i="21" s="1"/>
  <c r="BK21" i="21" s="1"/>
  <c r="BK22" i="21" s="1"/>
  <c r="EH10" i="21"/>
  <c r="EA10" i="21"/>
  <c r="EP9" i="21"/>
  <c r="FK6" i="21"/>
  <c r="FM6" i="21" s="1"/>
  <c r="FO6" i="21" s="1"/>
  <c r="FQ6" i="21"/>
  <c r="EM9" i="21"/>
  <c r="EO9" i="21" s="1"/>
  <c r="FA9" i="21"/>
  <c r="EM10" i="21"/>
  <c r="EO10" i="21" s="1"/>
  <c r="EE9" i="21"/>
  <c r="EG9" i="21" s="1"/>
  <c r="EI9" i="21" s="1"/>
  <c r="EE10" i="21"/>
  <c r="EG10" i="21" s="1"/>
  <c r="EC11" i="21"/>
  <c r="EK11" i="21" s="1"/>
  <c r="DW11" i="21"/>
  <c r="DY11" i="21" s="1"/>
  <c r="DZ11" i="21"/>
  <c r="DU12" i="21"/>
  <c r="CD11" i="21"/>
  <c r="CC11" i="21"/>
  <c r="ET52" i="21" l="1"/>
  <c r="EU51" i="21"/>
  <c r="EW51" i="21" s="1"/>
  <c r="AQ53" i="21"/>
  <c r="AQ41" i="21"/>
  <c r="AQ42" i="21" s="1"/>
  <c r="AQ43" i="21" s="1"/>
  <c r="AQ44" i="21" s="1"/>
  <c r="AQ45" i="21" s="1"/>
  <c r="AQ46" i="21" s="1"/>
  <c r="AQ47" i="21" s="1"/>
  <c r="AQ48" i="21" s="1"/>
  <c r="AQ49" i="21" s="1"/>
  <c r="AQ50" i="21" s="1"/>
  <c r="AQ51" i="21" s="1"/>
  <c r="AQ52" i="21" s="1"/>
  <c r="GG5" i="21"/>
  <c r="GI5" i="21" s="1"/>
  <c r="GK5" i="21" s="1"/>
  <c r="GM5" i="21" s="1"/>
  <c r="GA5" i="21"/>
  <c r="GC5" i="21" s="1"/>
  <c r="GE5" i="21" s="1"/>
  <c r="FS8" i="21"/>
  <c r="FU8" i="21" s="1"/>
  <c r="FW8" i="21" s="1"/>
  <c r="FY8" i="21"/>
  <c r="GG7" i="21"/>
  <c r="GI7" i="21" s="1"/>
  <c r="GK7" i="21" s="1"/>
  <c r="GM7" i="21" s="1"/>
  <c r="GA7" i="21"/>
  <c r="GC7" i="21" s="1"/>
  <c r="GE7" i="21" s="1"/>
  <c r="FS6" i="21"/>
  <c r="FU6" i="21" s="1"/>
  <c r="FW6" i="21" s="1"/>
  <c r="FY6" i="21"/>
  <c r="GL8" i="21"/>
  <c r="AZ27" i="21"/>
  <c r="BF22" i="21"/>
  <c r="BF23" i="21" s="1"/>
  <c r="BF24" i="21" s="1"/>
  <c r="BF25" i="21" s="1"/>
  <c r="BF26" i="21" s="1"/>
  <c r="BF27" i="21" s="1"/>
  <c r="BF28" i="21" s="1"/>
  <c r="AY27" i="21"/>
  <c r="BE22" i="21"/>
  <c r="BE23" i="21" s="1"/>
  <c r="BE24" i="21" s="1"/>
  <c r="BE25" i="21" s="1"/>
  <c r="BE26" i="21" s="1"/>
  <c r="BE27" i="21" s="1"/>
  <c r="BE28" i="21" s="1"/>
  <c r="BK23" i="21"/>
  <c r="BK24" i="21" s="1"/>
  <c r="BK25" i="21" s="1"/>
  <c r="BK26" i="21" s="1"/>
  <c r="BK27" i="21" s="1"/>
  <c r="BK28" i="21" s="1"/>
  <c r="BK29" i="21" s="1"/>
  <c r="BK30" i="21" s="1"/>
  <c r="BK31" i="21" s="1"/>
  <c r="BK32" i="21" s="1"/>
  <c r="BK33" i="21" s="1"/>
  <c r="BK34" i="21" s="1"/>
  <c r="BK35" i="21" s="1"/>
  <c r="BK36" i="21" s="1"/>
  <c r="BK37" i="21" s="1"/>
  <c r="BK38" i="21" s="1"/>
  <c r="BK39" i="21" s="1"/>
  <c r="BK40" i="21" s="1"/>
  <c r="BD18" i="21"/>
  <c r="BD19" i="21" s="1"/>
  <c r="BD20" i="21" s="1"/>
  <c r="BD21" i="21" s="1"/>
  <c r="AX27" i="21"/>
  <c r="AO6" i="21"/>
  <c r="DI6" i="21" s="1"/>
  <c r="AR6" i="21"/>
  <c r="DJ6" i="21" s="1"/>
  <c r="AQ25" i="21"/>
  <c r="AQ26" i="21" s="1"/>
  <c r="AQ27" i="21" s="1"/>
  <c r="AQ28" i="21" s="1"/>
  <c r="AQ29" i="21" s="1"/>
  <c r="FK8" i="21"/>
  <c r="FM8" i="21" s="1"/>
  <c r="FO8" i="21" s="1"/>
  <c r="AT4" i="21"/>
  <c r="AT5" i="21" s="1"/>
  <c r="AT6" i="21" s="1"/>
  <c r="AT7" i="21" s="1"/>
  <c r="AT8" i="21" s="1"/>
  <c r="AT9" i="21" s="1"/>
  <c r="AT10" i="21" s="1"/>
  <c r="AT11" i="21" s="1"/>
  <c r="AT12" i="21" s="1"/>
  <c r="AT13" i="21" s="1"/>
  <c r="AT14" i="21" s="1"/>
  <c r="AT15" i="21" s="1"/>
  <c r="AT16" i="21" s="1"/>
  <c r="AT17" i="21" s="1"/>
  <c r="AT18" i="21" s="1"/>
  <c r="AT19" i="21" s="1"/>
  <c r="AT20" i="21" s="1"/>
  <c r="AT21" i="21" s="1"/>
  <c r="AT22" i="21" s="1"/>
  <c r="AT23" i="21" s="1"/>
  <c r="AT24" i="21" s="1"/>
  <c r="AT25" i="21" s="1"/>
  <c r="AT26" i="21" s="1"/>
  <c r="AT27" i="21" s="1"/>
  <c r="AT28" i="21" s="1"/>
  <c r="AT29" i="21" s="1"/>
  <c r="AS4" i="21"/>
  <c r="AS5" i="21" s="1"/>
  <c r="AS6" i="21" s="1"/>
  <c r="AS7" i="21" s="1"/>
  <c r="AS8" i="21" s="1"/>
  <c r="AS9" i="21" s="1"/>
  <c r="AS10" i="21" s="1"/>
  <c r="FI10" i="21"/>
  <c r="FK10" i="21" s="1"/>
  <c r="FM10" i="21" s="1"/>
  <c r="EW10" i="21"/>
  <c r="FG8" i="21"/>
  <c r="FF9" i="21"/>
  <c r="FN9" i="21" s="1"/>
  <c r="FV9" i="21" s="1"/>
  <c r="GD9" i="21" s="1"/>
  <c r="EX9" i="21"/>
  <c r="EY9" i="21" s="1"/>
  <c r="FA11" i="21"/>
  <c r="FC11" i="21" s="1"/>
  <c r="FE11" i="21" s="1"/>
  <c r="ES11" i="21"/>
  <c r="EU11" i="21" s="1"/>
  <c r="EQ9" i="21"/>
  <c r="EL19" i="21"/>
  <c r="BL8" i="21"/>
  <c r="BL9" i="21" s="1"/>
  <c r="BL10" i="21" s="1"/>
  <c r="BL11" i="21" s="1"/>
  <c r="BL12" i="21" s="1"/>
  <c r="BL13" i="21" s="1"/>
  <c r="BL14" i="21" s="1"/>
  <c r="BL15" i="21" s="1"/>
  <c r="BL16" i="21" s="1"/>
  <c r="BL17" i="21" s="1"/>
  <c r="BL18" i="21" s="1"/>
  <c r="BL19" i="21" s="1"/>
  <c r="BL20" i="21" s="1"/>
  <c r="BL21" i="21" s="1"/>
  <c r="BL22" i="21" s="1"/>
  <c r="BJ8" i="21"/>
  <c r="BJ9" i="21" s="1"/>
  <c r="BJ10" i="21" s="1"/>
  <c r="BJ11" i="21" s="1"/>
  <c r="BJ12" i="21" s="1"/>
  <c r="BJ13" i="21" s="1"/>
  <c r="BJ14" i="21" s="1"/>
  <c r="BJ15" i="21" s="1"/>
  <c r="BJ16" i="21" s="1"/>
  <c r="BJ17" i="21" s="1"/>
  <c r="BJ18" i="21" s="1"/>
  <c r="BJ19" i="21" s="1"/>
  <c r="BJ20" i="21" s="1"/>
  <c r="BJ21" i="21" s="1"/>
  <c r="BJ22" i="21" s="1"/>
  <c r="AP10" i="21"/>
  <c r="EH11" i="21"/>
  <c r="EA11" i="21"/>
  <c r="EP10" i="21"/>
  <c r="EQ10" i="21" s="1"/>
  <c r="EI10" i="21"/>
  <c r="FC9" i="21"/>
  <c r="FE9" i="21" s="1"/>
  <c r="FI9" i="21"/>
  <c r="EM11" i="21"/>
  <c r="EO11" i="21" s="1"/>
  <c r="EE11" i="21"/>
  <c r="EG11" i="21" s="1"/>
  <c r="EC12" i="21"/>
  <c r="EK12" i="21" s="1"/>
  <c r="DW12" i="21"/>
  <c r="DY12" i="21" s="1"/>
  <c r="DZ12" i="21"/>
  <c r="DU13" i="21"/>
  <c r="CC12" i="21"/>
  <c r="CB12" i="21"/>
  <c r="CD12" i="21"/>
  <c r="ET53" i="21" l="1"/>
  <c r="EU53" i="21" s="1"/>
  <c r="EW53" i="21" s="1"/>
  <c r="EU52" i="21"/>
  <c r="EW52" i="21" s="1"/>
  <c r="BK53" i="21"/>
  <c r="BK41" i="21"/>
  <c r="BK42" i="21" s="1"/>
  <c r="BK43" i="21" s="1"/>
  <c r="BK44" i="21" s="1"/>
  <c r="BK45" i="21" s="1"/>
  <c r="BK46" i="21" s="1"/>
  <c r="BK47" i="21" s="1"/>
  <c r="BK48" i="21" s="1"/>
  <c r="BK49" i="21" s="1"/>
  <c r="BK50" i="21" s="1"/>
  <c r="BK51" i="21" s="1"/>
  <c r="BK52" i="21" s="1"/>
  <c r="GG8" i="21"/>
  <c r="GI8" i="21" s="1"/>
  <c r="GK8" i="21" s="1"/>
  <c r="GM8" i="21" s="1"/>
  <c r="GA8" i="21"/>
  <c r="GC8" i="21" s="1"/>
  <c r="GE8" i="21" s="1"/>
  <c r="GG6" i="21"/>
  <c r="GI6" i="21" s="1"/>
  <c r="GK6" i="21" s="1"/>
  <c r="GM6" i="21" s="1"/>
  <c r="GA6" i="21"/>
  <c r="GC6" i="21" s="1"/>
  <c r="GE6" i="21" s="1"/>
  <c r="GL9" i="21"/>
  <c r="BJ23" i="21"/>
  <c r="BJ24" i="21" s="1"/>
  <c r="BJ25" i="21" s="1"/>
  <c r="BJ26" i="21" s="1"/>
  <c r="BJ27" i="21" s="1"/>
  <c r="BJ28" i="21" s="1"/>
  <c r="BJ29" i="21" s="1"/>
  <c r="BJ30" i="21" s="1"/>
  <c r="BJ31" i="21" s="1"/>
  <c r="BJ32" i="21" s="1"/>
  <c r="BJ33" i="21" s="1"/>
  <c r="BJ34" i="21" s="1"/>
  <c r="BJ35" i="21" s="1"/>
  <c r="BJ36" i="21" s="1"/>
  <c r="BJ37" i="21" s="1"/>
  <c r="BJ38" i="21" s="1"/>
  <c r="BJ39" i="21" s="1"/>
  <c r="BJ40" i="21" s="1"/>
  <c r="BE29" i="21"/>
  <c r="DN28" i="21"/>
  <c r="BL23" i="21"/>
  <c r="BL24" i="21" s="1"/>
  <c r="BL25" i="21" s="1"/>
  <c r="BL26" i="21" s="1"/>
  <c r="BL27" i="21" s="1"/>
  <c r="BL28" i="21" s="1"/>
  <c r="BL29" i="21" s="1"/>
  <c r="BL30" i="21" s="1"/>
  <c r="BL31" i="21" s="1"/>
  <c r="BL32" i="21" s="1"/>
  <c r="BL33" i="21" s="1"/>
  <c r="BL34" i="21" s="1"/>
  <c r="BL35" i="21" s="1"/>
  <c r="BL36" i="21" s="1"/>
  <c r="BL37" i="21" s="1"/>
  <c r="BL38" i="21" s="1"/>
  <c r="BL39" i="21" s="1"/>
  <c r="BL40" i="21" s="1"/>
  <c r="BD22" i="21"/>
  <c r="BD23" i="21" s="1"/>
  <c r="BD24" i="21" s="1"/>
  <c r="BD25" i="21" s="1"/>
  <c r="BD26" i="21" s="1"/>
  <c r="BD27" i="21" s="1"/>
  <c r="BD28" i="21" s="1"/>
  <c r="AY28" i="21"/>
  <c r="AY29" i="21" s="1"/>
  <c r="AY30" i="21" s="1"/>
  <c r="AY31" i="21" s="1"/>
  <c r="AO7" i="21"/>
  <c r="DI7" i="21" s="1"/>
  <c r="BF29" i="21"/>
  <c r="AX28" i="21"/>
  <c r="AX29" i="21" s="1"/>
  <c r="AX30" i="21" s="1"/>
  <c r="AX31" i="21" s="1"/>
  <c r="AZ28" i="21"/>
  <c r="AZ29" i="21" s="1"/>
  <c r="AZ30" i="21" s="1"/>
  <c r="AZ31" i="21" s="1"/>
  <c r="AR7" i="21"/>
  <c r="DJ7" i="21" s="1"/>
  <c r="FQ10" i="21"/>
  <c r="AT30" i="21"/>
  <c r="AT31" i="21" s="1"/>
  <c r="AT32" i="21" s="1"/>
  <c r="AT33" i="21" s="1"/>
  <c r="AT34" i="21" s="1"/>
  <c r="AT35" i="21" s="1"/>
  <c r="AT36" i="21" s="1"/>
  <c r="AT37" i="21" s="1"/>
  <c r="AT38" i="21" s="1"/>
  <c r="AT39" i="21" s="1"/>
  <c r="AT40" i="21" s="1"/>
  <c r="FI11" i="21"/>
  <c r="FK11" i="21" s="1"/>
  <c r="FM11" i="21" s="1"/>
  <c r="FG9" i="21"/>
  <c r="FF10" i="21"/>
  <c r="FG10" i="21" s="1"/>
  <c r="EX10" i="21"/>
  <c r="EY10" i="21" s="1"/>
  <c r="FA12" i="21"/>
  <c r="FI12" i="21" s="1"/>
  <c r="ES12" i="21"/>
  <c r="EU12" i="21" s="1"/>
  <c r="EW11" i="21"/>
  <c r="EL20" i="21"/>
  <c r="AS11" i="21"/>
  <c r="AP11" i="21"/>
  <c r="EH12" i="21"/>
  <c r="EA12" i="21"/>
  <c r="EP11" i="21"/>
  <c r="EQ11" i="21" s="1"/>
  <c r="EI11" i="21"/>
  <c r="FK9" i="21"/>
  <c r="FM9" i="21" s="1"/>
  <c r="FO9" i="21" s="1"/>
  <c r="FQ9" i="21"/>
  <c r="EM12" i="21"/>
  <c r="EO12" i="21" s="1"/>
  <c r="EE12" i="21"/>
  <c r="EG12" i="21" s="1"/>
  <c r="EC13" i="21"/>
  <c r="EK13" i="21" s="1"/>
  <c r="DW13" i="21"/>
  <c r="DY13" i="21" s="1"/>
  <c r="DZ13" i="21"/>
  <c r="DU14" i="21"/>
  <c r="CD13" i="21"/>
  <c r="CD14" i="21" s="1"/>
  <c r="CD15" i="21" s="1"/>
  <c r="CD16" i="21" s="1"/>
  <c r="CD17" i="21" s="1"/>
  <c r="CD18" i="21" s="1"/>
  <c r="CD19" i="21" s="1"/>
  <c r="CB13" i="21"/>
  <c r="CB14" i="21" s="1"/>
  <c r="CB15" i="21" s="1"/>
  <c r="CB16" i="21" s="1"/>
  <c r="CB17" i="21" s="1"/>
  <c r="CB18" i="21" s="1"/>
  <c r="CB19" i="21" s="1"/>
  <c r="CC13" i="21"/>
  <c r="CC14" i="21" s="1"/>
  <c r="CC15" i="21" s="1"/>
  <c r="CC16" i="21" s="1"/>
  <c r="CC17" i="21" s="1"/>
  <c r="CC18" i="21" s="1"/>
  <c r="CC19" i="21" s="1"/>
  <c r="BL53" i="21" l="1"/>
  <c r="BL41" i="21"/>
  <c r="BL42" i="21" s="1"/>
  <c r="BL43" i="21" s="1"/>
  <c r="BL44" i="21" s="1"/>
  <c r="BL45" i="21" s="1"/>
  <c r="BL46" i="21" s="1"/>
  <c r="BL47" i="21" s="1"/>
  <c r="BL48" i="21" s="1"/>
  <c r="BL49" i="21" s="1"/>
  <c r="BL50" i="21" s="1"/>
  <c r="BL51" i="21" s="1"/>
  <c r="BL52" i="21" s="1"/>
  <c r="BJ53" i="21"/>
  <c r="BJ41" i="21"/>
  <c r="BJ42" i="21" s="1"/>
  <c r="BJ43" i="21" s="1"/>
  <c r="BJ44" i="21" s="1"/>
  <c r="BJ45" i="21" s="1"/>
  <c r="BJ46" i="21" s="1"/>
  <c r="BJ47" i="21" s="1"/>
  <c r="BJ48" i="21" s="1"/>
  <c r="BJ49" i="21" s="1"/>
  <c r="BJ50" i="21" s="1"/>
  <c r="BJ51" i="21" s="1"/>
  <c r="BJ52" i="21" s="1"/>
  <c r="AT53" i="21"/>
  <c r="AT41" i="21"/>
  <c r="AT42" i="21" s="1"/>
  <c r="AT43" i="21" s="1"/>
  <c r="AT44" i="21" s="1"/>
  <c r="AT45" i="21" s="1"/>
  <c r="AT46" i="21" s="1"/>
  <c r="AT47" i="21" s="1"/>
  <c r="AT48" i="21" s="1"/>
  <c r="AT49" i="21" s="1"/>
  <c r="AT50" i="21" s="1"/>
  <c r="AT51" i="21" s="1"/>
  <c r="AT52" i="21" s="1"/>
  <c r="DO28" i="21"/>
  <c r="FS10" i="21"/>
  <c r="FU10" i="21" s="1"/>
  <c r="FY10" i="21"/>
  <c r="FS9" i="21"/>
  <c r="FU9" i="21" s="1"/>
  <c r="FW9" i="21" s="1"/>
  <c r="FY9" i="21"/>
  <c r="BD29" i="21"/>
  <c r="DM28" i="21"/>
  <c r="AY32" i="21"/>
  <c r="AY33" i="21" s="1"/>
  <c r="AY34" i="21" s="1"/>
  <c r="AY35" i="21" s="1"/>
  <c r="AY36" i="21" s="1"/>
  <c r="AY37" i="21" s="1"/>
  <c r="AY38" i="21" s="1"/>
  <c r="AY39" i="21" s="1"/>
  <c r="AY40" i="21" s="1"/>
  <c r="CC20" i="21"/>
  <c r="CC21" i="21" s="1"/>
  <c r="CC22" i="21" s="1"/>
  <c r="CC23" i="21" s="1"/>
  <c r="CC24" i="21" s="1"/>
  <c r="CC25" i="21" s="1"/>
  <c r="CC26" i="21" s="1"/>
  <c r="CC27" i="21" s="1"/>
  <c r="CC28" i="21" s="1"/>
  <c r="CC29" i="21" s="1"/>
  <c r="CC30" i="21" s="1"/>
  <c r="CC31" i="21" s="1"/>
  <c r="CC32" i="21" s="1"/>
  <c r="CC33" i="21" s="1"/>
  <c r="CC34" i="21" s="1"/>
  <c r="CC35" i="21" s="1"/>
  <c r="CC36" i="21" s="1"/>
  <c r="CC37" i="21" s="1"/>
  <c r="CC38" i="21" s="1"/>
  <c r="CC39" i="21" s="1"/>
  <c r="CC40" i="21" s="1"/>
  <c r="CB20" i="21"/>
  <c r="CB21" i="21" s="1"/>
  <c r="CB22" i="21" s="1"/>
  <c r="CB23" i="21" s="1"/>
  <c r="CB24" i="21" s="1"/>
  <c r="CB25" i="21" s="1"/>
  <c r="CB26" i="21" s="1"/>
  <c r="CB27" i="21" s="1"/>
  <c r="CB28" i="21" s="1"/>
  <c r="CB29" i="21" s="1"/>
  <c r="CB30" i="21" s="1"/>
  <c r="CB31" i="21" s="1"/>
  <c r="CB32" i="21" s="1"/>
  <c r="CB33" i="21" s="1"/>
  <c r="CB34" i="21" s="1"/>
  <c r="CB35" i="21" s="1"/>
  <c r="CB36" i="21" s="1"/>
  <c r="CB37" i="21" s="1"/>
  <c r="CB38" i="21" s="1"/>
  <c r="CB39" i="21" s="1"/>
  <c r="CB40" i="21" s="1"/>
  <c r="AX32" i="21"/>
  <c r="AX33" i="21" s="1"/>
  <c r="AX34" i="21" s="1"/>
  <c r="AX35" i="21" s="1"/>
  <c r="AX36" i="21" s="1"/>
  <c r="AX37" i="21" s="1"/>
  <c r="AX38" i="21" s="1"/>
  <c r="AX39" i="21" s="1"/>
  <c r="AX40" i="21" s="1"/>
  <c r="BE30" i="21"/>
  <c r="DN29" i="21"/>
  <c r="AO8" i="21"/>
  <c r="DI8" i="21" s="1"/>
  <c r="CD20" i="21"/>
  <c r="CD21" i="21" s="1"/>
  <c r="CD22" i="21" s="1"/>
  <c r="CD23" i="21" s="1"/>
  <c r="CD24" i="21" s="1"/>
  <c r="CD25" i="21" s="1"/>
  <c r="CD26" i="21" s="1"/>
  <c r="CD27" i="21" s="1"/>
  <c r="CD28" i="21" s="1"/>
  <c r="CD29" i="21" s="1"/>
  <c r="CD30" i="21" s="1"/>
  <c r="CD31" i="21" s="1"/>
  <c r="CD32" i="21" s="1"/>
  <c r="CD33" i="21" s="1"/>
  <c r="CD34" i="21" s="1"/>
  <c r="CD35" i="21" s="1"/>
  <c r="CD36" i="21" s="1"/>
  <c r="CD37" i="21" s="1"/>
  <c r="CD38" i="21" s="1"/>
  <c r="CD39" i="21" s="1"/>
  <c r="CD40" i="21" s="1"/>
  <c r="AZ32" i="21"/>
  <c r="AZ33" i="21" s="1"/>
  <c r="AZ34" i="21" s="1"/>
  <c r="AZ35" i="21" s="1"/>
  <c r="AZ36" i="21" s="1"/>
  <c r="AZ37" i="21" s="1"/>
  <c r="AZ38" i="21" s="1"/>
  <c r="AZ39" i="21" s="1"/>
  <c r="AZ40" i="21" s="1"/>
  <c r="BF30" i="21"/>
  <c r="DO29" i="21"/>
  <c r="AR8" i="21"/>
  <c r="DJ8" i="21" s="1"/>
  <c r="FN10" i="21"/>
  <c r="FV10" i="21" s="1"/>
  <c r="FQ11" i="21"/>
  <c r="FA13" i="21"/>
  <c r="FC13" i="21" s="1"/>
  <c r="FE13" i="21" s="1"/>
  <c r="ES13" i="21"/>
  <c r="EU13" i="21" s="1"/>
  <c r="FC12" i="21"/>
  <c r="FE12" i="21" s="1"/>
  <c r="EW12" i="21"/>
  <c r="FF11" i="21"/>
  <c r="FG11" i="21" s="1"/>
  <c r="EX11" i="21"/>
  <c r="EY11" i="21" s="1"/>
  <c r="EL21" i="21"/>
  <c r="AS12" i="21"/>
  <c r="AP12" i="21"/>
  <c r="EH13" i="21"/>
  <c r="EA13" i="21"/>
  <c r="EP12" i="21"/>
  <c r="EI12" i="21"/>
  <c r="FK12" i="21"/>
  <c r="FM12" i="21" s="1"/>
  <c r="FQ12" i="21"/>
  <c r="EM13" i="21"/>
  <c r="EO13" i="21" s="1"/>
  <c r="EE13" i="21"/>
  <c r="EG13" i="21" s="1"/>
  <c r="EC14" i="21"/>
  <c r="EK14" i="21" s="1"/>
  <c r="ES14" i="21" s="1"/>
  <c r="EU14" i="21" s="1"/>
  <c r="DW14" i="21"/>
  <c r="DY14" i="21" s="1"/>
  <c r="DZ14" i="21"/>
  <c r="DU15" i="21"/>
  <c r="AX53" i="21" l="1"/>
  <c r="AX41" i="21"/>
  <c r="AX42" i="21" s="1"/>
  <c r="AX43" i="21" s="1"/>
  <c r="AX44" i="21" s="1"/>
  <c r="AX45" i="21" s="1"/>
  <c r="AX46" i="21" s="1"/>
  <c r="AX47" i="21" s="1"/>
  <c r="AX48" i="21" s="1"/>
  <c r="AX49" i="21" s="1"/>
  <c r="AX50" i="21" s="1"/>
  <c r="AX51" i="21" s="1"/>
  <c r="AX52" i="21" s="1"/>
  <c r="CB53" i="21"/>
  <c r="CB41" i="21"/>
  <c r="CB42" i="21" s="1"/>
  <c r="CB43" i="21" s="1"/>
  <c r="CB44" i="21" s="1"/>
  <c r="CB45" i="21" s="1"/>
  <c r="CB46" i="21" s="1"/>
  <c r="CB47" i="21" s="1"/>
  <c r="CB48" i="21" s="1"/>
  <c r="CB49" i="21" s="1"/>
  <c r="CB50" i="21" s="1"/>
  <c r="CB51" i="21" s="1"/>
  <c r="CB52" i="21" s="1"/>
  <c r="AZ53" i="21"/>
  <c r="AZ41" i="21"/>
  <c r="AZ42" i="21" s="1"/>
  <c r="AZ43" i="21" s="1"/>
  <c r="AZ44" i="21" s="1"/>
  <c r="AZ45" i="21" s="1"/>
  <c r="AZ46" i="21" s="1"/>
  <c r="AZ47" i="21" s="1"/>
  <c r="AZ48" i="21" s="1"/>
  <c r="AZ49" i="21" s="1"/>
  <c r="AZ50" i="21" s="1"/>
  <c r="AZ51" i="21" s="1"/>
  <c r="AZ52" i="21" s="1"/>
  <c r="CC53" i="21"/>
  <c r="CC41" i="21"/>
  <c r="CC42" i="21" s="1"/>
  <c r="CC43" i="21" s="1"/>
  <c r="CC44" i="21" s="1"/>
  <c r="CC45" i="21" s="1"/>
  <c r="CC46" i="21" s="1"/>
  <c r="CC47" i="21" s="1"/>
  <c r="CC48" i="21" s="1"/>
  <c r="CC49" i="21" s="1"/>
  <c r="CC50" i="21" s="1"/>
  <c r="CC51" i="21" s="1"/>
  <c r="CC52" i="21" s="1"/>
  <c r="AY53" i="21"/>
  <c r="AY41" i="21"/>
  <c r="AY42" i="21" s="1"/>
  <c r="AY43" i="21" s="1"/>
  <c r="AY44" i="21" s="1"/>
  <c r="AY45" i="21" s="1"/>
  <c r="AY46" i="21" s="1"/>
  <c r="AY47" i="21" s="1"/>
  <c r="AY48" i="21" s="1"/>
  <c r="AY49" i="21" s="1"/>
  <c r="AY50" i="21" s="1"/>
  <c r="AY51" i="21" s="1"/>
  <c r="AY52" i="21" s="1"/>
  <c r="CD53" i="21"/>
  <c r="CD41" i="21"/>
  <c r="CD42" i="21" s="1"/>
  <c r="CD43" i="21" s="1"/>
  <c r="CD44" i="21" s="1"/>
  <c r="CD45" i="21" s="1"/>
  <c r="CD46" i="21" s="1"/>
  <c r="CD47" i="21" s="1"/>
  <c r="CD48" i="21" s="1"/>
  <c r="CD49" i="21" s="1"/>
  <c r="CD50" i="21" s="1"/>
  <c r="CD51" i="21" s="1"/>
  <c r="CD52" i="21" s="1"/>
  <c r="FS12" i="21"/>
  <c r="FU12" i="21" s="1"/>
  <c r="FY12" i="21"/>
  <c r="FS11" i="21"/>
  <c r="FU11" i="21" s="1"/>
  <c r="FY11" i="21"/>
  <c r="GG10" i="21"/>
  <c r="GI10" i="21" s="1"/>
  <c r="GK10" i="21" s="1"/>
  <c r="GA10" i="21"/>
  <c r="GC10" i="21" s="1"/>
  <c r="GG9" i="21"/>
  <c r="GI9" i="21" s="1"/>
  <c r="GK9" i="21" s="1"/>
  <c r="GM9" i="21" s="1"/>
  <c r="GA9" i="21"/>
  <c r="GC9" i="21" s="1"/>
  <c r="GE9" i="21" s="1"/>
  <c r="FW10" i="21"/>
  <c r="GD10" i="21"/>
  <c r="BF31" i="21"/>
  <c r="DO30" i="21"/>
  <c r="BD30" i="21"/>
  <c r="DM29" i="21"/>
  <c r="AO9" i="21"/>
  <c r="DI9" i="21" s="1"/>
  <c r="BE31" i="21"/>
  <c r="DN30" i="21"/>
  <c r="AR9" i="21"/>
  <c r="DJ9" i="21" s="1"/>
  <c r="FN11" i="21"/>
  <c r="FO10" i="21"/>
  <c r="FI13" i="21"/>
  <c r="FK13" i="21" s="1"/>
  <c r="FM13" i="21" s="1"/>
  <c r="EW13" i="21"/>
  <c r="EW14" i="21"/>
  <c r="FF12" i="21"/>
  <c r="FN12" i="21" s="1"/>
  <c r="FO12" i="21" s="1"/>
  <c r="EX12" i="21"/>
  <c r="EY12" i="21" s="1"/>
  <c r="EQ12" i="21"/>
  <c r="EL22" i="21"/>
  <c r="AP13" i="21"/>
  <c r="AS13" i="21"/>
  <c r="EP13" i="21"/>
  <c r="EQ13" i="21" s="1"/>
  <c r="EI13" i="21"/>
  <c r="EH14" i="21"/>
  <c r="EA14" i="21"/>
  <c r="EM14" i="21"/>
  <c r="EO14" i="21" s="1"/>
  <c r="FA14" i="21"/>
  <c r="EE14" i="21"/>
  <c r="EG14" i="21" s="1"/>
  <c r="EC15" i="21"/>
  <c r="EK15" i="21" s="1"/>
  <c r="ES15" i="21" s="1"/>
  <c r="EU15" i="21" s="1"/>
  <c r="DW15" i="21"/>
  <c r="DY15" i="21" s="1"/>
  <c r="DZ15" i="21"/>
  <c r="GA12" i="21" l="1"/>
  <c r="GC12" i="21" s="1"/>
  <c r="GG12" i="21"/>
  <c r="GI12" i="21" s="1"/>
  <c r="GK12" i="21" s="1"/>
  <c r="GG11" i="21"/>
  <c r="GI11" i="21" s="1"/>
  <c r="GK11" i="21" s="1"/>
  <c r="GA11" i="21"/>
  <c r="GC11" i="21" s="1"/>
  <c r="GL10" i="21"/>
  <c r="GM10" i="21" s="1"/>
  <c r="GE10" i="21"/>
  <c r="BE32" i="21"/>
  <c r="DN32" i="21" s="1"/>
  <c r="DN31" i="21"/>
  <c r="BF32" i="21"/>
  <c r="BF33" i="21" s="1"/>
  <c r="DO31" i="21"/>
  <c r="AO10" i="21"/>
  <c r="DI10" i="21" s="1"/>
  <c r="BD31" i="21"/>
  <c r="DM30" i="21"/>
  <c r="AR10" i="21"/>
  <c r="DJ10" i="21" s="1"/>
  <c r="FQ13" i="21"/>
  <c r="FV11" i="21"/>
  <c r="FO11" i="21"/>
  <c r="FV12" i="21"/>
  <c r="FG12" i="21"/>
  <c r="FF13" i="21"/>
  <c r="EX13" i="21"/>
  <c r="EY13" i="21" s="1"/>
  <c r="EW15" i="21"/>
  <c r="EL23" i="21"/>
  <c r="AS14" i="21"/>
  <c r="AP14" i="21"/>
  <c r="EP14" i="21"/>
  <c r="EQ14" i="21" s="1"/>
  <c r="EI14" i="21"/>
  <c r="EH15" i="21"/>
  <c r="EA15" i="21"/>
  <c r="DU16" i="21"/>
  <c r="EC16" i="21" s="1"/>
  <c r="EK16" i="21" s="1"/>
  <c r="EM15" i="21"/>
  <c r="EO15" i="21" s="1"/>
  <c r="FA15" i="21"/>
  <c r="FC14" i="21"/>
  <c r="FE14" i="21" s="1"/>
  <c r="FI14" i="21"/>
  <c r="EE15" i="21"/>
  <c r="EG15" i="21" s="1"/>
  <c r="DZ16" i="21"/>
  <c r="DU17" i="21"/>
  <c r="FS13" i="21" l="1"/>
  <c r="FU13" i="21" s="1"/>
  <c r="FY13" i="21"/>
  <c r="BE33" i="21"/>
  <c r="BE34" i="21" s="1"/>
  <c r="FW11" i="21"/>
  <c r="GD11" i="21"/>
  <c r="GL11" i="21" s="1"/>
  <c r="GM11" i="21" s="1"/>
  <c r="FW12" i="21"/>
  <c r="GD12" i="21"/>
  <c r="GL12" i="21" s="1"/>
  <c r="GM12" i="21" s="1"/>
  <c r="DO32" i="21"/>
  <c r="BD32" i="21"/>
  <c r="DM32" i="21" s="1"/>
  <c r="DM31" i="21"/>
  <c r="AO11" i="21"/>
  <c r="DI11" i="21" s="1"/>
  <c r="BF34" i="21"/>
  <c r="DO33" i="21"/>
  <c r="DN33" i="21"/>
  <c r="AR11" i="21"/>
  <c r="DJ11" i="21" s="1"/>
  <c r="FN13" i="21"/>
  <c r="FG13" i="21"/>
  <c r="FF14" i="21"/>
  <c r="FN14" i="21" s="1"/>
  <c r="FV14" i="21" s="1"/>
  <c r="GD14" i="21" s="1"/>
  <c r="GL14" i="21" s="1"/>
  <c r="EX14" i="21"/>
  <c r="EY14" i="21" s="1"/>
  <c r="FA16" i="21"/>
  <c r="FI16" i="21" s="1"/>
  <c r="ES16" i="21"/>
  <c r="EU16" i="21" s="1"/>
  <c r="EL24" i="21"/>
  <c r="AP15" i="21"/>
  <c r="AS15" i="21"/>
  <c r="DW16" i="21"/>
  <c r="DY16" i="21" s="1"/>
  <c r="EA16" i="21" s="1"/>
  <c r="EH16" i="21"/>
  <c r="EP15" i="21"/>
  <c r="EQ15" i="21" s="1"/>
  <c r="EI15" i="21"/>
  <c r="FQ14" i="21"/>
  <c r="FK14" i="21"/>
  <c r="FM14" i="21" s="1"/>
  <c r="FI15" i="21"/>
  <c r="FC15" i="21"/>
  <c r="FE15" i="21" s="1"/>
  <c r="EM16" i="21"/>
  <c r="EO16" i="21" s="1"/>
  <c r="EE16" i="21"/>
  <c r="EG16" i="21" s="1"/>
  <c r="EC17" i="21"/>
  <c r="EK17" i="21" s="1"/>
  <c r="ES17" i="21" s="1"/>
  <c r="EU17" i="21" s="1"/>
  <c r="DW17" i="21"/>
  <c r="DY17" i="21" s="1"/>
  <c r="DZ17" i="21"/>
  <c r="DU18" i="21"/>
  <c r="GE12" i="21" l="1"/>
  <c r="BD33" i="21"/>
  <c r="BD34" i="21" s="1"/>
  <c r="GE11" i="21"/>
  <c r="FS14" i="21"/>
  <c r="FU14" i="21" s="1"/>
  <c r="FW14" i="21" s="1"/>
  <c r="FY14" i="21"/>
  <c r="GA13" i="21"/>
  <c r="GC13" i="21" s="1"/>
  <c r="GG13" i="21"/>
  <c r="GI13" i="21" s="1"/>
  <c r="GK13" i="21" s="1"/>
  <c r="AO12" i="21"/>
  <c r="DI12" i="21" s="1"/>
  <c r="DM33" i="21"/>
  <c r="BE35" i="21"/>
  <c r="DN34" i="21"/>
  <c r="BF35" i="21"/>
  <c r="DO34" i="21"/>
  <c r="FO14" i="21"/>
  <c r="FC16" i="21"/>
  <c r="FE16" i="21" s="1"/>
  <c r="AR12" i="21"/>
  <c r="DJ12" i="21" s="1"/>
  <c r="FG14" i="21"/>
  <c r="FO13" i="21"/>
  <c r="FV13" i="21"/>
  <c r="FF15" i="21"/>
  <c r="FN15" i="21" s="1"/>
  <c r="FV15" i="21" s="1"/>
  <c r="GD15" i="21" s="1"/>
  <c r="GL15" i="21" s="1"/>
  <c r="EX15" i="21"/>
  <c r="EY15" i="21" s="1"/>
  <c r="EW17" i="21"/>
  <c r="EW16" i="21"/>
  <c r="EL25" i="21"/>
  <c r="AS16" i="21"/>
  <c r="AP16" i="21"/>
  <c r="EP16" i="21"/>
  <c r="EQ16" i="21" s="1"/>
  <c r="EI16" i="21"/>
  <c r="EH17" i="21"/>
  <c r="EA17" i="21"/>
  <c r="EM17" i="21"/>
  <c r="EO17" i="21" s="1"/>
  <c r="FA17" i="21"/>
  <c r="FQ15" i="21"/>
  <c r="FK15" i="21"/>
  <c r="FM15" i="21" s="1"/>
  <c r="FQ16" i="21"/>
  <c r="FK16" i="21"/>
  <c r="FM16" i="21" s="1"/>
  <c r="EE17" i="21"/>
  <c r="EG17" i="21" s="1"/>
  <c r="EC18" i="21"/>
  <c r="EK18" i="21" s="1"/>
  <c r="ES18" i="21" s="1"/>
  <c r="EU18" i="21" s="1"/>
  <c r="DW18" i="21"/>
  <c r="DY18" i="21" s="1"/>
  <c r="DZ18" i="21"/>
  <c r="DU19" i="21"/>
  <c r="AO13" i="21" l="1"/>
  <c r="DI13" i="21" s="1"/>
  <c r="FS15" i="21"/>
  <c r="FU15" i="21" s="1"/>
  <c r="FW15" i="21" s="1"/>
  <c r="FY15" i="21"/>
  <c r="FS16" i="21"/>
  <c r="FU16" i="21" s="1"/>
  <c r="FY16" i="21"/>
  <c r="GG14" i="21"/>
  <c r="GI14" i="21" s="1"/>
  <c r="GK14" i="21" s="1"/>
  <c r="GM14" i="21" s="1"/>
  <c r="GA14" i="21"/>
  <c r="GC14" i="21" s="1"/>
  <c r="GE14" i="21" s="1"/>
  <c r="FW13" i="21"/>
  <c r="GD13" i="21"/>
  <c r="GL13" i="21" s="1"/>
  <c r="GM13" i="21" s="1"/>
  <c r="FO15" i="21"/>
  <c r="BE36" i="21"/>
  <c r="DN35" i="21"/>
  <c r="BF36" i="21"/>
  <c r="DO35" i="21"/>
  <c r="BD35" i="21"/>
  <c r="DM34" i="21"/>
  <c r="AR13" i="21"/>
  <c r="DJ13" i="21" s="1"/>
  <c r="FG15" i="21"/>
  <c r="FF16" i="21"/>
  <c r="FN16" i="21" s="1"/>
  <c r="FV16" i="21" s="1"/>
  <c r="EX16" i="21"/>
  <c r="EY16" i="21" s="1"/>
  <c r="EW18" i="21"/>
  <c r="EL26" i="21"/>
  <c r="AP17" i="21"/>
  <c r="AS17" i="21"/>
  <c r="EH18" i="21"/>
  <c r="EA18" i="21"/>
  <c r="EP17" i="21"/>
  <c r="EQ17" i="21" s="1"/>
  <c r="EI17" i="21"/>
  <c r="EM18" i="21"/>
  <c r="EO18" i="21" s="1"/>
  <c r="FA18" i="21"/>
  <c r="FC17" i="21"/>
  <c r="FE17" i="21" s="1"/>
  <c r="FI17" i="21"/>
  <c r="EE18" i="21"/>
  <c r="EG18" i="21" s="1"/>
  <c r="EC19" i="21"/>
  <c r="EK19" i="21" s="1"/>
  <c r="DW19" i="21"/>
  <c r="DY19" i="21" s="1"/>
  <c r="DZ19" i="21"/>
  <c r="DU20" i="21"/>
  <c r="AO14" i="21" l="1"/>
  <c r="DI14" i="21" s="1"/>
  <c r="GE13" i="21"/>
  <c r="GG16" i="21"/>
  <c r="GI16" i="21" s="1"/>
  <c r="GK16" i="21" s="1"/>
  <c r="GA16" i="21"/>
  <c r="GC16" i="21" s="1"/>
  <c r="GG15" i="21"/>
  <c r="GI15" i="21" s="1"/>
  <c r="GK15" i="21" s="1"/>
  <c r="GM15" i="21" s="1"/>
  <c r="GA15" i="21"/>
  <c r="GC15" i="21" s="1"/>
  <c r="GE15" i="21" s="1"/>
  <c r="FW16" i="21"/>
  <c r="GD16" i="21"/>
  <c r="GL16" i="21" s="1"/>
  <c r="BD36" i="21"/>
  <c r="DM35" i="21"/>
  <c r="AR14" i="21"/>
  <c r="DJ14" i="21" s="1"/>
  <c r="BF37" i="21"/>
  <c r="DO36" i="21"/>
  <c r="BE37" i="21"/>
  <c r="DN36" i="21"/>
  <c r="FO16" i="21"/>
  <c r="FG16" i="21"/>
  <c r="FF17" i="21"/>
  <c r="FN17" i="21" s="1"/>
  <c r="FV17" i="21" s="1"/>
  <c r="GD17" i="21" s="1"/>
  <c r="GL17" i="21" s="1"/>
  <c r="EX17" i="21"/>
  <c r="EY17" i="21" s="1"/>
  <c r="FA19" i="21"/>
  <c r="FI19" i="21" s="1"/>
  <c r="ES19" i="21"/>
  <c r="EU19" i="21" s="1"/>
  <c r="EL27" i="21"/>
  <c r="AP18" i="21"/>
  <c r="AS18" i="21"/>
  <c r="EH19" i="21"/>
  <c r="EA19" i="21"/>
  <c r="EP18" i="21"/>
  <c r="EQ18" i="21" s="1"/>
  <c r="EI18" i="21"/>
  <c r="FK17" i="21"/>
  <c r="FM17" i="21" s="1"/>
  <c r="FQ17" i="21"/>
  <c r="FI18" i="21"/>
  <c r="FC18" i="21"/>
  <c r="FE18" i="21" s="1"/>
  <c r="EM19" i="21"/>
  <c r="EO19" i="21" s="1"/>
  <c r="EE19" i="21"/>
  <c r="EG19" i="21" s="1"/>
  <c r="EC20" i="21"/>
  <c r="EK20" i="21" s="1"/>
  <c r="ES20" i="21" s="1"/>
  <c r="EU20" i="21" s="1"/>
  <c r="DW20" i="21"/>
  <c r="DY20" i="21" s="1"/>
  <c r="DZ20" i="21"/>
  <c r="DU21" i="21"/>
  <c r="AO15" i="21" l="1"/>
  <c r="DI15" i="21" s="1"/>
  <c r="GM16" i="21"/>
  <c r="GE16" i="21"/>
  <c r="FS17" i="21"/>
  <c r="FU17" i="21" s="1"/>
  <c r="FW17" i="21" s="1"/>
  <c r="FY17" i="21"/>
  <c r="FO17" i="21"/>
  <c r="BE38" i="21"/>
  <c r="DN37" i="21"/>
  <c r="BD37" i="21"/>
  <c r="DM36" i="21"/>
  <c r="AR15" i="21"/>
  <c r="DJ15" i="21" s="1"/>
  <c r="BF38" i="21"/>
  <c r="DO37" i="21"/>
  <c r="FG17" i="21"/>
  <c r="FC19" i="21"/>
  <c r="FE19" i="21" s="1"/>
  <c r="FF18" i="21"/>
  <c r="FN18" i="21" s="1"/>
  <c r="FV18" i="21" s="1"/>
  <c r="GD18" i="21" s="1"/>
  <c r="GL18" i="21" s="1"/>
  <c r="EX18" i="21"/>
  <c r="EY18" i="21" s="1"/>
  <c r="EW19" i="21"/>
  <c r="EW20" i="21"/>
  <c r="EL28" i="21"/>
  <c r="AS19" i="21"/>
  <c r="AP19" i="21"/>
  <c r="EH20" i="21"/>
  <c r="EA20" i="21"/>
  <c r="EP19" i="21"/>
  <c r="EQ19" i="21" s="1"/>
  <c r="EI19" i="21"/>
  <c r="FQ19" i="21"/>
  <c r="FK19" i="21"/>
  <c r="FM19" i="21" s="1"/>
  <c r="FQ18" i="21"/>
  <c r="FK18" i="21"/>
  <c r="FM18" i="21" s="1"/>
  <c r="EM20" i="21"/>
  <c r="EO20" i="21" s="1"/>
  <c r="FA20" i="21"/>
  <c r="EE20" i="21"/>
  <c r="EG20" i="21" s="1"/>
  <c r="EC21" i="21"/>
  <c r="EK21" i="21" s="1"/>
  <c r="DW21" i="21"/>
  <c r="DY21" i="21" s="1"/>
  <c r="DZ21" i="21"/>
  <c r="DU22" i="21"/>
  <c r="AO16" i="21" l="1"/>
  <c r="DI16" i="21" s="1"/>
  <c r="FO18" i="21"/>
  <c r="FS18" i="21"/>
  <c r="FU18" i="21" s="1"/>
  <c r="FW18" i="21" s="1"/>
  <c r="FY18" i="21"/>
  <c r="FS19" i="21"/>
  <c r="FU19" i="21" s="1"/>
  <c r="FY19" i="21"/>
  <c r="GA17" i="21"/>
  <c r="GC17" i="21" s="1"/>
  <c r="GE17" i="21" s="1"/>
  <c r="GG17" i="21"/>
  <c r="GI17" i="21" s="1"/>
  <c r="GK17" i="21" s="1"/>
  <c r="GM17" i="21" s="1"/>
  <c r="BF39" i="21"/>
  <c r="DO38" i="21"/>
  <c r="AO17" i="21"/>
  <c r="DI17" i="21" s="1"/>
  <c r="BD38" i="21"/>
  <c r="DM37" i="21"/>
  <c r="AR16" i="21"/>
  <c r="DJ16" i="21" s="1"/>
  <c r="BE39" i="21"/>
  <c r="DN38" i="21"/>
  <c r="FG18" i="21"/>
  <c r="FF19" i="21"/>
  <c r="FN19" i="21" s="1"/>
  <c r="FO19" i="21" s="1"/>
  <c r="EX19" i="21"/>
  <c r="EY19" i="21" s="1"/>
  <c r="FA21" i="21"/>
  <c r="FI21" i="21" s="1"/>
  <c r="ES21" i="21"/>
  <c r="EU21" i="21" s="1"/>
  <c r="EL29" i="21"/>
  <c r="AP20" i="21"/>
  <c r="AS20" i="21"/>
  <c r="EP20" i="21"/>
  <c r="EQ20" i="21" s="1"/>
  <c r="EI20" i="21"/>
  <c r="EH21" i="21"/>
  <c r="EA21" i="21"/>
  <c r="FC20" i="21"/>
  <c r="FE20" i="21" s="1"/>
  <c r="FI20" i="21"/>
  <c r="EM21" i="21"/>
  <c r="EO21" i="21" s="1"/>
  <c r="EE21" i="21"/>
  <c r="EG21" i="21" s="1"/>
  <c r="EC22" i="21"/>
  <c r="EK22" i="21" s="1"/>
  <c r="DW22" i="21"/>
  <c r="DY22" i="21" s="1"/>
  <c r="DZ22" i="21"/>
  <c r="DU23" i="21"/>
  <c r="GG19" i="21" l="1"/>
  <c r="GI19" i="21" s="1"/>
  <c r="GK19" i="21" s="1"/>
  <c r="GA19" i="21"/>
  <c r="GC19" i="21" s="1"/>
  <c r="GG18" i="21"/>
  <c r="GI18" i="21" s="1"/>
  <c r="GK18" i="21" s="1"/>
  <c r="GM18" i="21" s="1"/>
  <c r="GA18" i="21"/>
  <c r="GC18" i="21" s="1"/>
  <c r="GE18" i="21" s="1"/>
  <c r="BE40" i="21"/>
  <c r="BE41" i="21" s="1"/>
  <c r="DN39" i="21"/>
  <c r="AR17" i="21"/>
  <c r="DJ17" i="21" s="1"/>
  <c r="AO18" i="21"/>
  <c r="DI18" i="21" s="1"/>
  <c r="BF40" i="21"/>
  <c r="BF41" i="21" s="1"/>
  <c r="DO39" i="21"/>
  <c r="BD39" i="21"/>
  <c r="DM38" i="21"/>
  <c r="FG19" i="21"/>
  <c r="FC21" i="21"/>
  <c r="FE21" i="21" s="1"/>
  <c r="FF20" i="21"/>
  <c r="FN20" i="21" s="1"/>
  <c r="FV20" i="21" s="1"/>
  <c r="GD20" i="21" s="1"/>
  <c r="GL20" i="21" s="1"/>
  <c r="EX20" i="21"/>
  <c r="EY20" i="21" s="1"/>
  <c r="EW21" i="21"/>
  <c r="FA22" i="21"/>
  <c r="FC22" i="21" s="1"/>
  <c r="FE22" i="21" s="1"/>
  <c r="ES22" i="21"/>
  <c r="EU22" i="21" s="1"/>
  <c r="EW22" i="21" s="1"/>
  <c r="EL30" i="21"/>
  <c r="AP21" i="21"/>
  <c r="AS21" i="21"/>
  <c r="FV19" i="21"/>
  <c r="EH22" i="21"/>
  <c r="EA22" i="21"/>
  <c r="EP21" i="21"/>
  <c r="EQ21" i="21" s="1"/>
  <c r="EI21" i="21"/>
  <c r="FK20" i="21"/>
  <c r="FM20" i="21" s="1"/>
  <c r="FQ20" i="21"/>
  <c r="FK21" i="21"/>
  <c r="FM21" i="21" s="1"/>
  <c r="FQ21" i="21"/>
  <c r="EM22" i="21"/>
  <c r="EO22" i="21" s="1"/>
  <c r="EE22" i="21"/>
  <c r="EG22" i="21" s="1"/>
  <c r="EC23" i="21"/>
  <c r="EK23" i="21" s="1"/>
  <c r="DW23" i="21"/>
  <c r="DY23" i="21" s="1"/>
  <c r="DZ23" i="21"/>
  <c r="DU24" i="21"/>
  <c r="BE42" i="21" l="1"/>
  <c r="DN41" i="21"/>
  <c r="BF42" i="21"/>
  <c r="DO41" i="21"/>
  <c r="FS20" i="21"/>
  <c r="FU20" i="21" s="1"/>
  <c r="FW20" i="21" s="1"/>
  <c r="FY20" i="21"/>
  <c r="FS21" i="21"/>
  <c r="FU21" i="21" s="1"/>
  <c r="FY21" i="21"/>
  <c r="FW19" i="21"/>
  <c r="GD19" i="21"/>
  <c r="GL19" i="21" s="1"/>
  <c r="GM19" i="21" s="1"/>
  <c r="FO20" i="21"/>
  <c r="BD40" i="21"/>
  <c r="BD41" i="21" s="1"/>
  <c r="DM39" i="21"/>
  <c r="BF53" i="21"/>
  <c r="DO40" i="21"/>
  <c r="AR18" i="21"/>
  <c r="DJ18" i="21" s="1"/>
  <c r="AO19" i="21"/>
  <c r="DI19" i="21" s="1"/>
  <c r="BE53" i="21"/>
  <c r="DN40" i="21"/>
  <c r="FG20" i="21"/>
  <c r="FF21" i="21"/>
  <c r="FN21" i="21" s="1"/>
  <c r="FO21" i="21" s="1"/>
  <c r="EX21" i="21"/>
  <c r="EY21" i="21" s="1"/>
  <c r="FI22" i="21"/>
  <c r="FQ22" i="21" s="1"/>
  <c r="FA23" i="21"/>
  <c r="FI23" i="21" s="1"/>
  <c r="ES23" i="21"/>
  <c r="EU23" i="21" s="1"/>
  <c r="EW23" i="21" s="1"/>
  <c r="EL31" i="21"/>
  <c r="AS22" i="21"/>
  <c r="AP22" i="21"/>
  <c r="EH23" i="21"/>
  <c r="EA23" i="21"/>
  <c r="EP22" i="21"/>
  <c r="EQ22" i="21" s="1"/>
  <c r="EI22" i="21"/>
  <c r="EM23" i="21"/>
  <c r="EO23" i="21" s="1"/>
  <c r="EE23" i="21"/>
  <c r="EG23" i="21" s="1"/>
  <c r="EC24" i="21"/>
  <c r="EK24" i="21" s="1"/>
  <c r="DW24" i="21"/>
  <c r="DY24" i="21" s="1"/>
  <c r="DZ24" i="21"/>
  <c r="DU25" i="21"/>
  <c r="BD42" i="21" l="1"/>
  <c r="DM41" i="21"/>
  <c r="DQ41" i="21" s="1"/>
  <c r="DR41" i="21" s="1"/>
  <c r="BF43" i="21"/>
  <c r="BF44" i="21" s="1"/>
  <c r="BF45" i="21" s="1"/>
  <c r="BF46" i="21" s="1"/>
  <c r="BF47" i="21" s="1"/>
  <c r="BF48" i="21" s="1"/>
  <c r="BF49" i="21" s="1"/>
  <c r="BF50" i="21" s="1"/>
  <c r="BF51" i="21" s="1"/>
  <c r="BF52" i="21" s="1"/>
  <c r="DO42" i="21"/>
  <c r="BE43" i="21"/>
  <c r="BE44" i="21" s="1"/>
  <c r="BE45" i="21" s="1"/>
  <c r="BE46" i="21" s="1"/>
  <c r="BE47" i="21" s="1"/>
  <c r="BE48" i="21" s="1"/>
  <c r="BE49" i="21" s="1"/>
  <c r="BE50" i="21" s="1"/>
  <c r="BE51" i="21" s="1"/>
  <c r="BE52" i="21" s="1"/>
  <c r="DN42" i="21"/>
  <c r="GE19" i="21"/>
  <c r="FS22" i="21"/>
  <c r="FU22" i="21" s="1"/>
  <c r="FY22" i="21"/>
  <c r="GA21" i="21"/>
  <c r="GC21" i="21" s="1"/>
  <c r="GG21" i="21"/>
  <c r="GI21" i="21" s="1"/>
  <c r="GK21" i="21" s="1"/>
  <c r="GG20" i="21"/>
  <c r="GI20" i="21" s="1"/>
  <c r="GK20" i="21" s="1"/>
  <c r="GM20" i="21" s="1"/>
  <c r="GA20" i="21"/>
  <c r="GC20" i="21" s="1"/>
  <c r="GE20" i="21" s="1"/>
  <c r="FC23" i="21"/>
  <c r="FE23" i="21" s="1"/>
  <c r="AO20" i="21"/>
  <c r="DI20" i="21" s="1"/>
  <c r="BD53" i="21"/>
  <c r="DM40" i="21"/>
  <c r="AR19" i="21"/>
  <c r="DJ19" i="21" s="1"/>
  <c r="FG21" i="21"/>
  <c r="FV21" i="21"/>
  <c r="FK22" i="21"/>
  <c r="FM22" i="21" s="1"/>
  <c r="FF22" i="21"/>
  <c r="EX22" i="21"/>
  <c r="EY22" i="21" s="1"/>
  <c r="FA24" i="21"/>
  <c r="FC24" i="21" s="1"/>
  <c r="FE24" i="21" s="1"/>
  <c r="ES24" i="21"/>
  <c r="EU24" i="21" s="1"/>
  <c r="EL32" i="21"/>
  <c r="AP23" i="21"/>
  <c r="AS23" i="21"/>
  <c r="EH24" i="21"/>
  <c r="EA24" i="21"/>
  <c r="EP23" i="21"/>
  <c r="EQ23" i="21" s="1"/>
  <c r="EI23" i="21"/>
  <c r="FK23" i="21"/>
  <c r="FM23" i="21" s="1"/>
  <c r="FQ23" i="21"/>
  <c r="EM24" i="21"/>
  <c r="EO24" i="21" s="1"/>
  <c r="EE24" i="21"/>
  <c r="EG24" i="21" s="1"/>
  <c r="EC25" i="21"/>
  <c r="EK25" i="21" s="1"/>
  <c r="DW25" i="21"/>
  <c r="DY25" i="21" s="1"/>
  <c r="DZ25" i="21"/>
  <c r="DU26" i="21"/>
  <c r="BD43" i="21" l="1"/>
  <c r="BD44" i="21" s="1"/>
  <c r="BD45" i="21" s="1"/>
  <c r="BD46" i="21" s="1"/>
  <c r="BD47" i="21" s="1"/>
  <c r="BD48" i="21" s="1"/>
  <c r="BD49" i="21" s="1"/>
  <c r="BD50" i="21" s="1"/>
  <c r="BD51" i="21" s="1"/>
  <c r="BD52" i="21" s="1"/>
  <c r="DM42" i="21"/>
  <c r="DQ42" i="21" s="1"/>
  <c r="DR42" i="21" s="1"/>
  <c r="FS23" i="21"/>
  <c r="FU23" i="21" s="1"/>
  <c r="FY23" i="21"/>
  <c r="GG22" i="21"/>
  <c r="GI22" i="21" s="1"/>
  <c r="GK22" i="21" s="1"/>
  <c r="GA22" i="21"/>
  <c r="GC22" i="21" s="1"/>
  <c r="FW21" i="21"/>
  <c r="GD21" i="21"/>
  <c r="GL21" i="21" s="1"/>
  <c r="GM21" i="21" s="1"/>
  <c r="AO21" i="21"/>
  <c r="DI21" i="21" s="1"/>
  <c r="AR20" i="21"/>
  <c r="DJ20" i="21" s="1"/>
  <c r="FN22" i="21"/>
  <c r="FV22" i="21" s="1"/>
  <c r="FG22" i="21"/>
  <c r="FI24" i="21"/>
  <c r="FK24" i="21" s="1"/>
  <c r="FM24" i="21" s="1"/>
  <c r="FF23" i="21"/>
  <c r="EX23" i="21"/>
  <c r="EY23" i="21" s="1"/>
  <c r="EW24" i="21"/>
  <c r="FA25" i="21"/>
  <c r="FI25" i="21" s="1"/>
  <c r="ES25" i="21"/>
  <c r="EU25" i="21" s="1"/>
  <c r="EL33" i="21"/>
  <c r="AP24" i="21"/>
  <c r="AS24" i="21"/>
  <c r="EH25" i="21"/>
  <c r="EA25" i="21"/>
  <c r="EP24" i="21"/>
  <c r="EQ24" i="21" s="1"/>
  <c r="EI24" i="21"/>
  <c r="EM25" i="21"/>
  <c r="EO25" i="21" s="1"/>
  <c r="EE25" i="21"/>
  <c r="EG25" i="21" s="1"/>
  <c r="EC26" i="21"/>
  <c r="EK26" i="21" s="1"/>
  <c r="DW26" i="21"/>
  <c r="DY26" i="21" s="1"/>
  <c r="DZ26" i="21"/>
  <c r="DU27" i="21"/>
  <c r="GE21" i="21" l="1"/>
  <c r="GG23" i="21"/>
  <c r="GI23" i="21" s="1"/>
  <c r="GK23" i="21" s="1"/>
  <c r="GA23" i="21"/>
  <c r="GC23" i="21" s="1"/>
  <c r="FW22" i="21"/>
  <c r="GD22" i="21"/>
  <c r="GL22" i="21" s="1"/>
  <c r="GM22" i="21" s="1"/>
  <c r="AO22" i="21"/>
  <c r="DI22" i="21" s="1"/>
  <c r="AR21" i="21"/>
  <c r="DJ21" i="21" s="1"/>
  <c r="FN23" i="21"/>
  <c r="FO23" i="21" s="1"/>
  <c r="FG23" i="21"/>
  <c r="FQ24" i="21"/>
  <c r="FO22" i="21"/>
  <c r="FC25" i="21"/>
  <c r="FE25" i="21" s="1"/>
  <c r="EW25" i="21"/>
  <c r="FF24" i="21"/>
  <c r="EX24" i="21"/>
  <c r="EY24" i="21" s="1"/>
  <c r="FA26" i="21"/>
  <c r="FC26" i="21" s="1"/>
  <c r="FE26" i="21" s="1"/>
  <c r="ES26" i="21"/>
  <c r="EU26" i="21" s="1"/>
  <c r="EW26" i="21" s="1"/>
  <c r="EL34" i="21"/>
  <c r="AS25" i="21"/>
  <c r="AS30" i="21"/>
  <c r="AS31" i="21" s="1"/>
  <c r="AS32" i="21" s="1"/>
  <c r="AS33" i="21" s="1"/>
  <c r="AS34" i="21" s="1"/>
  <c r="AS35" i="21" s="1"/>
  <c r="AS36" i="21" s="1"/>
  <c r="AS37" i="21" s="1"/>
  <c r="AS38" i="21" s="1"/>
  <c r="AS39" i="21" s="1"/>
  <c r="AS40" i="21" s="1"/>
  <c r="AP25" i="21"/>
  <c r="AP30" i="21"/>
  <c r="AP31" i="21" s="1"/>
  <c r="AP32" i="21" s="1"/>
  <c r="AP33" i="21" s="1"/>
  <c r="AP34" i="21" s="1"/>
  <c r="AP35" i="21" s="1"/>
  <c r="AP36" i="21" s="1"/>
  <c r="AP37" i="21" s="1"/>
  <c r="AP38" i="21" s="1"/>
  <c r="AP39" i="21" s="1"/>
  <c r="AP40" i="21" s="1"/>
  <c r="EH26" i="21"/>
  <c r="EA26" i="21"/>
  <c r="EP25" i="21"/>
  <c r="EQ25" i="21" s="1"/>
  <c r="EI25" i="21"/>
  <c r="FQ25" i="21"/>
  <c r="FK25" i="21"/>
  <c r="FM25" i="21" s="1"/>
  <c r="EM26" i="21"/>
  <c r="EO26" i="21" s="1"/>
  <c r="EE26" i="21"/>
  <c r="EG26" i="21" s="1"/>
  <c r="EC27" i="21"/>
  <c r="EK27" i="21" s="1"/>
  <c r="DW27" i="21"/>
  <c r="DY27" i="21" s="1"/>
  <c r="DZ27" i="21"/>
  <c r="DU28" i="21"/>
  <c r="AS53" i="21" l="1"/>
  <c r="AS41" i="21"/>
  <c r="AS42" i="21" s="1"/>
  <c r="AS43" i="21" s="1"/>
  <c r="AS44" i="21" s="1"/>
  <c r="AS45" i="21" s="1"/>
  <c r="AS46" i="21" s="1"/>
  <c r="AS47" i="21" s="1"/>
  <c r="AS48" i="21" s="1"/>
  <c r="AS49" i="21" s="1"/>
  <c r="AS50" i="21" s="1"/>
  <c r="AS51" i="21" s="1"/>
  <c r="AS52" i="21" s="1"/>
  <c r="AP53" i="21"/>
  <c r="AP41" i="21"/>
  <c r="AP42" i="21" s="1"/>
  <c r="AP43" i="21" s="1"/>
  <c r="AP44" i="21" s="1"/>
  <c r="AP45" i="21" s="1"/>
  <c r="AP46" i="21" s="1"/>
  <c r="AP47" i="21" s="1"/>
  <c r="AP48" i="21" s="1"/>
  <c r="AP49" i="21" s="1"/>
  <c r="AP50" i="21" s="1"/>
  <c r="AP51" i="21" s="1"/>
  <c r="AP52" i="21" s="1"/>
  <c r="GE22" i="21"/>
  <c r="FS25" i="21"/>
  <c r="FU25" i="21" s="1"/>
  <c r="FY25" i="21"/>
  <c r="FS24" i="21"/>
  <c r="FU24" i="21" s="1"/>
  <c r="FY24" i="21"/>
  <c r="FV23" i="21"/>
  <c r="AR22" i="21"/>
  <c r="DJ22" i="21" s="1"/>
  <c r="AO23" i="21"/>
  <c r="DI23" i="21" s="1"/>
  <c r="FN24" i="21"/>
  <c r="FO24" i="21" s="1"/>
  <c r="FG24" i="21"/>
  <c r="FF25" i="21"/>
  <c r="FN25" i="21" s="1"/>
  <c r="FV25" i="21" s="1"/>
  <c r="EX25" i="21"/>
  <c r="EY25" i="21" s="1"/>
  <c r="FI26" i="21"/>
  <c r="FQ26" i="21" s="1"/>
  <c r="FA27" i="21"/>
  <c r="FI27" i="21" s="1"/>
  <c r="ES27" i="21"/>
  <c r="EU27" i="21" s="1"/>
  <c r="EW27" i="21" s="1"/>
  <c r="EL35" i="21"/>
  <c r="AP26" i="21"/>
  <c r="AS26" i="21"/>
  <c r="EH27" i="21"/>
  <c r="EA27" i="21"/>
  <c r="EP26" i="21"/>
  <c r="EQ26" i="21" s="1"/>
  <c r="EI26" i="21"/>
  <c r="EM27" i="21"/>
  <c r="EO27" i="21" s="1"/>
  <c r="EE27" i="21"/>
  <c r="EG27" i="21" s="1"/>
  <c r="EC28" i="21"/>
  <c r="EK28" i="21" s="1"/>
  <c r="DW28" i="21"/>
  <c r="DY28" i="21" s="1"/>
  <c r="DZ28" i="21"/>
  <c r="DU29" i="21"/>
  <c r="FS26" i="21" l="1"/>
  <c r="FU26" i="21" s="1"/>
  <c r="FY26" i="21"/>
  <c r="GG24" i="21"/>
  <c r="GI24" i="21" s="1"/>
  <c r="GK24" i="21" s="1"/>
  <c r="GA24" i="21"/>
  <c r="GC24" i="21" s="1"/>
  <c r="GA25" i="21"/>
  <c r="GC25" i="21" s="1"/>
  <c r="GG25" i="21"/>
  <c r="GI25" i="21" s="1"/>
  <c r="GK25" i="21" s="1"/>
  <c r="FW25" i="21"/>
  <c r="GD25" i="21"/>
  <c r="GL25" i="21" s="1"/>
  <c r="FW23" i="21"/>
  <c r="GD23" i="21"/>
  <c r="FV24" i="21"/>
  <c r="AO24" i="21"/>
  <c r="DI24" i="21" s="1"/>
  <c r="AR23" i="21"/>
  <c r="DJ23" i="21" s="1"/>
  <c r="FG25" i="21"/>
  <c r="FO25" i="21"/>
  <c r="FK26" i="21"/>
  <c r="FM26" i="21" s="1"/>
  <c r="FF26" i="21"/>
  <c r="EX26" i="21"/>
  <c r="EY26" i="21" s="1"/>
  <c r="FC27" i="21"/>
  <c r="FE27" i="21" s="1"/>
  <c r="FA28" i="21"/>
  <c r="FC28" i="21" s="1"/>
  <c r="FE28" i="21" s="1"/>
  <c r="ES28" i="21"/>
  <c r="EU28" i="21" s="1"/>
  <c r="EL36" i="21"/>
  <c r="AS27" i="21"/>
  <c r="AP27" i="21"/>
  <c r="EH28" i="21"/>
  <c r="EA28" i="21"/>
  <c r="EP27" i="21"/>
  <c r="EQ27" i="21" s="1"/>
  <c r="EI27" i="21"/>
  <c r="FQ27" i="21"/>
  <c r="FK27" i="21"/>
  <c r="FM27" i="21" s="1"/>
  <c r="EM28" i="21"/>
  <c r="EO28" i="21" s="1"/>
  <c r="EE28" i="21"/>
  <c r="EG28" i="21" s="1"/>
  <c r="EC29" i="21"/>
  <c r="EK29" i="21" s="1"/>
  <c r="DW29" i="21"/>
  <c r="DY29" i="21" s="1"/>
  <c r="DZ29" i="21"/>
  <c r="GM25" i="21" l="1"/>
  <c r="GL23" i="21"/>
  <c r="GM23" i="21" s="1"/>
  <c r="GE23" i="21"/>
  <c r="GE25" i="21"/>
  <c r="GG26" i="21"/>
  <c r="GI26" i="21" s="1"/>
  <c r="GK26" i="21" s="1"/>
  <c r="GA26" i="21"/>
  <c r="GC26" i="21" s="1"/>
  <c r="FS27" i="21"/>
  <c r="FU27" i="21" s="1"/>
  <c r="FY27" i="21"/>
  <c r="FW24" i="21"/>
  <c r="GD24" i="21"/>
  <c r="GL24" i="21" s="1"/>
  <c r="GM24" i="21" s="1"/>
  <c r="AR24" i="21"/>
  <c r="DJ24" i="21" s="1"/>
  <c r="AO30" i="21"/>
  <c r="DI30" i="21" s="1"/>
  <c r="AO25" i="21"/>
  <c r="DI25" i="21" s="1"/>
  <c r="FN26" i="21"/>
  <c r="FV26" i="21" s="1"/>
  <c r="FG26" i="21"/>
  <c r="FI28" i="21"/>
  <c r="FK28" i="21" s="1"/>
  <c r="FM28" i="21" s="1"/>
  <c r="FF27" i="21"/>
  <c r="FN27" i="21" s="1"/>
  <c r="FV27" i="21" s="1"/>
  <c r="EX27" i="21"/>
  <c r="EY27" i="21" s="1"/>
  <c r="EW28" i="21"/>
  <c r="FA29" i="21"/>
  <c r="FI29" i="21" s="1"/>
  <c r="ES29" i="21"/>
  <c r="EU29" i="21" s="1"/>
  <c r="EW29" i="21" s="1"/>
  <c r="EL37" i="21"/>
  <c r="AP28" i="21"/>
  <c r="AS28" i="21"/>
  <c r="EH29" i="21"/>
  <c r="EA29" i="21"/>
  <c r="EP28" i="21"/>
  <c r="EQ28" i="21" s="1"/>
  <c r="EI28" i="21"/>
  <c r="EM29" i="21"/>
  <c r="EO29" i="21" s="1"/>
  <c r="EE29" i="21"/>
  <c r="EG29" i="21" s="1"/>
  <c r="DU31" i="21"/>
  <c r="DU30" i="21"/>
  <c r="DZ30" i="21"/>
  <c r="GE24" i="21" l="1"/>
  <c r="GA27" i="21"/>
  <c r="GC27" i="21" s="1"/>
  <c r="GG27" i="21"/>
  <c r="GI27" i="21" s="1"/>
  <c r="GK27" i="21" s="1"/>
  <c r="FW26" i="21"/>
  <c r="GD26" i="21"/>
  <c r="GL26" i="21" s="1"/>
  <c r="GM26" i="21" s="1"/>
  <c r="FW27" i="21"/>
  <c r="GD27" i="21"/>
  <c r="GL27" i="21" s="1"/>
  <c r="FO26" i="21"/>
  <c r="AO26" i="21"/>
  <c r="DI26" i="21" s="1"/>
  <c r="AO31" i="21"/>
  <c r="DI31" i="21" s="1"/>
  <c r="AR30" i="21"/>
  <c r="DJ30" i="21" s="1"/>
  <c r="AR25" i="21"/>
  <c r="DJ25" i="21" s="1"/>
  <c r="FO27" i="21"/>
  <c r="FG27" i="21"/>
  <c r="FQ28" i="21"/>
  <c r="FC29" i="21"/>
  <c r="FE29" i="21" s="1"/>
  <c r="FF28" i="21"/>
  <c r="EX28" i="21"/>
  <c r="EY28" i="21" s="1"/>
  <c r="EL38" i="21"/>
  <c r="AP29" i="21"/>
  <c r="AS29" i="21"/>
  <c r="EH30" i="21"/>
  <c r="EP29" i="21"/>
  <c r="EQ29" i="21" s="1"/>
  <c r="EI29" i="21"/>
  <c r="FK29" i="21"/>
  <c r="FM29" i="21" s="1"/>
  <c r="FQ29" i="21"/>
  <c r="DU32" i="21"/>
  <c r="EC32" i="21" s="1"/>
  <c r="EK32" i="21" s="1"/>
  <c r="EC30" i="21"/>
  <c r="EK30" i="21" s="1"/>
  <c r="ES30" i="21" s="1"/>
  <c r="EU30" i="21" s="1"/>
  <c r="EW30" i="21" s="1"/>
  <c r="DW30" i="21"/>
  <c r="DY30" i="21" s="1"/>
  <c r="EA30" i="21" s="1"/>
  <c r="EC31" i="21"/>
  <c r="EK31" i="21" s="1"/>
  <c r="ES31" i="21" s="1"/>
  <c r="EU31" i="21" s="1"/>
  <c r="DW31" i="21"/>
  <c r="DY31" i="21" s="1"/>
  <c r="DZ31" i="21"/>
  <c r="DU33" i="21"/>
  <c r="GE27" i="21" l="1"/>
  <c r="GE26" i="21"/>
  <c r="GM27" i="21"/>
  <c r="FS29" i="21"/>
  <c r="FU29" i="21" s="1"/>
  <c r="FY29" i="21"/>
  <c r="FS28" i="21"/>
  <c r="FU28" i="21" s="1"/>
  <c r="FY28" i="21"/>
  <c r="AO32" i="21"/>
  <c r="DI32" i="21" s="1"/>
  <c r="AR26" i="21"/>
  <c r="DJ26" i="21" s="1"/>
  <c r="AR31" i="21"/>
  <c r="DJ31" i="21" s="1"/>
  <c r="AO27" i="21"/>
  <c r="DI27" i="21" s="1"/>
  <c r="FN28" i="21"/>
  <c r="FG28" i="21"/>
  <c r="FF29" i="21"/>
  <c r="FN29" i="21" s="1"/>
  <c r="FO29" i="21" s="1"/>
  <c r="EX29" i="21"/>
  <c r="EY29" i="21" s="1"/>
  <c r="EW31" i="21"/>
  <c r="FA32" i="21"/>
  <c r="FI32" i="21" s="1"/>
  <c r="ES32" i="21"/>
  <c r="EU32" i="21" s="1"/>
  <c r="EW32" i="21" s="1"/>
  <c r="EL39" i="21"/>
  <c r="EH31" i="21"/>
  <c r="EA31" i="21"/>
  <c r="EP30" i="21"/>
  <c r="DW32" i="21"/>
  <c r="DY32" i="21" s="1"/>
  <c r="EM31" i="21"/>
  <c r="EO31" i="21" s="1"/>
  <c r="FA31" i="21"/>
  <c r="EM30" i="21"/>
  <c r="EO30" i="21" s="1"/>
  <c r="FA30" i="21"/>
  <c r="EM32" i="21"/>
  <c r="EO32" i="21" s="1"/>
  <c r="EE32" i="21"/>
  <c r="EG32" i="21" s="1"/>
  <c r="EE30" i="21"/>
  <c r="EG30" i="21" s="1"/>
  <c r="EI30" i="21" s="1"/>
  <c r="EE31" i="21"/>
  <c r="EG31" i="21" s="1"/>
  <c r="EC33" i="21"/>
  <c r="EK33" i="21" s="1"/>
  <c r="ES33" i="21" s="1"/>
  <c r="EU33" i="21" s="1"/>
  <c r="DW33" i="21"/>
  <c r="DY33" i="21" s="1"/>
  <c r="DZ32" i="21"/>
  <c r="DU34" i="21"/>
  <c r="GG28" i="21" l="1"/>
  <c r="GI28" i="21" s="1"/>
  <c r="GK28" i="21" s="1"/>
  <c r="GA28" i="21"/>
  <c r="GC28" i="21" s="1"/>
  <c r="GA29" i="21"/>
  <c r="GC29" i="21" s="1"/>
  <c r="GG29" i="21"/>
  <c r="GI29" i="21" s="1"/>
  <c r="GK29" i="21" s="1"/>
  <c r="AR32" i="21"/>
  <c r="DJ32" i="21" s="1"/>
  <c r="AR27" i="21"/>
  <c r="DJ27" i="21" s="1"/>
  <c r="AO33" i="21"/>
  <c r="DI33" i="21" s="1"/>
  <c r="AO28" i="21"/>
  <c r="DI28" i="21" s="1"/>
  <c r="FG29" i="21"/>
  <c r="EQ30" i="21"/>
  <c r="FV28" i="21"/>
  <c r="FO28" i="21"/>
  <c r="FF30" i="21"/>
  <c r="FN30" i="21" s="1"/>
  <c r="FV30" i="21" s="1"/>
  <c r="GD30" i="21" s="1"/>
  <c r="GL30" i="21" s="1"/>
  <c r="EX30" i="21"/>
  <c r="EY30" i="21" s="1"/>
  <c r="FC32" i="21"/>
  <c r="FE32" i="21" s="1"/>
  <c r="EW33" i="21"/>
  <c r="EL40" i="21"/>
  <c r="EL41" i="21" s="1"/>
  <c r="FV29" i="21"/>
  <c r="EH32" i="21"/>
  <c r="EA32" i="21"/>
  <c r="EP31" i="21"/>
  <c r="EQ31" i="21" s="1"/>
  <c r="EI31" i="21"/>
  <c r="FK32" i="21"/>
  <c r="FM32" i="21" s="1"/>
  <c r="FQ32" i="21"/>
  <c r="EM33" i="21"/>
  <c r="EO33" i="21" s="1"/>
  <c r="FA33" i="21"/>
  <c r="FI30" i="21"/>
  <c r="FC30" i="21"/>
  <c r="FE30" i="21" s="1"/>
  <c r="FI31" i="21"/>
  <c r="FC31" i="21"/>
  <c r="FE31" i="21" s="1"/>
  <c r="EE33" i="21"/>
  <c r="EG33" i="21" s="1"/>
  <c r="EC34" i="21"/>
  <c r="EK34" i="21" s="1"/>
  <c r="ES34" i="21" s="1"/>
  <c r="EU34" i="21" s="1"/>
  <c r="DW34" i="21"/>
  <c r="DY34" i="21" s="1"/>
  <c r="DZ33" i="21"/>
  <c r="DU35" i="21"/>
  <c r="EL42" i="21" l="1"/>
  <c r="EM41" i="21"/>
  <c r="EO41" i="21" s="1"/>
  <c r="FS32" i="21"/>
  <c r="FU32" i="21" s="1"/>
  <c r="FY32" i="21"/>
  <c r="FW28" i="21"/>
  <c r="GD28" i="21"/>
  <c r="GL28" i="21" s="1"/>
  <c r="GM28" i="21" s="1"/>
  <c r="FW29" i="21"/>
  <c r="GD29" i="21"/>
  <c r="GL29" i="21" s="1"/>
  <c r="GM29" i="21" s="1"/>
  <c r="AO34" i="21"/>
  <c r="DI34" i="21" s="1"/>
  <c r="AR28" i="21"/>
  <c r="DJ28" i="21" s="1"/>
  <c r="AO29" i="21"/>
  <c r="DI29" i="21" s="1"/>
  <c r="AR33" i="21"/>
  <c r="DJ33" i="21" s="1"/>
  <c r="FG30" i="21"/>
  <c r="FF31" i="21"/>
  <c r="FN31" i="21" s="1"/>
  <c r="FV31" i="21" s="1"/>
  <c r="GD31" i="21" s="1"/>
  <c r="GL31" i="21" s="1"/>
  <c r="EX31" i="21"/>
  <c r="EY31" i="21" s="1"/>
  <c r="EW34" i="21"/>
  <c r="EP32" i="21"/>
  <c r="EI32" i="21"/>
  <c r="EH33" i="21"/>
  <c r="EA33" i="21"/>
  <c r="FI33" i="21"/>
  <c r="FC33" i="21"/>
  <c r="FE33" i="21" s="1"/>
  <c r="EM34" i="21"/>
  <c r="EO34" i="21" s="1"/>
  <c r="FA34" i="21"/>
  <c r="FQ31" i="21"/>
  <c r="FK31" i="21"/>
  <c r="FM31" i="21" s="1"/>
  <c r="FQ30" i="21"/>
  <c r="FK30" i="21"/>
  <c r="FM30" i="21" s="1"/>
  <c r="FO30" i="21" s="1"/>
  <c r="EE34" i="21"/>
  <c r="EG34" i="21" s="1"/>
  <c r="EC35" i="21"/>
  <c r="EK35" i="21" s="1"/>
  <c r="DW35" i="21"/>
  <c r="DY35" i="21" s="1"/>
  <c r="DZ34" i="21"/>
  <c r="DU36" i="21"/>
  <c r="EM42" i="21" l="1"/>
  <c r="EO42" i="21" s="1"/>
  <c r="EL43" i="21"/>
  <c r="GE28" i="21"/>
  <c r="GE29" i="21"/>
  <c r="FS31" i="21"/>
  <c r="FU31" i="21" s="1"/>
  <c r="FY31" i="21"/>
  <c r="GA32" i="21"/>
  <c r="GC32" i="21" s="1"/>
  <c r="GG32" i="21"/>
  <c r="GI32" i="21" s="1"/>
  <c r="GK32" i="21" s="1"/>
  <c r="FS30" i="21"/>
  <c r="FU30" i="21" s="1"/>
  <c r="FW30" i="21" s="1"/>
  <c r="FY30" i="21"/>
  <c r="AR34" i="21"/>
  <c r="DJ34" i="21" s="1"/>
  <c r="AR29" i="21"/>
  <c r="DJ29" i="21" s="1"/>
  <c r="AO35" i="21"/>
  <c r="DI35" i="21" s="1"/>
  <c r="FW31" i="21"/>
  <c r="FG31" i="21"/>
  <c r="EX32" i="21"/>
  <c r="EY32" i="21" s="1"/>
  <c r="EQ32" i="21"/>
  <c r="FO31" i="21"/>
  <c r="FA35" i="21"/>
  <c r="FC35" i="21" s="1"/>
  <c r="FE35" i="21" s="1"/>
  <c r="ES35" i="21"/>
  <c r="EU35" i="21" s="1"/>
  <c r="EW35" i="21" s="1"/>
  <c r="FF32" i="21"/>
  <c r="FG32" i="21" s="1"/>
  <c r="EP33" i="21"/>
  <c r="EI33" i="21"/>
  <c r="EH34" i="21"/>
  <c r="EA34" i="21"/>
  <c r="FC34" i="21"/>
  <c r="FE34" i="21" s="1"/>
  <c r="FI34" i="21"/>
  <c r="FK33" i="21"/>
  <c r="FM33" i="21" s="1"/>
  <c r="FQ33" i="21"/>
  <c r="EM35" i="21"/>
  <c r="EO35" i="21" s="1"/>
  <c r="EE35" i="21"/>
  <c r="EG35" i="21" s="1"/>
  <c r="EC36" i="21"/>
  <c r="EK36" i="21" s="1"/>
  <c r="DW36" i="21"/>
  <c r="DY36" i="21" s="1"/>
  <c r="DZ35" i="21"/>
  <c r="DU37" i="21"/>
  <c r="EL44" i="21" l="1"/>
  <c r="EM43" i="21"/>
  <c r="EO43" i="21" s="1"/>
  <c r="FS33" i="21"/>
  <c r="FU33" i="21" s="1"/>
  <c r="FY33" i="21"/>
  <c r="GG30" i="21"/>
  <c r="GI30" i="21" s="1"/>
  <c r="GK30" i="21" s="1"/>
  <c r="GM30" i="21" s="1"/>
  <c r="GA30" i="21"/>
  <c r="GC30" i="21" s="1"/>
  <c r="GE30" i="21" s="1"/>
  <c r="GG31" i="21"/>
  <c r="GI31" i="21" s="1"/>
  <c r="GK31" i="21" s="1"/>
  <c r="GM31" i="21" s="1"/>
  <c r="GA31" i="21"/>
  <c r="GC31" i="21" s="1"/>
  <c r="GE31" i="21" s="1"/>
  <c r="AR35" i="21"/>
  <c r="DJ35" i="21" s="1"/>
  <c r="AO36" i="21"/>
  <c r="DI36" i="21" s="1"/>
  <c r="EX33" i="21"/>
  <c r="EY33" i="21" s="1"/>
  <c r="EQ33" i="21"/>
  <c r="FI35" i="21"/>
  <c r="FK35" i="21" s="1"/>
  <c r="FM35" i="21" s="1"/>
  <c r="FA36" i="21"/>
  <c r="FC36" i="21" s="1"/>
  <c r="FE36" i="21" s="1"/>
  <c r="ES36" i="21"/>
  <c r="EU36" i="21" s="1"/>
  <c r="DQ28" i="21"/>
  <c r="DR28" i="21" s="1"/>
  <c r="EH35" i="21"/>
  <c r="EA35" i="21"/>
  <c r="FF33" i="21"/>
  <c r="FG33" i="21" s="1"/>
  <c r="EP34" i="21"/>
  <c r="EI34" i="21"/>
  <c r="FN32" i="21"/>
  <c r="FO32" i="21" s="1"/>
  <c r="FQ34" i="21"/>
  <c r="FK34" i="21"/>
  <c r="FM34" i="21" s="1"/>
  <c r="EM36" i="21"/>
  <c r="EO36" i="21" s="1"/>
  <c r="EE36" i="21"/>
  <c r="EG36" i="21" s="1"/>
  <c r="EC37" i="21"/>
  <c r="EK37" i="21" s="1"/>
  <c r="DW37" i="21"/>
  <c r="DY37" i="21" s="1"/>
  <c r="DZ36" i="21"/>
  <c r="DU38" i="21"/>
  <c r="EL45" i="21" l="1"/>
  <c r="EM44" i="21"/>
  <c r="EO44" i="21" s="1"/>
  <c r="FS34" i="21"/>
  <c r="FU34" i="21" s="1"/>
  <c r="FY34" i="21"/>
  <c r="GA33" i="21"/>
  <c r="GC33" i="21" s="1"/>
  <c r="GG33" i="21"/>
  <c r="GI33" i="21" s="1"/>
  <c r="GK33" i="21" s="1"/>
  <c r="AO37" i="21"/>
  <c r="DI37" i="21" s="1"/>
  <c r="AR36" i="21"/>
  <c r="DJ36" i="21" s="1"/>
  <c r="FQ35" i="21"/>
  <c r="EX34" i="21"/>
  <c r="EY34" i="21" s="1"/>
  <c r="EQ34" i="21"/>
  <c r="FI36" i="21"/>
  <c r="FQ36" i="21" s="1"/>
  <c r="FA37" i="21"/>
  <c r="FI37" i="21" s="1"/>
  <c r="ES37" i="21"/>
  <c r="EU37" i="21" s="1"/>
  <c r="EW36" i="21"/>
  <c r="DQ29" i="21"/>
  <c r="DR29" i="21" s="1"/>
  <c r="EH36" i="21"/>
  <c r="EA36" i="21"/>
  <c r="EP35" i="21"/>
  <c r="EI35" i="21"/>
  <c r="FV32" i="21"/>
  <c r="FF34" i="21"/>
  <c r="FG34" i="21" s="1"/>
  <c r="FN33" i="21"/>
  <c r="FO33" i="21" s="1"/>
  <c r="EM37" i="21"/>
  <c r="EO37" i="21" s="1"/>
  <c r="EE37" i="21"/>
  <c r="EG37" i="21" s="1"/>
  <c r="EC38" i="21"/>
  <c r="EK38" i="21" s="1"/>
  <c r="DW38" i="21"/>
  <c r="DY38" i="21" s="1"/>
  <c r="DZ37" i="21"/>
  <c r="DU39" i="21"/>
  <c r="EL46" i="21" l="1"/>
  <c r="EM45" i="21"/>
  <c r="EO45" i="21" s="1"/>
  <c r="FS35" i="21"/>
  <c r="FU35" i="21" s="1"/>
  <c r="FY35" i="21"/>
  <c r="FS36" i="21"/>
  <c r="FU36" i="21" s="1"/>
  <c r="FY36" i="21"/>
  <c r="GA34" i="21"/>
  <c r="GC34" i="21" s="1"/>
  <c r="GG34" i="21"/>
  <c r="GI34" i="21" s="1"/>
  <c r="GK34" i="21" s="1"/>
  <c r="FW32" i="21"/>
  <c r="GD32" i="21"/>
  <c r="AO38" i="21"/>
  <c r="DI38" i="21" s="1"/>
  <c r="AR37" i="21"/>
  <c r="DJ37" i="21" s="1"/>
  <c r="FK36" i="21"/>
  <c r="FM36" i="21" s="1"/>
  <c r="EX35" i="21"/>
  <c r="EY35" i="21" s="1"/>
  <c r="EQ35" i="21"/>
  <c r="FC37" i="21"/>
  <c r="FE37" i="21" s="1"/>
  <c r="FA38" i="21"/>
  <c r="FI38" i="21" s="1"/>
  <c r="ES38" i="21"/>
  <c r="EU38" i="21" s="1"/>
  <c r="EW37" i="21"/>
  <c r="DQ30" i="21"/>
  <c r="DR30" i="21" s="1"/>
  <c r="FF35" i="21"/>
  <c r="FG35" i="21" s="1"/>
  <c r="EP36" i="21"/>
  <c r="EI36" i="21"/>
  <c r="EH37" i="21"/>
  <c r="EA37" i="21"/>
  <c r="FN34" i="21"/>
  <c r="FO34" i="21" s="1"/>
  <c r="FV33" i="21"/>
  <c r="FQ37" i="21"/>
  <c r="FK37" i="21"/>
  <c r="FM37" i="21" s="1"/>
  <c r="EM38" i="21"/>
  <c r="EO38" i="21" s="1"/>
  <c r="EE38" i="21"/>
  <c r="EG38" i="21" s="1"/>
  <c r="EC39" i="21"/>
  <c r="EK39" i="21" s="1"/>
  <c r="ES39" i="21" s="1"/>
  <c r="EU39" i="21" s="1"/>
  <c r="DW39" i="21"/>
  <c r="DY39" i="21" s="1"/>
  <c r="DZ38" i="21"/>
  <c r="DU40" i="21"/>
  <c r="EL47" i="21" l="1"/>
  <c r="EM46" i="21"/>
  <c r="EO46" i="21" s="1"/>
  <c r="GL32" i="21"/>
  <c r="GM32" i="21" s="1"/>
  <c r="GE32" i="21"/>
  <c r="FW33" i="21"/>
  <c r="GD33" i="21"/>
  <c r="GG36" i="21"/>
  <c r="GI36" i="21" s="1"/>
  <c r="GK36" i="21" s="1"/>
  <c r="GA36" i="21"/>
  <c r="GC36" i="21" s="1"/>
  <c r="GA35" i="21"/>
  <c r="GC35" i="21" s="1"/>
  <c r="GG35" i="21"/>
  <c r="GI35" i="21" s="1"/>
  <c r="GK35" i="21" s="1"/>
  <c r="FS37" i="21"/>
  <c r="FU37" i="21" s="1"/>
  <c r="FY37" i="21"/>
  <c r="AR38" i="21"/>
  <c r="DJ38" i="21" s="1"/>
  <c r="AO39" i="21"/>
  <c r="DI39" i="21" s="1"/>
  <c r="FC38" i="21"/>
  <c r="FE38" i="21" s="1"/>
  <c r="EX36" i="21"/>
  <c r="EY36" i="21" s="1"/>
  <c r="EQ36" i="21"/>
  <c r="EW38" i="21"/>
  <c r="EW39" i="21"/>
  <c r="DQ31" i="21"/>
  <c r="DR31" i="21" s="1"/>
  <c r="EP37" i="21"/>
  <c r="EI37" i="21"/>
  <c r="FF36" i="21"/>
  <c r="FG36" i="21" s="1"/>
  <c r="EH38" i="21"/>
  <c r="EA38" i="21"/>
  <c r="FN35" i="21"/>
  <c r="FO35" i="21" s="1"/>
  <c r="FV34" i="21"/>
  <c r="EM39" i="21"/>
  <c r="EO39" i="21" s="1"/>
  <c r="FA39" i="21"/>
  <c r="FQ38" i="21"/>
  <c r="FK38" i="21"/>
  <c r="FM38" i="21" s="1"/>
  <c r="EE39" i="21"/>
  <c r="EG39" i="21" s="1"/>
  <c r="EC40" i="21"/>
  <c r="EK40" i="21" s="1"/>
  <c r="ES40" i="21" s="1"/>
  <c r="EU40" i="21" s="1"/>
  <c r="DW40" i="21"/>
  <c r="DY40" i="21" s="1"/>
  <c r="EL48" i="21" l="1"/>
  <c r="EM47" i="21"/>
  <c r="EO47" i="21" s="1"/>
  <c r="GL33" i="21"/>
  <c r="GM33" i="21" s="1"/>
  <c r="GE33" i="21"/>
  <c r="FW34" i="21"/>
  <c r="GD34" i="21"/>
  <c r="FS38" i="21"/>
  <c r="FU38" i="21" s="1"/>
  <c r="FY38" i="21"/>
  <c r="GA37" i="21"/>
  <c r="GC37" i="21" s="1"/>
  <c r="GG37" i="21"/>
  <c r="GI37" i="21" s="1"/>
  <c r="GK37" i="21" s="1"/>
  <c r="AR39" i="21"/>
  <c r="DJ39" i="21" s="1"/>
  <c r="AO40" i="21"/>
  <c r="EX37" i="21"/>
  <c r="EY37" i="21" s="1"/>
  <c r="EQ37" i="21"/>
  <c r="EW40" i="21"/>
  <c r="DQ32" i="21"/>
  <c r="DR32" i="21" s="1"/>
  <c r="FV35" i="21"/>
  <c r="FN36" i="21"/>
  <c r="FO36" i="21" s="1"/>
  <c r="EP38" i="21"/>
  <c r="EI38" i="21"/>
  <c r="FF37" i="21"/>
  <c r="FG37" i="21" s="1"/>
  <c r="FC39" i="21"/>
  <c r="FE39" i="21" s="1"/>
  <c r="FI39" i="21"/>
  <c r="EM40" i="21"/>
  <c r="EO40" i="21" s="1"/>
  <c r="FA40" i="21"/>
  <c r="EE40" i="21"/>
  <c r="EG40" i="21" s="1"/>
  <c r="DZ39" i="21"/>
  <c r="DZ40" i="21"/>
  <c r="EL49" i="21" l="1"/>
  <c r="EM48" i="21"/>
  <c r="EO48" i="21" s="1"/>
  <c r="DI40" i="21"/>
  <c r="AO41" i="21"/>
  <c r="GL34" i="21"/>
  <c r="GM34" i="21" s="1"/>
  <c r="GE34" i="21"/>
  <c r="FW35" i="21"/>
  <c r="GD35" i="21"/>
  <c r="GA38" i="21"/>
  <c r="GC38" i="21" s="1"/>
  <c r="GG38" i="21"/>
  <c r="GI38" i="21" s="1"/>
  <c r="GK38" i="21" s="1"/>
  <c r="AO53" i="21"/>
  <c r="AR40" i="21"/>
  <c r="EX38" i="21"/>
  <c r="EY38" i="21" s="1"/>
  <c r="EQ38" i="21"/>
  <c r="DQ33" i="21"/>
  <c r="DR33" i="21" s="1"/>
  <c r="EH39" i="21"/>
  <c r="EA39" i="21"/>
  <c r="FN37" i="21"/>
  <c r="FO37" i="21" s="1"/>
  <c r="EH40" i="21"/>
  <c r="EA40" i="21"/>
  <c r="FF38" i="21"/>
  <c r="FG38" i="21" s="1"/>
  <c r="FV36" i="21"/>
  <c r="FI40" i="21"/>
  <c r="FC40" i="21"/>
  <c r="FE40" i="21" s="1"/>
  <c r="FK39" i="21"/>
  <c r="FM39" i="21" s="1"/>
  <c r="FQ39" i="21"/>
  <c r="EL50" i="21" l="1"/>
  <c r="EM49" i="21"/>
  <c r="EO49" i="21" s="1"/>
  <c r="DJ40" i="21"/>
  <c r="AR41" i="21"/>
  <c r="AO42" i="21"/>
  <c r="DI41" i="21"/>
  <c r="GL35" i="21"/>
  <c r="GM35" i="21" s="1"/>
  <c r="GE35" i="21"/>
  <c r="FW36" i="21"/>
  <c r="GD36" i="21"/>
  <c r="FS39" i="21"/>
  <c r="FU39" i="21" s="1"/>
  <c r="FY39" i="21"/>
  <c r="AR53" i="21"/>
  <c r="DQ34" i="21"/>
  <c r="DR34" i="21" s="1"/>
  <c r="FN38" i="21"/>
  <c r="FO38" i="21" s="1"/>
  <c r="EP40" i="21"/>
  <c r="EI40" i="21"/>
  <c r="FV37" i="21"/>
  <c r="EP39" i="21"/>
  <c r="EI39" i="21"/>
  <c r="FQ40" i="21"/>
  <c r="FK40" i="21"/>
  <c r="FM40" i="21" s="1"/>
  <c r="EL51" i="21" l="1"/>
  <c r="EM50" i="21"/>
  <c r="EO50" i="21" s="1"/>
  <c r="DJ41" i="21"/>
  <c r="AR42" i="21"/>
  <c r="AO43" i="21"/>
  <c r="AO44" i="21" s="1"/>
  <c r="AO45" i="21" s="1"/>
  <c r="AO46" i="21" s="1"/>
  <c r="AO47" i="21" s="1"/>
  <c r="AO48" i="21" s="1"/>
  <c r="AO49" i="21" s="1"/>
  <c r="AO50" i="21" s="1"/>
  <c r="AO51" i="21" s="1"/>
  <c r="AO52" i="21" s="1"/>
  <c r="DI42" i="21"/>
  <c r="GL36" i="21"/>
  <c r="GM36" i="21" s="1"/>
  <c r="GE36" i="21"/>
  <c r="FW37" i="21"/>
  <c r="GD37" i="21"/>
  <c r="FS40" i="21"/>
  <c r="FU40" i="21" s="1"/>
  <c r="FY40" i="21"/>
  <c r="GG39" i="21"/>
  <c r="GI39" i="21" s="1"/>
  <c r="GK39" i="21" s="1"/>
  <c r="GA39" i="21"/>
  <c r="GC39" i="21" s="1"/>
  <c r="EX39" i="21"/>
  <c r="EY39" i="21" s="1"/>
  <c r="EQ39" i="21"/>
  <c r="EX40" i="21"/>
  <c r="EY40" i="21" s="1"/>
  <c r="EQ40" i="21"/>
  <c r="DQ35" i="21"/>
  <c r="DR35" i="21" s="1"/>
  <c r="FF39" i="21"/>
  <c r="FG39" i="21" s="1"/>
  <c r="FF40" i="21"/>
  <c r="FG40" i="21" s="1"/>
  <c r="FV38" i="21"/>
  <c r="EL52" i="21" l="1"/>
  <c r="EM51" i="21"/>
  <c r="EO51" i="21" s="1"/>
  <c r="AR43" i="21"/>
  <c r="AR44" i="21" s="1"/>
  <c r="AR45" i="21" s="1"/>
  <c r="AR46" i="21" s="1"/>
  <c r="AR47" i="21" s="1"/>
  <c r="AR48" i="21" s="1"/>
  <c r="AR49" i="21" s="1"/>
  <c r="AR50" i="21" s="1"/>
  <c r="AR51" i="21" s="1"/>
  <c r="AR52" i="21" s="1"/>
  <c r="DJ42" i="21"/>
  <c r="GL37" i="21"/>
  <c r="GM37" i="21" s="1"/>
  <c r="GE37" i="21"/>
  <c r="FW38" i="21"/>
  <c r="GD38" i="21"/>
  <c r="GG40" i="21"/>
  <c r="GI40" i="21" s="1"/>
  <c r="GK40" i="21" s="1"/>
  <c r="GA40" i="21"/>
  <c r="GC40" i="21" s="1"/>
  <c r="DV1" i="21"/>
  <c r="V9" i="21" s="1"/>
  <c r="EA54" i="21"/>
  <c r="ED1" i="21"/>
  <c r="V10" i="21" s="1"/>
  <c r="EI54" i="21"/>
  <c r="DQ36" i="21"/>
  <c r="DR36" i="21" s="1"/>
  <c r="FN40" i="21"/>
  <c r="FO40" i="21" s="1"/>
  <c r="FN39" i="21"/>
  <c r="FO39" i="21" s="1"/>
  <c r="EL53" i="21" l="1"/>
  <c r="EM53" i="21" s="1"/>
  <c r="EO53" i="21" s="1"/>
  <c r="EM52" i="21"/>
  <c r="EO52" i="21" s="1"/>
  <c r="GL38" i="21"/>
  <c r="GM38" i="21" s="1"/>
  <c r="GE38" i="21"/>
  <c r="FG54" i="21"/>
  <c r="FB1" i="21" s="1"/>
  <c r="V13" i="21" s="1"/>
  <c r="EQ54" i="21"/>
  <c r="EL1" i="21" s="1"/>
  <c r="V11" i="21" s="1"/>
  <c r="EY54" i="21"/>
  <c r="ET1" i="21" s="1"/>
  <c r="V12" i="21" s="1"/>
  <c r="DQ37" i="21"/>
  <c r="DR37" i="21" s="1"/>
  <c r="FV39" i="21"/>
  <c r="FV40" i="21"/>
  <c r="FW40" i="21" l="1"/>
  <c r="GD40" i="21"/>
  <c r="FW39" i="21"/>
  <c r="GD39" i="21"/>
  <c r="FO54" i="21"/>
  <c r="FJ1" i="21" s="1"/>
  <c r="V14" i="21" s="1"/>
  <c r="DQ38" i="21"/>
  <c r="DR38" i="21" s="1"/>
  <c r="GL40" i="21" l="1"/>
  <c r="GM40" i="21" s="1"/>
  <c r="GE40" i="21"/>
  <c r="GL39" i="21"/>
  <c r="GM39" i="21" s="1"/>
  <c r="GE39" i="21"/>
  <c r="DQ39" i="21"/>
  <c r="DR39" i="21" s="1"/>
  <c r="FW54" i="21" l="1"/>
  <c r="FR1" i="21" s="1"/>
  <c r="V15" i="21" s="1"/>
  <c r="DQ40" i="21"/>
  <c r="DR40" i="21" s="1"/>
  <c r="GM54" i="21" l="1"/>
  <c r="GH1" i="21" s="1"/>
  <c r="V17" i="21" s="1"/>
  <c r="GE54" i="21"/>
  <c r="FZ1" i="21" s="1"/>
  <c r="V16" i="21" s="1"/>
  <c r="DM20" i="21" l="1"/>
  <c r="DN20" i="21"/>
  <c r="DO20" i="21"/>
  <c r="DQ20" i="21" l="1"/>
  <c r="DR20" i="21" s="1"/>
  <c r="DM16" i="21"/>
  <c r="DN16" i="21"/>
  <c r="DO16" i="21"/>
  <c r="DO22" i="21"/>
  <c r="DN22" i="21"/>
  <c r="DQ22" i="21" s="1"/>
  <c r="DR22" i="21" s="1"/>
  <c r="DM22" i="21"/>
  <c r="DQ16" i="21" l="1"/>
  <c r="DR16" i="21" s="1"/>
  <c r="DN17" i="21"/>
  <c r="DO17" i="21"/>
  <c r="DM17" i="21"/>
  <c r="DQ17" i="21" s="1"/>
  <c r="DR17" i="21" s="1"/>
  <c r="DN23" i="21"/>
  <c r="DM23" i="21"/>
  <c r="DO23" i="21"/>
  <c r="R4" i="21"/>
  <c r="AK4" i="21" s="1"/>
  <c r="P9" i="21"/>
  <c r="DQ23" i="21" l="1"/>
  <c r="DR23" i="21" s="1"/>
  <c r="DG4" i="21"/>
  <c r="DH4" i="21"/>
  <c r="AM4" i="21"/>
  <c r="AM5" i="21" s="1"/>
  <c r="AM6" i="21" s="1"/>
  <c r="AM7" i="21" s="1"/>
  <c r="AM8" i="21" s="1"/>
  <c r="AM9" i="21" s="1"/>
  <c r="AM10" i="21" s="1"/>
  <c r="AM11" i="21" s="1"/>
  <c r="AM12" i="21" s="1"/>
  <c r="AM13" i="21" s="1"/>
  <c r="AM14" i="21" s="1"/>
  <c r="AM15" i="21" s="1"/>
  <c r="AM16" i="21" s="1"/>
  <c r="AM17" i="21" s="1"/>
  <c r="AM18" i="21" s="1"/>
  <c r="AM19" i="21" s="1"/>
  <c r="AM20" i="21" s="1"/>
  <c r="AM21" i="21" s="1"/>
  <c r="AM22" i="21" s="1"/>
  <c r="AM23" i="21" s="1"/>
  <c r="AM24" i="21" s="1"/>
  <c r="AL4" i="21"/>
  <c r="AL5" i="21" s="1"/>
  <c r="AL6" i="21" s="1"/>
  <c r="AL7" i="21" s="1"/>
  <c r="AL8" i="21" s="1"/>
  <c r="AL9" i="21" s="1"/>
  <c r="AL10" i="21" s="1"/>
  <c r="AL11" i="21" s="1"/>
  <c r="AL12" i="21" s="1"/>
  <c r="AL13" i="21" s="1"/>
  <c r="AL14" i="21" s="1"/>
  <c r="AL15" i="21" s="1"/>
  <c r="AL16" i="21" s="1"/>
  <c r="AL17" i="21" s="1"/>
  <c r="AL18" i="21" s="1"/>
  <c r="AL19" i="21" s="1"/>
  <c r="AL20" i="21" s="1"/>
  <c r="AL21" i="21" s="1"/>
  <c r="AL22" i="21" s="1"/>
  <c r="AL23" i="21" s="1"/>
  <c r="AL24" i="21" s="1"/>
  <c r="DO18" i="21"/>
  <c r="DM18" i="21"/>
  <c r="DQ18" i="21" s="1"/>
  <c r="DR18" i="21" s="1"/>
  <c r="DN18" i="21"/>
  <c r="DM24" i="21"/>
  <c r="DO24" i="21"/>
  <c r="DN24" i="21"/>
  <c r="AN4" i="21"/>
  <c r="AK5" i="21"/>
  <c r="DG5" i="21" s="1"/>
  <c r="DQ24" i="21" l="1"/>
  <c r="DR24" i="21" s="1"/>
  <c r="DO25" i="21"/>
  <c r="DN25" i="21"/>
  <c r="DM25" i="21"/>
  <c r="DH5" i="21"/>
  <c r="DK4" i="21"/>
  <c r="AN5" i="21"/>
  <c r="AK6" i="21"/>
  <c r="DG6" i="21" s="1"/>
  <c r="AL30" i="21"/>
  <c r="AL31" i="21" s="1"/>
  <c r="AL32" i="21" s="1"/>
  <c r="AL33" i="21" s="1"/>
  <c r="AL34" i="21" s="1"/>
  <c r="AL35" i="21" s="1"/>
  <c r="AL36" i="21" s="1"/>
  <c r="AL37" i="21" s="1"/>
  <c r="AL38" i="21" s="1"/>
  <c r="AL39" i="21" s="1"/>
  <c r="AL40" i="21" s="1"/>
  <c r="AL25" i="21"/>
  <c r="AL26" i="21" s="1"/>
  <c r="AL27" i="21" s="1"/>
  <c r="AL28" i="21" s="1"/>
  <c r="AL29" i="21" s="1"/>
  <c r="AM30" i="21"/>
  <c r="AM31" i="21" s="1"/>
  <c r="AM32" i="21" s="1"/>
  <c r="AM33" i="21" s="1"/>
  <c r="AM34" i="21" s="1"/>
  <c r="AM35" i="21" s="1"/>
  <c r="AM36" i="21" s="1"/>
  <c r="AM37" i="21" s="1"/>
  <c r="AM38" i="21" s="1"/>
  <c r="AM39" i="21" s="1"/>
  <c r="AM40" i="21" s="1"/>
  <c r="AM25" i="21"/>
  <c r="AM26" i="21" s="1"/>
  <c r="AM27" i="21" s="1"/>
  <c r="AM28" i="21" s="1"/>
  <c r="AM29" i="21" s="1"/>
  <c r="AL53" i="21" l="1"/>
  <c r="AL41" i="21"/>
  <c r="AL42" i="21" s="1"/>
  <c r="AL43" i="21" s="1"/>
  <c r="AL44" i="21" s="1"/>
  <c r="AL45" i="21" s="1"/>
  <c r="AL46" i="21" s="1"/>
  <c r="AL47" i="21" s="1"/>
  <c r="AL48" i="21" s="1"/>
  <c r="AL49" i="21" s="1"/>
  <c r="AL50" i="21" s="1"/>
  <c r="AL51" i="21" s="1"/>
  <c r="AL52" i="21" s="1"/>
  <c r="AM53" i="21"/>
  <c r="AM41" i="21"/>
  <c r="AM42" i="21" s="1"/>
  <c r="AM43" i="21" s="1"/>
  <c r="AM44" i="21" s="1"/>
  <c r="AM45" i="21" s="1"/>
  <c r="AM46" i="21" s="1"/>
  <c r="AM47" i="21" s="1"/>
  <c r="AM48" i="21" s="1"/>
  <c r="AM49" i="21" s="1"/>
  <c r="AM50" i="21" s="1"/>
  <c r="AM51" i="21" s="1"/>
  <c r="AM52" i="21" s="1"/>
  <c r="DQ25" i="21"/>
  <c r="DR25" i="21" s="1"/>
  <c r="DN26" i="21"/>
  <c r="DM26" i="21"/>
  <c r="DO26" i="21"/>
  <c r="DH6" i="21"/>
  <c r="DK5" i="21"/>
  <c r="AK7" i="21"/>
  <c r="DG7" i="21" s="1"/>
  <c r="AN6" i="21"/>
  <c r="DQ26" i="21" l="1"/>
  <c r="DR26" i="21" s="1"/>
  <c r="DM27" i="21"/>
  <c r="DO27" i="21"/>
  <c r="DN27" i="21"/>
  <c r="DQ27" i="21" s="1"/>
  <c r="DR27" i="21" s="1"/>
  <c r="DK6" i="21"/>
  <c r="DH7" i="21"/>
  <c r="AN7" i="21"/>
  <c r="AK8" i="21"/>
  <c r="DG8" i="21" s="1"/>
  <c r="DH8" i="21" l="1"/>
  <c r="DK7" i="21"/>
  <c r="AK9" i="21"/>
  <c r="DG9" i="21" s="1"/>
  <c r="AN8" i="21"/>
  <c r="DH9" i="21" l="1"/>
  <c r="DK8" i="21"/>
  <c r="AN9" i="21"/>
  <c r="AK10" i="21"/>
  <c r="DG10" i="21" s="1"/>
  <c r="DH10" i="21" l="1"/>
  <c r="DK9" i="21"/>
  <c r="AN10" i="21"/>
  <c r="AK11" i="21"/>
  <c r="DG11" i="21" s="1"/>
  <c r="DH11" i="21" l="1"/>
  <c r="DK10" i="21"/>
  <c r="AN11" i="21"/>
  <c r="AK12" i="21"/>
  <c r="DG12" i="21" s="1"/>
  <c r="DH12" i="21" l="1"/>
  <c r="DK11" i="21"/>
  <c r="AN12" i="21"/>
  <c r="AK13" i="21"/>
  <c r="DG13" i="21" s="1"/>
  <c r="DH13" i="21" l="1"/>
  <c r="DK12" i="21"/>
  <c r="AN13" i="21"/>
  <c r="AK14" i="21"/>
  <c r="DG14" i="21" s="1"/>
  <c r="DH14" i="21" l="1"/>
  <c r="DK13" i="21"/>
  <c r="AK15" i="21"/>
  <c r="DG15" i="21" s="1"/>
  <c r="AN14" i="21"/>
  <c r="DH15" i="21" l="1"/>
  <c r="DK14" i="21"/>
  <c r="AK16" i="21"/>
  <c r="DG16" i="21" s="1"/>
  <c r="AN15" i="21"/>
  <c r="DH16" i="21" l="1"/>
  <c r="DK15" i="21"/>
  <c r="AK17" i="21"/>
  <c r="DG17" i="21" s="1"/>
  <c r="AN16" i="21"/>
  <c r="DH17" i="21" l="1"/>
  <c r="DK16" i="21"/>
  <c r="DS16" i="21" s="1"/>
  <c r="AK18" i="21"/>
  <c r="DG18" i="21" s="1"/>
  <c r="AN17" i="21"/>
  <c r="DH18" i="21" l="1"/>
  <c r="DK17" i="21"/>
  <c r="DS17" i="21" s="1"/>
  <c r="AK19" i="21"/>
  <c r="DG19" i="21" s="1"/>
  <c r="AN18" i="21"/>
  <c r="DH19" i="21" l="1"/>
  <c r="DK18" i="21"/>
  <c r="DS18" i="21" s="1"/>
  <c r="AN19" i="21"/>
  <c r="AK20" i="21"/>
  <c r="DG20" i="21" s="1"/>
  <c r="DH20" i="21" l="1"/>
  <c r="DK19" i="21"/>
  <c r="AN20" i="21"/>
  <c r="AK21" i="21"/>
  <c r="DG21" i="21" s="1"/>
  <c r="DH21" i="21" l="1"/>
  <c r="DK20" i="21"/>
  <c r="DS20" i="21" s="1"/>
  <c r="AN21" i="21"/>
  <c r="AK22" i="21"/>
  <c r="DG22" i="21" s="1"/>
  <c r="DH22" i="21" l="1"/>
  <c r="DK21" i="21"/>
  <c r="AN22" i="21"/>
  <c r="AK23" i="21"/>
  <c r="DG23" i="21" s="1"/>
  <c r="DH23" i="21" l="1"/>
  <c r="DK22" i="21"/>
  <c r="DS22" i="21" s="1"/>
  <c r="AK24" i="21"/>
  <c r="DG24" i="21" s="1"/>
  <c r="AN23" i="21"/>
  <c r="DK23" i="21" l="1"/>
  <c r="DS23" i="21" s="1"/>
  <c r="DH24" i="21"/>
  <c r="AK25" i="21"/>
  <c r="DG25" i="21" s="1"/>
  <c r="AN24" i="21"/>
  <c r="DH25" i="21" l="1"/>
  <c r="DK24" i="21"/>
  <c r="DS24" i="21" s="1"/>
  <c r="AN25" i="21"/>
  <c r="AK26" i="21"/>
  <c r="DG26" i="21" s="1"/>
  <c r="DH26" i="21" l="1"/>
  <c r="DK25" i="21"/>
  <c r="DS25" i="21" s="1"/>
  <c r="AN26" i="21"/>
  <c r="AK27" i="21"/>
  <c r="DG27" i="21" s="1"/>
  <c r="DH27" i="21" l="1"/>
  <c r="DK26" i="21"/>
  <c r="DS26" i="21" s="1"/>
  <c r="AK28" i="21"/>
  <c r="DG28" i="21" s="1"/>
  <c r="AN27" i="21"/>
  <c r="DK27" i="21" l="1"/>
  <c r="DS27" i="21" s="1"/>
  <c r="DH28" i="21"/>
  <c r="AK29" i="21"/>
  <c r="DG29" i="21" s="1"/>
  <c r="AN28" i="21"/>
  <c r="DH29" i="21" l="1"/>
  <c r="DK28" i="21"/>
  <c r="DS28" i="21" s="1"/>
  <c r="AN29" i="21"/>
  <c r="AK30" i="21"/>
  <c r="DG30" i="21" s="1"/>
  <c r="DH30" i="21" l="1"/>
  <c r="DK29" i="21"/>
  <c r="DS29" i="21" s="1"/>
  <c r="AN30" i="21"/>
  <c r="AK31" i="21"/>
  <c r="DG31" i="21" s="1"/>
  <c r="DH31" i="21" l="1"/>
  <c r="DK30" i="21"/>
  <c r="DS30" i="21" s="1"/>
  <c r="AK32" i="21"/>
  <c r="DG32" i="21" s="1"/>
  <c r="AN31" i="21"/>
  <c r="DH32" i="21" l="1"/>
  <c r="DK31" i="21"/>
  <c r="DS31" i="21" s="1"/>
  <c r="AK33" i="21"/>
  <c r="DG33" i="21" s="1"/>
  <c r="AN32" i="21"/>
  <c r="DH33" i="21" l="1"/>
  <c r="DK32" i="21"/>
  <c r="DS32" i="21" s="1"/>
  <c r="AK34" i="21"/>
  <c r="DG34" i="21" s="1"/>
  <c r="AN33" i="21"/>
  <c r="DH34" i="21" l="1"/>
  <c r="DK33" i="21"/>
  <c r="DS33" i="21" s="1"/>
  <c r="AK35" i="21"/>
  <c r="DG35" i="21" s="1"/>
  <c r="AN34" i="21"/>
  <c r="DH35" i="21" l="1"/>
  <c r="DK34" i="21"/>
  <c r="DS34" i="21" s="1"/>
  <c r="AK36" i="21"/>
  <c r="DG36" i="21" s="1"/>
  <c r="AN35" i="21"/>
  <c r="DH36" i="21" l="1"/>
  <c r="DK35" i="21"/>
  <c r="DS35" i="21" s="1"/>
  <c r="AK37" i="21"/>
  <c r="DG37" i="21" s="1"/>
  <c r="AN36" i="21"/>
  <c r="DH37" i="21" l="1"/>
  <c r="DK36" i="21"/>
  <c r="DS36" i="21" s="1"/>
  <c r="AK38" i="21"/>
  <c r="DG38" i="21" s="1"/>
  <c r="AN37" i="21"/>
  <c r="DH38" i="21" l="1"/>
  <c r="DK37" i="21"/>
  <c r="DS37" i="21" s="1"/>
  <c r="AK39" i="21"/>
  <c r="DG39" i="21" s="1"/>
  <c r="AN38" i="21"/>
  <c r="DH39" i="21" l="1"/>
  <c r="DK38" i="21"/>
  <c r="DS38" i="21" s="1"/>
  <c r="AK40" i="21"/>
  <c r="AN39" i="21"/>
  <c r="DG40" i="21" l="1"/>
  <c r="AK41" i="21"/>
  <c r="DH40" i="21"/>
  <c r="DK39" i="21"/>
  <c r="DS39" i="21" s="1"/>
  <c r="AK53" i="21"/>
  <c r="AN40" i="21"/>
  <c r="AN41" i="21" l="1"/>
  <c r="AK42" i="21"/>
  <c r="DG41" i="21"/>
  <c r="DH41" i="21"/>
  <c r="DK40" i="21"/>
  <c r="DS40" i="21" s="1"/>
  <c r="AN53" i="21"/>
  <c r="DK41" i="21" l="1"/>
  <c r="DS41" i="21" s="1"/>
  <c r="AN42" i="21"/>
  <c r="AK43" i="21"/>
  <c r="DG42" i="21"/>
  <c r="DH42" i="21"/>
  <c r="DK42" i="21" l="1"/>
  <c r="AK44" i="21"/>
  <c r="AN43" i="21"/>
  <c r="DN21" i="21"/>
  <c r="DQ21" i="21" s="1"/>
  <c r="DR21" i="21" s="1"/>
  <c r="DS21" i="21" s="1"/>
  <c r="DO21" i="21"/>
  <c r="DM21" i="21"/>
  <c r="DN12" i="21"/>
  <c r="DQ12" i="21" s="1"/>
  <c r="DR12" i="21" s="1"/>
  <c r="DS12" i="21" s="1"/>
  <c r="DM12" i="21"/>
  <c r="DO12" i="21"/>
  <c r="AJ7" i="21"/>
  <c r="BR4" i="21" s="1"/>
  <c r="BR5" i="21" s="1"/>
  <c r="BR6" i="21" s="1"/>
  <c r="BR7" i="21" s="1"/>
  <c r="BR8" i="21" s="1"/>
  <c r="BR9" i="21" s="1"/>
  <c r="BR10" i="21" s="1"/>
  <c r="BR11" i="21" s="1"/>
  <c r="BR12" i="21" s="1"/>
  <c r="BR13" i="21" s="1"/>
  <c r="BR14" i="21" s="1"/>
  <c r="BR15" i="21" s="1"/>
  <c r="AI7" i="21"/>
  <c r="BQ4" i="21" s="1"/>
  <c r="BQ5" i="21" s="1"/>
  <c r="BQ6" i="21" s="1"/>
  <c r="BQ7" i="21" s="1"/>
  <c r="BQ8" i="21" s="1"/>
  <c r="BQ9" i="21" s="1"/>
  <c r="BQ10" i="21" s="1"/>
  <c r="BQ11" i="21" s="1"/>
  <c r="BQ12" i="21" s="1"/>
  <c r="BQ13" i="21" s="1"/>
  <c r="BQ14" i="21" s="1"/>
  <c r="BQ15" i="21" s="1"/>
  <c r="AG7" i="21"/>
  <c r="BP4" i="21"/>
  <c r="BP5" i="21" s="1"/>
  <c r="BP6" i="21" s="1"/>
  <c r="BP7" i="21" s="1"/>
  <c r="BP8" i="21" s="1"/>
  <c r="BP9" i="21" s="1"/>
  <c r="BP10" i="21" s="1"/>
  <c r="BP11" i="21" s="1"/>
  <c r="BP12" i="21" s="1"/>
  <c r="BP13" i="21" s="1"/>
  <c r="BP14" i="21" s="1"/>
  <c r="BP15" i="21" s="1"/>
  <c r="AI8" i="21"/>
  <c r="BW4" i="21" s="1"/>
  <c r="BW5" i="21" s="1"/>
  <c r="BW6" i="21" s="1"/>
  <c r="BW7" i="21" s="1"/>
  <c r="BW8" i="21" s="1"/>
  <c r="BW9" i="21" s="1"/>
  <c r="BW10" i="21" s="1"/>
  <c r="BW11" i="21" s="1"/>
  <c r="BW12" i="21" s="1"/>
  <c r="BW13" i="21" s="1"/>
  <c r="BW14" i="21" s="1"/>
  <c r="BW15" i="21" s="1"/>
  <c r="BW16" i="21" s="1"/>
  <c r="BW17" i="21" s="1"/>
  <c r="BW18" i="21" s="1"/>
  <c r="BW19" i="21" s="1"/>
  <c r="BW20" i="21" s="1"/>
  <c r="BW21" i="21" s="1"/>
  <c r="BW22" i="21" s="1"/>
  <c r="BW23" i="21" s="1"/>
  <c r="BW24" i="21" s="1"/>
  <c r="BW25" i="21" s="1"/>
  <c r="BW26" i="21" s="1"/>
  <c r="BW27" i="21" s="1"/>
  <c r="BW28" i="21" s="1"/>
  <c r="BW29" i="21" s="1"/>
  <c r="BW30" i="21" s="1"/>
  <c r="BW31" i="21" s="1"/>
  <c r="BW32" i="21" s="1"/>
  <c r="BW33" i="21" s="1"/>
  <c r="BW34" i="21" s="1"/>
  <c r="BW35" i="21" s="1"/>
  <c r="BW36" i="21" s="1"/>
  <c r="BW37" i="21" s="1"/>
  <c r="BW38" i="21" s="1"/>
  <c r="BW39" i="21" s="1"/>
  <c r="BW40" i="21" s="1"/>
  <c r="AJ8" i="21"/>
  <c r="BX4" i="21" s="1"/>
  <c r="BX5" i="21" s="1"/>
  <c r="BX6" i="21" s="1"/>
  <c r="BX7" i="21" s="1"/>
  <c r="BX8" i="21" s="1"/>
  <c r="BX9" i="21" s="1"/>
  <c r="BX10" i="21" s="1"/>
  <c r="BX11" i="21" s="1"/>
  <c r="BX12" i="21" s="1"/>
  <c r="BX13" i="21" s="1"/>
  <c r="BX14" i="21" s="1"/>
  <c r="BX15" i="21" s="1"/>
  <c r="BX16" i="21" s="1"/>
  <c r="BX17" i="21" s="1"/>
  <c r="BX18" i="21" s="1"/>
  <c r="BX19" i="21" s="1"/>
  <c r="BX20" i="21" s="1"/>
  <c r="BX21" i="21" s="1"/>
  <c r="BX22" i="21" s="1"/>
  <c r="BX23" i="21" s="1"/>
  <c r="BX24" i="21" s="1"/>
  <c r="BX25" i="21" s="1"/>
  <c r="BX26" i="21" s="1"/>
  <c r="BX27" i="21" s="1"/>
  <c r="BX28" i="21" s="1"/>
  <c r="BX29" i="21" s="1"/>
  <c r="BX30" i="21" s="1"/>
  <c r="BX31" i="21" s="1"/>
  <c r="BX32" i="21" s="1"/>
  <c r="BX33" i="21" s="1"/>
  <c r="BX34" i="21" s="1"/>
  <c r="BX35" i="21" s="1"/>
  <c r="BX36" i="21" s="1"/>
  <c r="BX37" i="21" s="1"/>
  <c r="BX38" i="21" s="1"/>
  <c r="BX39" i="21" s="1"/>
  <c r="BX40" i="21" s="1"/>
  <c r="BV4" i="21"/>
  <c r="BV5" i="21" s="1"/>
  <c r="BV6" i="21" s="1"/>
  <c r="BV7" i="21" s="1"/>
  <c r="BV8" i="21" s="1"/>
  <c r="BV9" i="21" s="1"/>
  <c r="BV10" i="21" s="1"/>
  <c r="BV11" i="21" s="1"/>
  <c r="BV12" i="21" s="1"/>
  <c r="BV13" i="21" s="1"/>
  <c r="BV14" i="21" s="1"/>
  <c r="BV15" i="21" s="1"/>
  <c r="BV16" i="21" s="1"/>
  <c r="BV17" i="21" s="1"/>
  <c r="BV18" i="21" s="1"/>
  <c r="BV19" i="21" s="1"/>
  <c r="BV20" i="21" s="1"/>
  <c r="BV21" i="21" s="1"/>
  <c r="BV22" i="21" s="1"/>
  <c r="BV23" i="21" s="1"/>
  <c r="BV24" i="21" s="1"/>
  <c r="BV25" i="21" s="1"/>
  <c r="BV26" i="21" s="1"/>
  <c r="BV27" i="21" s="1"/>
  <c r="BV28" i="21" s="1"/>
  <c r="BV29" i="21" s="1"/>
  <c r="BV30" i="21" s="1"/>
  <c r="BV31" i="21" s="1"/>
  <c r="BV32" i="21" s="1"/>
  <c r="BV33" i="21" s="1"/>
  <c r="BV34" i="21" s="1"/>
  <c r="BV35" i="21" s="1"/>
  <c r="BV36" i="21" s="1"/>
  <c r="BV37" i="21" s="1"/>
  <c r="BV38" i="21" s="1"/>
  <c r="BV39" i="21" s="1"/>
  <c r="BV40" i="21" s="1"/>
  <c r="AG8" i="21"/>
  <c r="AI10" i="21"/>
  <c r="CI4" i="21" s="1"/>
  <c r="CI5" i="21" s="1"/>
  <c r="CI6" i="21" s="1"/>
  <c r="CI7" i="21" s="1"/>
  <c r="CI8" i="21" s="1"/>
  <c r="CI9" i="21" s="1"/>
  <c r="CI10" i="21" s="1"/>
  <c r="CI11" i="21" s="1"/>
  <c r="CI12" i="21" s="1"/>
  <c r="CI13" i="21" s="1"/>
  <c r="CI14" i="21" s="1"/>
  <c r="CI15" i="21" s="1"/>
  <c r="CI16" i="21" s="1"/>
  <c r="CI17" i="21" s="1"/>
  <c r="CI18" i="21" s="1"/>
  <c r="CI19" i="21" s="1"/>
  <c r="CI20" i="21" s="1"/>
  <c r="CI21" i="21" s="1"/>
  <c r="CI22" i="21" s="1"/>
  <c r="CI23" i="21" s="1"/>
  <c r="CI24" i="21" s="1"/>
  <c r="CI25" i="21" s="1"/>
  <c r="CI26" i="21" s="1"/>
  <c r="CI27" i="21" s="1"/>
  <c r="CI28" i="21" s="1"/>
  <c r="CI29" i="21" s="1"/>
  <c r="CI30" i="21" s="1"/>
  <c r="CI31" i="21" s="1"/>
  <c r="CI32" i="21" s="1"/>
  <c r="CI33" i="21" s="1"/>
  <c r="CI34" i="21" s="1"/>
  <c r="CI35" i="21" s="1"/>
  <c r="CI36" i="21" s="1"/>
  <c r="CI37" i="21" s="1"/>
  <c r="CI38" i="21" s="1"/>
  <c r="CI39" i="21" s="1"/>
  <c r="CI40" i="21" s="1"/>
  <c r="AJ10" i="21"/>
  <c r="CJ4" i="21" s="1"/>
  <c r="CJ5" i="21" s="1"/>
  <c r="CJ6" i="21" s="1"/>
  <c r="CJ7" i="21" s="1"/>
  <c r="CJ8" i="21" s="1"/>
  <c r="CJ9" i="21" s="1"/>
  <c r="CJ10" i="21" s="1"/>
  <c r="CJ11" i="21" s="1"/>
  <c r="CJ12" i="21" s="1"/>
  <c r="CJ13" i="21" s="1"/>
  <c r="CJ14" i="21" s="1"/>
  <c r="CJ15" i="21" s="1"/>
  <c r="CJ16" i="21" s="1"/>
  <c r="CJ17" i="21" s="1"/>
  <c r="CJ18" i="21" s="1"/>
  <c r="CJ19" i="21" s="1"/>
  <c r="CJ20" i="21" s="1"/>
  <c r="CJ21" i="21" s="1"/>
  <c r="CJ22" i="21" s="1"/>
  <c r="CJ23" i="21" s="1"/>
  <c r="CJ24" i="21" s="1"/>
  <c r="CJ25" i="21" s="1"/>
  <c r="CJ26" i="21" s="1"/>
  <c r="CJ27" i="21" s="1"/>
  <c r="CJ28" i="21" s="1"/>
  <c r="CJ29" i="21" s="1"/>
  <c r="CJ30" i="21" s="1"/>
  <c r="CJ31" i="21" s="1"/>
  <c r="CJ32" i="21" s="1"/>
  <c r="CJ33" i="21" s="1"/>
  <c r="CJ34" i="21" s="1"/>
  <c r="CJ35" i="21" s="1"/>
  <c r="CJ36" i="21" s="1"/>
  <c r="CJ37" i="21" s="1"/>
  <c r="CJ38" i="21" s="1"/>
  <c r="CJ39" i="21" s="1"/>
  <c r="CJ40" i="21" s="1"/>
  <c r="CH4" i="21"/>
  <c r="CH5" i="21" s="1"/>
  <c r="CH6" i="21" s="1"/>
  <c r="CH7" i="21" s="1"/>
  <c r="CH8" i="21" s="1"/>
  <c r="CH9" i="21" s="1"/>
  <c r="CH10" i="21" s="1"/>
  <c r="CH11" i="21" s="1"/>
  <c r="CH12" i="21" s="1"/>
  <c r="CH13" i="21" s="1"/>
  <c r="CH14" i="21" s="1"/>
  <c r="CH15" i="21" s="1"/>
  <c r="CH16" i="21" s="1"/>
  <c r="CH17" i="21" s="1"/>
  <c r="CH18" i="21" s="1"/>
  <c r="CH19" i="21" s="1"/>
  <c r="CH20" i="21" s="1"/>
  <c r="CH21" i="21" s="1"/>
  <c r="CH22" i="21" s="1"/>
  <c r="CH23" i="21" s="1"/>
  <c r="CH24" i="21" s="1"/>
  <c r="CH25" i="21" s="1"/>
  <c r="CH26" i="21" s="1"/>
  <c r="CH27" i="21" s="1"/>
  <c r="CH28" i="21" s="1"/>
  <c r="CH29" i="21" s="1"/>
  <c r="CH30" i="21" s="1"/>
  <c r="CH31" i="21" s="1"/>
  <c r="CH32" i="21" s="1"/>
  <c r="CH33" i="21" s="1"/>
  <c r="CH34" i="21" s="1"/>
  <c r="CH35" i="21" s="1"/>
  <c r="CH36" i="21" s="1"/>
  <c r="CH37" i="21" s="1"/>
  <c r="CH38" i="21" s="1"/>
  <c r="CH39" i="21" s="1"/>
  <c r="CH40" i="21" s="1"/>
  <c r="AG10" i="21"/>
  <c r="AG11" i="21"/>
  <c r="AJ11" i="21"/>
  <c r="CP4" i="21" s="1"/>
  <c r="AI11" i="21"/>
  <c r="CO4" i="21" s="1"/>
  <c r="CO5" i="21" s="1"/>
  <c r="CN4" i="21"/>
  <c r="CN5" i="21" s="1"/>
  <c r="CN6" i="21" s="1"/>
  <c r="CI53" i="21" l="1"/>
  <c r="CI41" i="21"/>
  <c r="CI42" i="21" s="1"/>
  <c r="CI43" i="21" s="1"/>
  <c r="CI44" i="21" s="1"/>
  <c r="CI45" i="21" s="1"/>
  <c r="CI46" i="21" s="1"/>
  <c r="CI47" i="21" s="1"/>
  <c r="CI48" i="21" s="1"/>
  <c r="CI49" i="21" s="1"/>
  <c r="CI50" i="21" s="1"/>
  <c r="CI51" i="21" s="1"/>
  <c r="CI52" i="21" s="1"/>
  <c r="BV53" i="21"/>
  <c r="BV41" i="21"/>
  <c r="BV42" i="21" s="1"/>
  <c r="BV43" i="21" s="1"/>
  <c r="BV44" i="21" s="1"/>
  <c r="BV45" i="21" s="1"/>
  <c r="BV46" i="21" s="1"/>
  <c r="BV47" i="21" s="1"/>
  <c r="BV48" i="21" s="1"/>
  <c r="BV49" i="21" s="1"/>
  <c r="BV50" i="21" s="1"/>
  <c r="BV51" i="21" s="1"/>
  <c r="BV52" i="21" s="1"/>
  <c r="CH53" i="21"/>
  <c r="CH41" i="21"/>
  <c r="CH42" i="21" s="1"/>
  <c r="CH43" i="21" s="1"/>
  <c r="CH44" i="21" s="1"/>
  <c r="CH45" i="21" s="1"/>
  <c r="CH46" i="21" s="1"/>
  <c r="CH47" i="21" s="1"/>
  <c r="CH48" i="21" s="1"/>
  <c r="CH49" i="21" s="1"/>
  <c r="CH50" i="21" s="1"/>
  <c r="CH51" i="21" s="1"/>
  <c r="CH52" i="21" s="1"/>
  <c r="BX53" i="21"/>
  <c r="BX41" i="21"/>
  <c r="BX42" i="21" s="1"/>
  <c r="BX43" i="21" s="1"/>
  <c r="BX44" i="21" s="1"/>
  <c r="BX45" i="21" s="1"/>
  <c r="BX46" i="21" s="1"/>
  <c r="BX47" i="21" s="1"/>
  <c r="BX48" i="21" s="1"/>
  <c r="BX49" i="21" s="1"/>
  <c r="BX50" i="21" s="1"/>
  <c r="BX51" i="21" s="1"/>
  <c r="BX52" i="21" s="1"/>
  <c r="BW53" i="21"/>
  <c r="BW41" i="21"/>
  <c r="BW42" i="21" s="1"/>
  <c r="BW43" i="21" s="1"/>
  <c r="BW44" i="21" s="1"/>
  <c r="BW45" i="21" s="1"/>
  <c r="BW46" i="21" s="1"/>
  <c r="BW47" i="21" s="1"/>
  <c r="BW48" i="21" s="1"/>
  <c r="BW49" i="21" s="1"/>
  <c r="BW50" i="21" s="1"/>
  <c r="BW51" i="21" s="1"/>
  <c r="BW52" i="21" s="1"/>
  <c r="CJ53" i="21"/>
  <c r="CJ41" i="21"/>
  <c r="CJ42" i="21" s="1"/>
  <c r="CJ43" i="21" s="1"/>
  <c r="CJ44" i="21" s="1"/>
  <c r="CJ45" i="21" s="1"/>
  <c r="CJ46" i="21" s="1"/>
  <c r="CJ47" i="21" s="1"/>
  <c r="CJ48" i="21" s="1"/>
  <c r="CJ49" i="21" s="1"/>
  <c r="CJ50" i="21" s="1"/>
  <c r="CJ51" i="21" s="1"/>
  <c r="CJ52" i="21" s="1"/>
  <c r="AK45" i="21"/>
  <c r="AN44" i="21"/>
  <c r="DS42" i="21"/>
  <c r="DK54" i="21"/>
  <c r="BP16" i="21"/>
  <c r="BP17" i="21" s="1"/>
  <c r="BP18" i="21" s="1"/>
  <c r="BP19" i="21" s="1"/>
  <c r="DM15" i="21"/>
  <c r="BQ16" i="21"/>
  <c r="BQ17" i="21" s="1"/>
  <c r="BQ18" i="21" s="1"/>
  <c r="BQ19" i="21" s="1"/>
  <c r="DN15" i="21"/>
  <c r="DQ15" i="21" s="1"/>
  <c r="DR15" i="21" s="1"/>
  <c r="DS15" i="21" s="1"/>
  <c r="BR16" i="21"/>
  <c r="BR17" i="21" s="1"/>
  <c r="BR18" i="21" s="1"/>
  <c r="BR19" i="21" s="1"/>
  <c r="DO15" i="21"/>
  <c r="DM4" i="21"/>
  <c r="CN7" i="21"/>
  <c r="DM6" i="21"/>
  <c r="CO6" i="21"/>
  <c r="DN5" i="21"/>
  <c r="CP5" i="21"/>
  <c r="DO4" i="21"/>
  <c r="DM5" i="21"/>
  <c r="DN4" i="21"/>
  <c r="DQ5" i="21" l="1"/>
  <c r="DR5" i="21" s="1"/>
  <c r="DS5" i="21" s="1"/>
  <c r="DQ4" i="21"/>
  <c r="DR4" i="21" s="1"/>
  <c r="DS4" i="21" s="1"/>
  <c r="AK46" i="21"/>
  <c r="AN45" i="21"/>
  <c r="BR20" i="21"/>
  <c r="BR21" i="21" s="1"/>
  <c r="BR22" i="21" s="1"/>
  <c r="BR23" i="21" s="1"/>
  <c r="BR24" i="21" s="1"/>
  <c r="BR25" i="21" s="1"/>
  <c r="BR26" i="21" s="1"/>
  <c r="BR27" i="21" s="1"/>
  <c r="BR28" i="21" s="1"/>
  <c r="BR29" i="21" s="1"/>
  <c r="BR30" i="21" s="1"/>
  <c r="BR31" i="21" s="1"/>
  <c r="BR32" i="21" s="1"/>
  <c r="BR33" i="21" s="1"/>
  <c r="BR34" i="21" s="1"/>
  <c r="BR35" i="21" s="1"/>
  <c r="BR36" i="21" s="1"/>
  <c r="BR37" i="21" s="1"/>
  <c r="BR38" i="21" s="1"/>
  <c r="BR39" i="21" s="1"/>
  <c r="BR40" i="21" s="1"/>
  <c r="DO19" i="21"/>
  <c r="BQ20" i="21"/>
  <c r="BQ21" i="21" s="1"/>
  <c r="BQ22" i="21" s="1"/>
  <c r="BQ23" i="21" s="1"/>
  <c r="BQ24" i="21" s="1"/>
  <c r="BQ25" i="21" s="1"/>
  <c r="BQ26" i="21" s="1"/>
  <c r="BQ27" i="21" s="1"/>
  <c r="BQ28" i="21" s="1"/>
  <c r="BQ29" i="21" s="1"/>
  <c r="BQ30" i="21" s="1"/>
  <c r="BQ31" i="21" s="1"/>
  <c r="BQ32" i="21" s="1"/>
  <c r="BQ33" i="21" s="1"/>
  <c r="BQ34" i="21" s="1"/>
  <c r="BQ35" i="21" s="1"/>
  <c r="BQ36" i="21" s="1"/>
  <c r="BQ37" i="21" s="1"/>
  <c r="BQ38" i="21" s="1"/>
  <c r="BQ39" i="21" s="1"/>
  <c r="BQ40" i="21" s="1"/>
  <c r="DN19" i="21"/>
  <c r="BP20" i="21"/>
  <c r="BP21" i="21" s="1"/>
  <c r="BP22" i="21" s="1"/>
  <c r="BP23" i="21" s="1"/>
  <c r="BP24" i="21" s="1"/>
  <c r="BP25" i="21" s="1"/>
  <c r="BP26" i="21" s="1"/>
  <c r="BP27" i="21" s="1"/>
  <c r="BP28" i="21" s="1"/>
  <c r="BP29" i="21" s="1"/>
  <c r="BP30" i="21" s="1"/>
  <c r="BP31" i="21" s="1"/>
  <c r="BP32" i="21" s="1"/>
  <c r="BP33" i="21" s="1"/>
  <c r="BP34" i="21" s="1"/>
  <c r="BP35" i="21" s="1"/>
  <c r="BP36" i="21" s="1"/>
  <c r="BP37" i="21" s="1"/>
  <c r="BP38" i="21" s="1"/>
  <c r="BP39" i="21" s="1"/>
  <c r="BP40" i="21" s="1"/>
  <c r="DM19" i="21"/>
  <c r="DQ19" i="21" s="1"/>
  <c r="DR19" i="21" s="1"/>
  <c r="DS19" i="21" s="1"/>
  <c r="CP6" i="21"/>
  <c r="DO5" i="21"/>
  <c r="CO7" i="21"/>
  <c r="DN6" i="21"/>
  <c r="DQ6" i="21" s="1"/>
  <c r="DR6" i="21" s="1"/>
  <c r="DS6" i="21" s="1"/>
  <c r="DM7" i="21"/>
  <c r="CN8" i="21"/>
  <c r="BQ53" i="21" l="1"/>
  <c r="BQ41" i="21"/>
  <c r="BQ42" i="21" s="1"/>
  <c r="BQ43" i="21" s="1"/>
  <c r="BQ44" i="21" s="1"/>
  <c r="BQ45" i="21" s="1"/>
  <c r="BQ46" i="21" s="1"/>
  <c r="BQ47" i="21" s="1"/>
  <c r="BQ48" i="21" s="1"/>
  <c r="BQ49" i="21" s="1"/>
  <c r="BQ50" i="21" s="1"/>
  <c r="BQ51" i="21" s="1"/>
  <c r="BQ52" i="21" s="1"/>
  <c r="BP53" i="21"/>
  <c r="BP41" i="21"/>
  <c r="BP42" i="21" s="1"/>
  <c r="BP43" i="21" s="1"/>
  <c r="BP44" i="21" s="1"/>
  <c r="BP45" i="21" s="1"/>
  <c r="BP46" i="21" s="1"/>
  <c r="BP47" i="21" s="1"/>
  <c r="BP48" i="21" s="1"/>
  <c r="BP49" i="21" s="1"/>
  <c r="BP50" i="21" s="1"/>
  <c r="BP51" i="21" s="1"/>
  <c r="BP52" i="21" s="1"/>
  <c r="BR53" i="21"/>
  <c r="BR41" i="21"/>
  <c r="BR42" i="21" s="1"/>
  <c r="BR43" i="21" s="1"/>
  <c r="BR44" i="21" s="1"/>
  <c r="BR45" i="21" s="1"/>
  <c r="BR46" i="21" s="1"/>
  <c r="BR47" i="21" s="1"/>
  <c r="BR48" i="21" s="1"/>
  <c r="BR49" i="21" s="1"/>
  <c r="BR50" i="21" s="1"/>
  <c r="BR51" i="21" s="1"/>
  <c r="BR52" i="21" s="1"/>
  <c r="AK47" i="21"/>
  <c r="AN46" i="21"/>
  <c r="CN9" i="21"/>
  <c r="DM8" i="21"/>
  <c r="CO8" i="21"/>
  <c r="DN7" i="21"/>
  <c r="DQ7" i="21" s="1"/>
  <c r="DR7" i="21" s="1"/>
  <c r="DO6" i="21"/>
  <c r="CP7" i="21"/>
  <c r="AK48" i="21" l="1"/>
  <c r="AN47" i="21"/>
  <c r="DS7" i="21"/>
  <c r="DO7" i="21"/>
  <c r="CP8" i="21"/>
  <c r="DN8" i="21"/>
  <c r="DQ8" i="21" s="1"/>
  <c r="DR8" i="21" s="1"/>
  <c r="DS8" i="21" s="1"/>
  <c r="CO9" i="21"/>
  <c r="CN10" i="21"/>
  <c r="DM9" i="21"/>
  <c r="AK49" i="21" l="1"/>
  <c r="AN48" i="21"/>
  <c r="DM10" i="21"/>
  <c r="CN11" i="21"/>
  <c r="DN9" i="21"/>
  <c r="DQ9" i="21" s="1"/>
  <c r="DR9" i="21" s="1"/>
  <c r="DS9" i="21" s="1"/>
  <c r="CO10" i="21"/>
  <c r="DO8" i="21"/>
  <c r="CP9" i="21"/>
  <c r="AK50" i="21" l="1"/>
  <c r="AN49" i="21"/>
  <c r="CO11" i="21"/>
  <c r="DN10" i="21"/>
  <c r="DQ10" i="21" s="1"/>
  <c r="DR10" i="21" s="1"/>
  <c r="CP10" i="21"/>
  <c r="DO9" i="21"/>
  <c r="DM11" i="21"/>
  <c r="CN12" i="21"/>
  <c r="CN13" i="21" s="1"/>
  <c r="AK51" i="21" l="1"/>
  <c r="AN50" i="21"/>
  <c r="CN14" i="21"/>
  <c r="DM13" i="21"/>
  <c r="CP11" i="21"/>
  <c r="DO10" i="21"/>
  <c r="DS10" i="21"/>
  <c r="DN11" i="21"/>
  <c r="DQ11" i="21" s="1"/>
  <c r="DR11" i="21" s="1"/>
  <c r="DS11" i="21" s="1"/>
  <c r="CO12" i="21"/>
  <c r="CO13" i="21" s="1"/>
  <c r="AK52" i="21" l="1"/>
  <c r="AN52" i="21" s="1"/>
  <c r="AN51" i="21"/>
  <c r="CO14" i="21"/>
  <c r="DN13" i="21"/>
  <c r="DQ13" i="21" s="1"/>
  <c r="DR13" i="21" s="1"/>
  <c r="DS13" i="21" s="1"/>
  <c r="CN15" i="21"/>
  <c r="CN16" i="21" s="1"/>
  <c r="CN17" i="21" s="1"/>
  <c r="CN18" i="21" s="1"/>
  <c r="CN19" i="21" s="1"/>
  <c r="CN20" i="21" s="1"/>
  <c r="CN21" i="21" s="1"/>
  <c r="CN22" i="21" s="1"/>
  <c r="CN23" i="21" s="1"/>
  <c r="CN24" i="21" s="1"/>
  <c r="CN25" i="21" s="1"/>
  <c r="CN26" i="21" s="1"/>
  <c r="CN27" i="21" s="1"/>
  <c r="CN28" i="21" s="1"/>
  <c r="CN29" i="21" s="1"/>
  <c r="CN30" i="21" s="1"/>
  <c r="CN31" i="21" s="1"/>
  <c r="CN32" i="21" s="1"/>
  <c r="CN33" i="21" s="1"/>
  <c r="CN34" i="21" s="1"/>
  <c r="CN35" i="21" s="1"/>
  <c r="CN36" i="21" s="1"/>
  <c r="CN37" i="21" s="1"/>
  <c r="CN38" i="21" s="1"/>
  <c r="CN39" i="21" s="1"/>
  <c r="CN40" i="21" s="1"/>
  <c r="DM14" i="21"/>
  <c r="CP12" i="21"/>
  <c r="CP13" i="21" s="1"/>
  <c r="DO11" i="21"/>
  <c r="CN53" i="21" l="1"/>
  <c r="CN41" i="21"/>
  <c r="CN42" i="21" s="1"/>
  <c r="CN43" i="21" s="1"/>
  <c r="CN44" i="21" s="1"/>
  <c r="CN45" i="21" s="1"/>
  <c r="CN46" i="21" s="1"/>
  <c r="CN47" i="21" s="1"/>
  <c r="CN48" i="21" s="1"/>
  <c r="CN49" i="21" s="1"/>
  <c r="CN50" i="21" s="1"/>
  <c r="CN51" i="21" s="1"/>
  <c r="CN52" i="21" s="1"/>
  <c r="CP14" i="21"/>
  <c r="DO13" i="21"/>
  <c r="CO15" i="21"/>
  <c r="CO16" i="21" s="1"/>
  <c r="CO17" i="21" s="1"/>
  <c r="CO18" i="21" s="1"/>
  <c r="CO19" i="21" s="1"/>
  <c r="CO20" i="21" s="1"/>
  <c r="CO21" i="21" s="1"/>
  <c r="CO22" i="21" s="1"/>
  <c r="CO23" i="21" s="1"/>
  <c r="CO24" i="21" s="1"/>
  <c r="CO25" i="21" s="1"/>
  <c r="CO26" i="21" s="1"/>
  <c r="CO27" i="21" s="1"/>
  <c r="CO28" i="21" s="1"/>
  <c r="CO29" i="21" s="1"/>
  <c r="CO30" i="21" s="1"/>
  <c r="CO31" i="21" s="1"/>
  <c r="CO32" i="21" s="1"/>
  <c r="CO33" i="21" s="1"/>
  <c r="CO34" i="21" s="1"/>
  <c r="CO35" i="21" s="1"/>
  <c r="CO36" i="21" s="1"/>
  <c r="CO37" i="21" s="1"/>
  <c r="CO38" i="21" s="1"/>
  <c r="CO39" i="21" s="1"/>
  <c r="CO40" i="21" s="1"/>
  <c r="DN14" i="21"/>
  <c r="DQ14" i="21" s="1"/>
  <c r="DR14" i="21" s="1"/>
  <c r="CO53" i="21" l="1"/>
  <c r="CO41" i="21"/>
  <c r="CO42" i="21" s="1"/>
  <c r="CO43" i="21" s="1"/>
  <c r="CO44" i="21" s="1"/>
  <c r="CO45" i="21" s="1"/>
  <c r="CO46" i="21" s="1"/>
  <c r="CO47" i="21" s="1"/>
  <c r="CO48" i="21" s="1"/>
  <c r="CO49" i="21" s="1"/>
  <c r="CO50" i="21" s="1"/>
  <c r="CO51" i="21" s="1"/>
  <c r="CO52" i="21" s="1"/>
  <c r="DS14" i="21"/>
  <c r="DS54" i="21" s="1"/>
  <c r="DS2" i="21" s="1"/>
  <c r="U6" i="21" s="1"/>
  <c r="DR54" i="21"/>
  <c r="CP15" i="21"/>
  <c r="CP16" i="21" s="1"/>
  <c r="CP17" i="21" s="1"/>
  <c r="CP18" i="21" s="1"/>
  <c r="CP19" i="21" s="1"/>
  <c r="CP20" i="21" s="1"/>
  <c r="CP21" i="21" s="1"/>
  <c r="CP22" i="21" s="1"/>
  <c r="CP23" i="21" s="1"/>
  <c r="CP24" i="21" s="1"/>
  <c r="CP25" i="21" s="1"/>
  <c r="CP26" i="21" s="1"/>
  <c r="CP27" i="21" s="1"/>
  <c r="CP28" i="21" s="1"/>
  <c r="CP29" i="21" s="1"/>
  <c r="CP30" i="21" s="1"/>
  <c r="CP31" i="21" s="1"/>
  <c r="CP32" i="21" s="1"/>
  <c r="CP33" i="21" s="1"/>
  <c r="CP34" i="21" s="1"/>
  <c r="CP35" i="21" s="1"/>
  <c r="CP36" i="21" s="1"/>
  <c r="CP37" i="21" s="1"/>
  <c r="CP38" i="21" s="1"/>
  <c r="CP39" i="21" s="1"/>
  <c r="CP40" i="21" s="1"/>
  <c r="DO14" i="21"/>
  <c r="CP53" i="21" l="1"/>
  <c r="CP41" i="21"/>
  <c r="CP42" i="21" s="1"/>
  <c r="CP43" i="21" s="1"/>
  <c r="CP44" i="21" s="1"/>
  <c r="CP45" i="21" s="1"/>
  <c r="CP46" i="21" s="1"/>
  <c r="CP47" i="21" s="1"/>
  <c r="CP48" i="21" s="1"/>
  <c r="CP49" i="21" s="1"/>
  <c r="CP50" i="21" s="1"/>
  <c r="CP51" i="21" s="1"/>
  <c r="CP52" i="21" s="1"/>
  <c r="X6" i="21"/>
  <c r="V6" i="21"/>
  <c r="W6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<sst xmlns="http://schemas.openxmlformats.org/spreadsheetml/2006/main" count="303" uniqueCount="144">
  <si>
    <t>4.5X10</t>
  </si>
  <si>
    <t>4.5X17</t>
  </si>
  <si>
    <t>5X7</t>
  </si>
  <si>
    <t>7X17</t>
  </si>
  <si>
    <t>8X10</t>
  </si>
  <si>
    <t>10X12</t>
  </si>
  <si>
    <t>11X14</t>
  </si>
  <si>
    <t>14X17</t>
  </si>
  <si>
    <t xml:space="preserve"> </t>
  </si>
  <si>
    <t>Price per Minute</t>
  </si>
  <si>
    <t>Double Shot Price</t>
  </si>
  <si>
    <t>Triple Shot Price</t>
  </si>
  <si>
    <t>July OH Costs</t>
  </si>
  <si>
    <t>July Direct Labor Costs</t>
  </si>
  <si>
    <t>July OH Ratio</t>
  </si>
  <si>
    <t>Direct Labor $ / Hr per Machine (3 Machines)</t>
  </si>
  <si>
    <t>Shot Time</t>
  </si>
  <si>
    <t>Part Number</t>
  </si>
  <si>
    <t>View</t>
  </si>
  <si>
    <t>Single Shot Price</t>
  </si>
  <si>
    <t xml:space="preserve">Dan </t>
  </si>
  <si>
    <t>DR / Sort  Direct Labor per Hour</t>
  </si>
  <si>
    <t>Read Direct Labor per Hour</t>
  </si>
  <si>
    <t xml:space="preserve">Profit % </t>
  </si>
  <si>
    <t xml:space="preserve"> SHOOTER            Cost per Minute /                     1 Shot Time</t>
  </si>
  <si>
    <t>SHOOTER             Cost per Minute /  2 Shot Time</t>
  </si>
  <si>
    <t>SHOOTER             Cost per Minute /   3 Shot Time</t>
  </si>
  <si>
    <t>DARK ROOM / SORT                            1 Film Time</t>
  </si>
  <si>
    <t>DARK ROOM / SORT                            2 Film Time</t>
  </si>
  <si>
    <t>DARK ROOM / SORT                            3 Film Time</t>
  </si>
  <si>
    <t>READER                       1 Film Time</t>
  </si>
  <si>
    <t xml:space="preserve"> READER                           2 Film Time </t>
  </si>
  <si>
    <t xml:space="preserve"> READER                      3 Film Time</t>
  </si>
  <si>
    <t>Square Area in Inches</t>
  </si>
  <si>
    <t>Film Price per Box 100</t>
  </si>
  <si>
    <t>Film Price Per 1   Film  Shot</t>
  </si>
  <si>
    <t>Film Price Per  2 Film Shot</t>
  </si>
  <si>
    <t>Film Price Per 3 Film  Shot</t>
  </si>
  <si>
    <t>LABOR COST PER FUNCTION</t>
  </si>
  <si>
    <t>Film Pricing for 1 Shot / 2 Shot / 3 Shot</t>
  </si>
  <si>
    <t>DRK RM / SORT per Film in Minutes</t>
  </si>
  <si>
    <t>DRK RM / SORT per LABOR COST in Minutes</t>
  </si>
  <si>
    <t>READ per film in minutes</t>
  </si>
  <si>
    <t>READ Labor Cost</t>
  </si>
  <si>
    <t>Film Size</t>
  </si>
  <si>
    <t>QUOTING PARAMETERS</t>
  </si>
  <si>
    <t>Sq Inches</t>
  </si>
  <si>
    <t>Enter Film Size in Sq Inches</t>
  </si>
  <si>
    <t xml:space="preserve">LABOR + FILM COSTS </t>
  </si>
  <si>
    <t>PRICE PER VIEW</t>
  </si>
  <si>
    <t>Shot / Part       (0,1, 2, 3)  Single / Double / Triple Shot</t>
  </si>
  <si>
    <t>Qty of Parts / Film</t>
  </si>
  <si>
    <t xml:space="preserve">COST OF FILM </t>
  </si>
  <si>
    <t>COST OF LABOR PER VIEW</t>
  </si>
  <si>
    <t>Total Shooter Cost</t>
  </si>
  <si>
    <t>Film Cost per Part</t>
  </si>
  <si>
    <t>Shooter Loading &amp; ID Cost per Part Qty</t>
  </si>
  <si>
    <t>Film $ / Part</t>
  </si>
  <si>
    <t>Labor $ per Part</t>
  </si>
  <si>
    <t>Sales Bonus</t>
  </si>
  <si>
    <t>Part Price w/ Sales Bonus</t>
  </si>
  <si>
    <t>Film Markup %</t>
  </si>
  <si>
    <t>SHOOTER             Cost per Minute /   4 Shot Time</t>
  </si>
  <si>
    <t>Reader Time in Minutes</t>
  </si>
  <si>
    <t>Sq Inches of Film SS</t>
  </si>
  <si>
    <t>Cost / Sq In</t>
  </si>
  <si>
    <t>DS / #Shot Multiplier</t>
  </si>
  <si>
    <t>Qty of Parts</t>
  </si>
  <si>
    <t>Cost per Part</t>
  </si>
  <si>
    <t>TOTAL</t>
  </si>
  <si>
    <t>Shot Cost</t>
  </si>
  <si>
    <t>Price / Sq In ($0.09 SS / $0.085 Multiple Shots</t>
  </si>
  <si>
    <t>Price / Sq In ($0.14 SS / $0.145 Multiple Shots</t>
  </si>
  <si>
    <t>Price / Sq In ($0.15 SS / $0.155 Multiple Shots</t>
  </si>
  <si>
    <t>Price / Sq In ($0.16 SS / $0.165 Multiple Shots</t>
  </si>
  <si>
    <t>.085/.09</t>
  </si>
  <si>
    <t>Price / Sq In $0.115 Multiple Shots</t>
  </si>
  <si>
    <t>Price / Sq In $0.125 Multiple Shots</t>
  </si>
  <si>
    <t>Profit Multiplier</t>
  </si>
  <si>
    <t>No Profit 0.00%</t>
  </si>
  <si>
    <t>Price / Sq In $0.13 Multiple Shots</t>
  </si>
  <si>
    <t>50% OH for Miller</t>
  </si>
  <si>
    <t>Film Price Per 1   Film  Shot * MARKUP</t>
  </si>
  <si>
    <t>Film Price Per  2 Film Shot * MARKUP</t>
  </si>
  <si>
    <t>Film Price Per 3 Film  Shot * MARKUP</t>
  </si>
  <si>
    <t>Cost per Square Inch</t>
  </si>
  <si>
    <t>MARKUP Price per Square Inch</t>
  </si>
  <si>
    <t>FILM COSTS</t>
  </si>
  <si>
    <t>qty</t>
  </si>
  <si>
    <t>Shooter 1</t>
  </si>
  <si>
    <t>Shooter 2</t>
  </si>
  <si>
    <t>Shooter 3</t>
  </si>
  <si>
    <t>DR / Sort 1</t>
  </si>
  <si>
    <t>DR / Sort 2</t>
  </si>
  <si>
    <t>Read 1</t>
  </si>
  <si>
    <t>Read 2</t>
  </si>
  <si>
    <t>Shooter Labor Cost</t>
  </si>
  <si>
    <t>Reader  Labor Cost</t>
  </si>
  <si>
    <t>Operator</t>
  </si>
  <si>
    <t>Labor</t>
  </si>
  <si>
    <t>Labor + OH</t>
  </si>
  <si>
    <t>Totals</t>
  </si>
  <si>
    <t>OH Calculation</t>
  </si>
  <si>
    <t>LABOR + OH Cost per Minute (Per Qty)</t>
  </si>
  <si>
    <t>Dark Rm/Sort Labor Cost</t>
  </si>
  <si>
    <t>Shooter Direct Labor per Hour</t>
  </si>
  <si>
    <t>Direct Labor $ / Hr  / 2 Operators</t>
  </si>
  <si>
    <t>Direct Labor $ / Hr  / 1 Operator</t>
  </si>
  <si>
    <t>Total</t>
  </si>
  <si>
    <t>Unpack, ID, Transfer, and Turntable Load Time</t>
  </si>
  <si>
    <t>Team Leader</t>
  </si>
  <si>
    <t>Quarterback</t>
  </si>
  <si>
    <t>Shooter 4</t>
  </si>
  <si>
    <t>Misc Profit Multiplyer</t>
  </si>
  <si>
    <t>Jessica</t>
  </si>
  <si>
    <t>Valeria</t>
  </si>
  <si>
    <t>Marisol</t>
  </si>
  <si>
    <t>Andy</t>
  </si>
  <si>
    <t>Danny</t>
  </si>
  <si>
    <t>Victor</t>
  </si>
  <si>
    <t>Mario</t>
  </si>
  <si>
    <t>Jose</t>
  </si>
  <si>
    <t>Kimberly</t>
  </si>
  <si>
    <t>Read 3</t>
  </si>
  <si>
    <t>Shane</t>
  </si>
  <si>
    <t>Price / Sq In ($0.17 SS / $0.175 Multiple Shots</t>
  </si>
  <si>
    <t>Price / Sq In ($0.86 SS / $0.185 Multiple Shots</t>
  </si>
  <si>
    <t>Cycle time</t>
  </si>
  <si>
    <t>FILM SZ</t>
  </si>
  <si>
    <t>30% Profit</t>
  </si>
  <si>
    <t>Department</t>
  </si>
  <si>
    <t>15% Profit</t>
  </si>
  <si>
    <t>Sales Price Target Profit %</t>
  </si>
  <si>
    <t>Cross Check Price per Sq Inch</t>
  </si>
  <si>
    <t>Update Qrtly</t>
  </si>
  <si>
    <t>Cost per View</t>
  </si>
  <si>
    <t xml:space="preserve">Film Size </t>
  </si>
  <si>
    <t>Technique</t>
  </si>
  <si>
    <t>Sandbox Price</t>
  </si>
  <si>
    <t>Sales Team Inputs</t>
  </si>
  <si>
    <t>RT Team Inputs</t>
  </si>
  <si>
    <t>Quoting Outputs</t>
  </si>
  <si>
    <t>SAND BOX          Film Markup %</t>
  </si>
  <si>
    <t xml:space="preserve"> PN-70720187-115/Miller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</si>
</sst>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  <numFmt numFmtId="165" formatCode="_(&quot;$&quot;* #,##0.000_);_(&quot;$&quot;* \(#,##0.000\);_(&quot;$&quot;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0.1499374370555742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9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horizontal="left" vertical="center" wrapText="1" indent="1"/>
    </xf>
  </cellStyleXfs>
  <cellXfs count="3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0" xfId="0" applyFont="1"/>
    <xf numFmtId="0" fontId="0" fillId="0" borderId="9" xfId="0" applyBorder="1"/>
    <xf numFmtId="0" fontId="0" fillId="0" borderId="13" xfId="0" applyBorder="1"/>
    <xf numFmtId="44" fontId="0" fillId="0" borderId="0" xfId="0" applyNumberFormat="1"/>
    <xf numFmtId="0" fontId="0" fillId="0" borderId="1" xfId="0" applyBorder="1" applyAlignment="1">
      <alignment wrapText="1"/>
    </xf>
    <xf numFmtId="44" fontId="0" fillId="0" borderId="3" xfId="1" applyFont="1" applyBorder="1"/>
    <xf numFmtId="0" fontId="0" fillId="0" borderId="4" xfId="0" applyBorder="1" applyAlignment="1">
      <alignment wrapText="1"/>
    </xf>
    <xf numFmtId="44" fontId="0" fillId="0" borderId="5" xfId="1" applyFont="1" applyBorder="1"/>
    <xf numFmtId="0" fontId="0" fillId="0" borderId="8" xfId="0" applyBorder="1" applyAlignment="1">
      <alignment wrapText="1"/>
    </xf>
    <xf numFmtId="9" fontId="0" fillId="0" borderId="7" xfId="2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44" fontId="0" fillId="0" borderId="8" xfId="1" applyFont="1" applyBorder="1"/>
    <xf numFmtId="44" fontId="0" fillId="0" borderId="6" xfId="0" applyNumberFormat="1" applyBorder="1"/>
    <xf numFmtId="44" fontId="2" fillId="0" borderId="7" xfId="0" applyNumberFormat="1" applyFont="1" applyBorder="1"/>
    <xf numFmtId="0" fontId="2" fillId="0" borderId="0" xfId="0" applyFont="1" applyAlignment="1">
      <alignment horizontal="center" wrapText="1"/>
    </xf>
    <xf numFmtId="0" fontId="0" fillId="0" borderId="6" xfId="0" applyBorder="1"/>
    <xf numFmtId="0" fontId="0" fillId="0" borderId="0" xfId="0" applyAlignment="1">
      <alignment horizontal="center" vertical="center"/>
    </xf>
    <xf numFmtId="44" fontId="2" fillId="0" borderId="0" xfId="0" applyNumberFormat="1" applyFont="1"/>
    <xf numFmtId="44" fontId="0" fillId="0" borderId="0" xfId="1" applyFont="1" applyBorder="1"/>
    <xf numFmtId="0" fontId="2" fillId="0" borderId="0" xfId="0" applyFont="1" applyAlignment="1">
      <alignment horizontal="center"/>
    </xf>
    <xf numFmtId="44" fontId="0" fillId="0" borderId="9" xfId="1" applyFont="1" applyBorder="1"/>
    <xf numFmtId="44" fontId="0" fillId="0" borderId="16" xfId="1" applyFont="1" applyBorder="1"/>
    <xf numFmtId="0" fontId="4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0" fontId="0" fillId="3" borderId="0" xfId="0" applyFill="1"/>
    <xf numFmtId="0" fontId="3" fillId="2" borderId="13" xfId="3" applyFill="1" applyBorder="1">
      <alignment horizontal="left" vertical="center" wrapText="1" indent="1"/>
    </xf>
    <xf numFmtId="44" fontId="2" fillId="5" borderId="13" xfId="1" applyFont="1" applyFill="1" applyBorder="1" applyAlignment="1">
      <alignment horizontal="left" vertical="center" wrapText="1" indent="1"/>
    </xf>
    <xf numFmtId="44" fontId="2" fillId="6" borderId="13" xfId="1" applyFont="1" applyFill="1" applyBorder="1" applyAlignment="1">
      <alignment horizontal="left" vertical="center" wrapText="1" indent="1"/>
    </xf>
    <xf numFmtId="44" fontId="3" fillId="3" borderId="33" xfId="1" applyFont="1" applyFill="1" applyBorder="1" applyAlignment="1">
      <alignment horizontal="left" vertical="center" wrapText="1" indent="1"/>
    </xf>
    <xf numFmtId="44" fontId="2" fillId="5" borderId="9" xfId="1" applyFont="1" applyFill="1" applyBorder="1" applyAlignment="1">
      <alignment horizontal="left" vertical="center" wrapText="1" indent="1"/>
    </xf>
    <xf numFmtId="44" fontId="2" fillId="6" borderId="9" xfId="1" applyFont="1" applyFill="1" applyBorder="1" applyAlignment="1">
      <alignment horizontal="left" vertical="center" wrapText="1" indent="1"/>
    </xf>
    <xf numFmtId="0" fontId="2" fillId="5" borderId="31" xfId="0" applyFont="1" applyFill="1" applyBorder="1" applyAlignment="1">
      <alignment horizontal="center" wrapText="1"/>
    </xf>
    <xf numFmtId="0" fontId="2" fillId="6" borderId="31" xfId="0" applyFont="1" applyFill="1" applyBorder="1" applyAlignment="1">
      <alignment horizontal="center" wrapText="1"/>
    </xf>
    <xf numFmtId="0" fontId="2" fillId="7" borderId="32" xfId="0" applyFont="1" applyFill="1" applyBorder="1" applyAlignment="1">
      <alignment horizontal="center" wrapText="1"/>
    </xf>
    <xf numFmtId="0" fontId="2" fillId="6" borderId="13" xfId="3" applyFont="1" applyFill="1" applyBorder="1">
      <alignment horizontal="left" vertical="center" wrapText="1" indent="1"/>
    </xf>
    <xf numFmtId="44" fontId="2" fillId="0" borderId="0" xfId="1" applyFont="1"/>
    <xf numFmtId="44" fontId="2" fillId="5" borderId="31" xfId="1" applyFont="1" applyFill="1" applyBorder="1" applyAlignment="1">
      <alignment horizontal="center" wrapText="1"/>
    </xf>
    <xf numFmtId="44" fontId="2" fillId="6" borderId="31" xfId="1" applyFont="1" applyFill="1" applyBorder="1" applyAlignment="1">
      <alignment horizontal="center" wrapText="1"/>
    </xf>
    <xf numFmtId="44" fontId="2" fillId="7" borderId="32" xfId="1" applyFont="1" applyFill="1" applyBorder="1" applyAlignment="1">
      <alignment horizontal="center" wrapText="1"/>
    </xf>
    <xf numFmtId="44" fontId="0" fillId="7" borderId="9" xfId="0" applyNumberFormat="1" applyFill="1" applyBorder="1" applyAlignment="1">
      <alignment horizontal="center" vertical="center"/>
    </xf>
    <xf numFmtId="44" fontId="0" fillId="5" borderId="9" xfId="0" applyNumberFormat="1" applyFill="1" applyBorder="1" applyAlignment="1">
      <alignment horizontal="center" vertical="center"/>
    </xf>
    <xf numFmtId="44" fontId="0" fillId="5" borderId="13" xfId="0" applyNumberFormat="1" applyFill="1" applyBorder="1" applyAlignment="1">
      <alignment horizontal="center" vertical="center"/>
    </xf>
    <xf numFmtId="44" fontId="0" fillId="6" borderId="9" xfId="0" applyNumberFormat="1" applyFill="1" applyBorder="1" applyAlignment="1">
      <alignment horizontal="center" vertical="center"/>
    </xf>
    <xf numFmtId="44" fontId="0" fillId="5" borderId="14" xfId="0" applyNumberFormat="1" applyFill="1" applyBorder="1" applyAlignment="1">
      <alignment horizontal="center" vertical="center"/>
    </xf>
    <xf numFmtId="44" fontId="0" fillId="6" borderId="13" xfId="0" applyNumberFormat="1" applyFill="1" applyBorder="1" applyAlignment="1">
      <alignment horizontal="center" vertical="center"/>
    </xf>
    <xf numFmtId="44" fontId="0" fillId="6" borderId="14" xfId="0" applyNumberFormat="1" applyFill="1" applyBorder="1" applyAlignment="1">
      <alignment horizontal="center" vertical="center"/>
    </xf>
    <xf numFmtId="44" fontId="0" fillId="7" borderId="13" xfId="0" applyNumberFormat="1" applyFill="1" applyBorder="1" applyAlignment="1">
      <alignment horizontal="center" vertical="center"/>
    </xf>
    <xf numFmtId="0" fontId="3" fillId="3" borderId="33" xfId="3" applyFill="1" applyBorder="1">
      <alignment horizontal="left" vertical="center" wrapText="1" indent="1"/>
    </xf>
    <xf numFmtId="0" fontId="2" fillId="5" borderId="11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wrapText="1"/>
    </xf>
    <xf numFmtId="44" fontId="2" fillId="7" borderId="35" xfId="1" applyFont="1" applyFill="1" applyBorder="1" applyAlignment="1">
      <alignment horizontal="left" vertical="center" wrapText="1" indent="1"/>
    </xf>
    <xf numFmtId="44" fontId="2" fillId="7" borderId="14" xfId="1" applyFont="1" applyFill="1" applyBorder="1" applyAlignment="1">
      <alignment horizontal="left" vertical="center" wrapText="1" indent="1"/>
    </xf>
    <xf numFmtId="44" fontId="2" fillId="5" borderId="11" xfId="1" applyFont="1" applyFill="1" applyBorder="1" applyAlignment="1">
      <alignment horizontal="center" wrapText="1"/>
    </xf>
    <xf numFmtId="44" fontId="2" fillId="6" borderId="11" xfId="1" applyFont="1" applyFill="1" applyBorder="1" applyAlignment="1">
      <alignment horizontal="center" wrapText="1"/>
    </xf>
    <xf numFmtId="44" fontId="2" fillId="7" borderId="12" xfId="1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3" borderId="0" xfId="0" applyFont="1" applyFill="1" applyAlignment="1">
      <alignment horizontal="center" wrapText="1"/>
    </xf>
    <xf numFmtId="0" fontId="2" fillId="0" borderId="30" xfId="0" applyFont="1" applyBorder="1"/>
    <xf numFmtId="0" fontId="2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34" xfId="0" applyFont="1" applyBorder="1"/>
    <xf numFmtId="0" fontId="3" fillId="2" borderId="29" xfId="3" applyFill="1" applyBorder="1">
      <alignment horizontal="left" vertical="center" wrapText="1" indent="1"/>
    </xf>
    <xf numFmtId="0" fontId="2" fillId="6" borderId="15" xfId="3" applyFont="1" applyFill="1" applyBorder="1">
      <alignment horizontal="left" vertical="center" wrapText="1" indent="1"/>
    </xf>
    <xf numFmtId="0" fontId="2" fillId="6" borderId="20" xfId="3" applyFont="1" applyFill="1" applyBorder="1">
      <alignment horizontal="left" vertical="center" wrapText="1" indent="1"/>
    </xf>
    <xf numFmtId="44" fontId="0" fillId="8" borderId="21" xfId="0" applyNumberFormat="1" applyFill="1" applyBorder="1"/>
    <xf numFmtId="44" fontId="2" fillId="11" borderId="37" xfId="0" applyNumberFormat="1" applyFont="1" applyFill="1" applyBorder="1"/>
    <xf numFmtId="44" fontId="0" fillId="9" borderId="37" xfId="0" applyNumberFormat="1" applyFill="1" applyBorder="1"/>
    <xf numFmtId="44" fontId="0" fillId="9" borderId="22" xfId="0" applyNumberFormat="1" applyFill="1" applyBorder="1"/>
    <xf numFmtId="44" fontId="2" fillId="10" borderId="37" xfId="0" applyNumberFormat="1" applyFont="1" applyFill="1" applyBorder="1"/>
    <xf numFmtId="0" fontId="2" fillId="3" borderId="27" xfId="0" applyFont="1" applyFill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8" borderId="27" xfId="0" applyFont="1" applyFill="1" applyBorder="1" applyAlignment="1">
      <alignment horizontal="center" wrapText="1"/>
    </xf>
    <xf numFmtId="0" fontId="2" fillId="8" borderId="28" xfId="0" applyFont="1" applyFill="1" applyBorder="1" applyAlignment="1">
      <alignment horizontal="center" wrapText="1"/>
    </xf>
    <xf numFmtId="0" fontId="2" fillId="11" borderId="19" xfId="0" applyFont="1" applyFill="1" applyBorder="1" applyAlignment="1">
      <alignment horizontal="center" wrapText="1"/>
    </xf>
    <xf numFmtId="0" fontId="2" fillId="0" borderId="24" xfId="0" applyFont="1" applyBorder="1"/>
    <xf numFmtId="0" fontId="2" fillId="9" borderId="26" xfId="0" applyFont="1" applyFill="1" applyBorder="1" applyAlignment="1">
      <alignment horizontal="center" wrapText="1"/>
    </xf>
    <xf numFmtId="0" fontId="2" fillId="9" borderId="27" xfId="0" applyFont="1" applyFill="1" applyBorder="1" applyAlignment="1">
      <alignment horizontal="center" wrapText="1"/>
    </xf>
    <xf numFmtId="0" fontId="2" fillId="9" borderId="28" xfId="0" applyFont="1" applyFill="1" applyBorder="1" applyAlignment="1">
      <alignment horizontal="center" wrapText="1"/>
    </xf>
    <xf numFmtId="0" fontId="2" fillId="10" borderId="19" xfId="0" applyFont="1" applyFill="1" applyBorder="1" applyAlignment="1">
      <alignment horizontal="center" wrapText="1"/>
    </xf>
    <xf numFmtId="0" fontId="0" fillId="8" borderId="9" xfId="0" applyFill="1" applyBorder="1" applyAlignment="1">
      <alignment horizontal="center"/>
    </xf>
    <xf numFmtId="44" fontId="0" fillId="8" borderId="9" xfId="1" applyFont="1" applyFill="1" applyBorder="1" applyAlignment="1">
      <alignment horizontal="center"/>
    </xf>
    <xf numFmtId="0" fontId="0" fillId="8" borderId="13" xfId="3" applyFont="1" applyFill="1" applyBorder="1">
      <alignment horizontal="left" vertical="center" wrapText="1" indent="1"/>
    </xf>
    <xf numFmtId="0" fontId="0" fillId="8" borderId="38" xfId="3" applyFont="1" applyFill="1" applyBorder="1">
      <alignment horizontal="left" vertical="center" wrapText="1" indent="1"/>
    </xf>
    <xf numFmtId="9" fontId="0" fillId="0" borderId="0" xfId="2" applyFont="1"/>
    <xf numFmtId="2" fontId="0" fillId="0" borderId="0" xfId="0" applyNumberFormat="1" applyAlignment="1">
      <alignment horizontal="center"/>
    </xf>
    <xf numFmtId="0" fontId="2" fillId="3" borderId="25" xfId="0" applyFont="1" applyFill="1" applyBorder="1" applyAlignment="1">
      <alignment horizontal="center" wrapText="1"/>
    </xf>
    <xf numFmtId="44" fontId="0" fillId="3" borderId="39" xfId="0" applyNumberFormat="1" applyFill="1" applyBorder="1"/>
    <xf numFmtId="44" fontId="0" fillId="3" borderId="40" xfId="0" applyNumberFormat="1" applyFill="1" applyBorder="1"/>
    <xf numFmtId="44" fontId="0" fillId="3" borderId="41" xfId="0" applyNumberFormat="1" applyFill="1" applyBorder="1"/>
    <xf numFmtId="0" fontId="2" fillId="8" borderId="23" xfId="0" applyFont="1" applyFill="1" applyBorder="1" applyAlignment="1">
      <alignment horizontal="center" wrapText="1"/>
    </xf>
    <xf numFmtId="0" fontId="2" fillId="10" borderId="25" xfId="0" applyFont="1" applyFill="1" applyBorder="1" applyAlignment="1">
      <alignment horizontal="center" wrapText="1"/>
    </xf>
    <xf numFmtId="44" fontId="2" fillId="10" borderId="21" xfId="0" applyNumberFormat="1" applyFont="1" applyFill="1" applyBorder="1"/>
    <xf numFmtId="0" fontId="11" fillId="0" borderId="0" xfId="0" applyFont="1" applyAlignment="1">
      <alignment horizontal="center"/>
    </xf>
    <xf numFmtId="0" fontId="7" fillId="0" borderId="8" xfId="0" applyFont="1" applyBorder="1" applyAlignment="1">
      <alignment wrapText="1"/>
    </xf>
    <xf numFmtId="44" fontId="0" fillId="5" borderId="33" xfId="0" applyNumberFormat="1" applyFill="1" applyBorder="1" applyAlignment="1">
      <alignment horizontal="center" vertical="center"/>
    </xf>
    <xf numFmtId="0" fontId="2" fillId="13" borderId="0" xfId="0" applyFont="1" applyFill="1" applyAlignment="1">
      <alignment horizontal="center" wrapText="1"/>
    </xf>
    <xf numFmtId="44" fontId="4" fillId="13" borderId="0" xfId="0" applyNumberFormat="1" applyFont="1" applyFill="1"/>
    <xf numFmtId="44" fontId="0" fillId="13" borderId="0" xfId="0" applyNumberFormat="1" applyFill="1"/>
    <xf numFmtId="0" fontId="0" fillId="13" borderId="0" xfId="0" applyFill="1"/>
    <xf numFmtId="0" fontId="0" fillId="3" borderId="0" xfId="0" applyFill="1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3" borderId="0" xfId="0" applyFont="1" applyFill="1" applyAlignment="1">
      <alignment horizontal="center"/>
    </xf>
    <xf numFmtId="164" fontId="12" fillId="0" borderId="0" xfId="0" applyNumberFormat="1" applyFont="1"/>
    <xf numFmtId="164" fontId="12" fillId="3" borderId="0" xfId="0" applyNumberFormat="1" applyFont="1" applyFill="1" applyAlignment="1">
      <alignment horizontal="center"/>
    </xf>
    <xf numFmtId="0" fontId="0" fillId="8" borderId="18" xfId="0" applyFill="1" applyBorder="1" applyAlignment="1">
      <alignment horizontal="center"/>
    </xf>
    <xf numFmtId="0" fontId="12" fillId="8" borderId="9" xfId="0" applyFont="1" applyFill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0" fillId="0" borderId="9" xfId="1" applyFont="1" applyBorder="1" applyAlignment="1">
      <alignment horizontal="center" vertical="center" wrapText="1"/>
    </xf>
    <xf numFmtId="44" fontId="0" fillId="0" borderId="9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44" fontId="2" fillId="0" borderId="9" xfId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44" fontId="13" fillId="12" borderId="9" xfId="0" applyNumberFormat="1" applyFont="1" applyFill="1" applyBorder="1" applyAlignment="1">
      <alignment horizontal="center" vertical="center"/>
    </xf>
    <xf numFmtId="44" fontId="7" fillId="12" borderId="9" xfId="0" applyNumberFormat="1" applyFont="1" applyFill="1" applyBorder="1" applyAlignment="1">
      <alignment horizontal="center" vertical="center"/>
    </xf>
    <xf numFmtId="44" fontId="12" fillId="0" borderId="0" xfId="0" applyNumberFormat="1" applyFont="1"/>
    <xf numFmtId="0" fontId="13" fillId="12" borderId="9" xfId="2" applyNumberFormat="1" applyFont="1" applyFill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 wrapText="1"/>
    </xf>
    <xf numFmtId="165" fontId="0" fillId="8" borderId="9" xfId="1" applyNumberFormat="1" applyFont="1" applyFill="1" applyBorder="1" applyAlignment="1">
      <alignment horizontal="center"/>
    </xf>
    <xf numFmtId="44" fontId="0" fillId="14" borderId="9" xfId="1" applyFont="1" applyFill="1" applyBorder="1" applyAlignment="1">
      <alignment horizontal="center"/>
    </xf>
    <xf numFmtId="44" fontId="0" fillId="14" borderId="9" xfId="1" applyFont="1" applyFill="1" applyBorder="1"/>
    <xf numFmtId="44" fontId="0" fillId="14" borderId="14" xfId="1" applyFont="1" applyFill="1" applyBorder="1"/>
    <xf numFmtId="44" fontId="0" fillId="14" borderId="16" xfId="1" applyFont="1" applyFill="1" applyBorder="1"/>
    <xf numFmtId="44" fontId="0" fillId="14" borderId="17" xfId="1" applyFont="1" applyFill="1" applyBorder="1"/>
    <xf numFmtId="0" fontId="7" fillId="0" borderId="46" xfId="0" applyFont="1" applyBorder="1" applyAlignment="1">
      <alignment vertical="center"/>
    </xf>
    <xf numFmtId="0" fontId="2" fillId="8" borderId="10" xfId="0" applyFont="1" applyFill="1" applyBorder="1"/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14" borderId="47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12" fillId="8" borderId="13" xfId="3" applyFont="1" applyFill="1" applyBorder="1" applyAlignment="1">
      <alignment horizontal="left" vertical="center" wrapText="1"/>
    </xf>
    <xf numFmtId="0" fontId="12" fillId="8" borderId="15" xfId="3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7" borderId="47" xfId="0" applyFont="1" applyFill="1" applyBorder="1" applyAlignment="1">
      <alignment horizontal="center" vertical="center" wrapText="1"/>
    </xf>
    <xf numFmtId="44" fontId="0" fillId="7" borderId="46" xfId="0" applyNumberFormat="1" applyFill="1" applyBorder="1" applyAlignment="1">
      <alignment horizontal="center" vertical="center"/>
    </xf>
    <xf numFmtId="44" fontId="0" fillId="5" borderId="46" xfId="0" applyNumberFormat="1" applyFill="1" applyBorder="1" applyAlignment="1">
      <alignment horizontal="center" vertical="center"/>
    </xf>
    <xf numFmtId="0" fontId="12" fillId="3" borderId="35" xfId="1" applyNumberFormat="1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 vertical="center" wrapText="1"/>
    </xf>
    <xf numFmtId="164" fontId="0" fillId="14" borderId="9" xfId="1" applyNumberFormat="1" applyFont="1" applyFill="1" applyBorder="1" applyAlignment="1">
      <alignment horizontal="center"/>
    </xf>
    <xf numFmtId="9" fontId="0" fillId="0" borderId="0" xfId="2" applyFont="1" applyBorder="1"/>
    <xf numFmtId="0" fontId="2" fillId="0" borderId="4" xfId="0" applyFont="1" applyBorder="1"/>
    <xf numFmtId="0" fontId="2" fillId="0" borderId="5" xfId="0" applyFont="1" applyBorder="1"/>
    <xf numFmtId="44" fontId="0" fillId="0" borderId="14" xfId="1" applyFont="1" applyBorder="1"/>
    <xf numFmtId="0" fontId="2" fillId="0" borderId="15" xfId="0" applyFont="1" applyBorder="1"/>
    <xf numFmtId="44" fontId="2" fillId="0" borderId="17" xfId="1" applyFont="1" applyBorder="1"/>
    <xf numFmtId="44" fontId="0" fillId="0" borderId="4" xfId="1" applyFont="1" applyBorder="1"/>
    <xf numFmtId="0" fontId="4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13" borderId="0" xfId="0" applyFont="1" applyFill="1" applyAlignment="1">
      <alignment horizontal="center" vertical="center"/>
    </xf>
    <xf numFmtId="0" fontId="4" fillId="0" borderId="0" xfId="0" applyFont="1"/>
    <xf numFmtId="0" fontId="4" fillId="0" borderId="9" xfId="0" applyFont="1" applyBorder="1" applyAlignment="1">
      <alignment horizontal="center" vertical="center"/>
    </xf>
    <xf numFmtId="44" fontId="4" fillId="0" borderId="9" xfId="1" applyFont="1" applyBorder="1" applyAlignment="1">
      <alignment horizontal="center" vertical="center" wrapText="1"/>
    </xf>
    <xf numFmtId="44" fontId="4" fillId="0" borderId="9" xfId="1" applyFont="1" applyBorder="1" applyAlignment="1">
      <alignment horizontal="center" vertical="center"/>
    </xf>
    <xf numFmtId="44" fontId="4" fillId="0" borderId="9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/>
    <xf numFmtId="2" fontId="8" fillId="3" borderId="0" xfId="0" applyNumberFormat="1" applyFont="1" applyFill="1"/>
    <xf numFmtId="0" fontId="0" fillId="3" borderId="0" xfId="0" applyFill="1" applyAlignment="1">
      <alignment horizontal="center" vertical="center"/>
    </xf>
    <xf numFmtId="0" fontId="2" fillId="0" borderId="42" xfId="0" applyFont="1" applyBorder="1"/>
    <xf numFmtId="44" fontId="13" fillId="12" borderId="0" xfId="0" applyNumberFormat="1" applyFont="1" applyFill="1" applyAlignment="1">
      <alignment horizontal="center" vertical="center"/>
    </xf>
    <xf numFmtId="44" fontId="7" fillId="12" borderId="0" xfId="0" applyNumberFormat="1" applyFont="1" applyFill="1" applyAlignment="1">
      <alignment horizontal="center" vertical="center"/>
    </xf>
    <xf numFmtId="0" fontId="16" fillId="3" borderId="0" xfId="0" applyFont="1" applyFill="1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vertical="center"/>
    </xf>
    <xf numFmtId="0" fontId="2" fillId="3" borderId="49" xfId="0" applyFont="1" applyFill="1" applyBorder="1" applyAlignment="1">
      <alignment horizontal="center" wrapText="1"/>
    </xf>
    <xf numFmtId="0" fontId="2" fillId="8" borderId="25" xfId="0" applyFont="1" applyFill="1" applyBorder="1" applyAlignment="1">
      <alignment horizontal="center" wrapText="1"/>
    </xf>
    <xf numFmtId="44" fontId="0" fillId="8" borderId="51" xfId="0" applyNumberFormat="1" applyFill="1" applyBorder="1"/>
    <xf numFmtId="0" fontId="16" fillId="16" borderId="9" xfId="0" applyFont="1" applyFill="1" applyBorder="1"/>
    <xf numFmtId="0" fontId="17" fillId="16" borderId="9" xfId="0" applyFont="1" applyFill="1" applyBorder="1"/>
    <xf numFmtId="0" fontId="6" fillId="6" borderId="12" xfId="0" applyFont="1" applyFill="1" applyBorder="1" applyAlignment="1">
      <alignment horizontal="center" vertical="center" wrapText="1"/>
    </xf>
    <xf numFmtId="2" fontId="10" fillId="2" borderId="14" xfId="3" applyNumberFormat="1" applyFont="1" applyFill="1" applyBorder="1">
      <alignment horizontal="left" vertical="center" wrapText="1" indent="1"/>
    </xf>
    <xf numFmtId="0" fontId="17" fillId="16" borderId="14" xfId="0" applyFont="1" applyFill="1" applyBorder="1"/>
    <xf numFmtId="44" fontId="16" fillId="16" borderId="9" xfId="1" applyFont="1" applyFill="1" applyBorder="1"/>
    <xf numFmtId="44" fontId="16" fillId="16" borderId="14" xfId="1" applyFont="1" applyFill="1" applyBorder="1"/>
    <xf numFmtId="0" fontId="16" fillId="16" borderId="14" xfId="0" applyFont="1" applyFill="1" applyBorder="1"/>
    <xf numFmtId="0" fontId="16" fillId="16" borderId="16" xfId="0" applyFont="1" applyFill="1" applyBorder="1"/>
    <xf numFmtId="0" fontId="16" fillId="16" borderId="17" xfId="0" applyFont="1" applyFill="1" applyBorder="1"/>
    <xf numFmtId="0" fontId="2" fillId="16" borderId="2" xfId="0" applyFont="1" applyFill="1" applyBorder="1" applyAlignment="1">
      <alignment horizontal="center" wrapText="1"/>
    </xf>
    <xf numFmtId="0" fontId="4" fillId="16" borderId="52" xfId="0" applyFont="1" applyFill="1" applyBorder="1" applyAlignment="1">
      <alignment horizontal="center"/>
    </xf>
    <xf numFmtId="0" fontId="4" fillId="16" borderId="33" xfId="0" applyFont="1" applyFill="1" applyBorder="1" applyAlignment="1">
      <alignment horizontal="center"/>
    </xf>
    <xf numFmtId="0" fontId="4" fillId="16" borderId="53" xfId="0" applyFont="1" applyFill="1" applyBorder="1" applyAlignment="1">
      <alignment horizontal="center"/>
    </xf>
    <xf numFmtId="0" fontId="0" fillId="12" borderId="0" xfId="0" applyFill="1"/>
    <xf numFmtId="0" fontId="0" fillId="2" borderId="0" xfId="0" applyFill="1"/>
    <xf numFmtId="44" fontId="7" fillId="12" borderId="9" xfId="0" applyNumberFormat="1" applyFont="1" applyFill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19" xfId="0" applyBorder="1"/>
    <xf numFmtId="2" fontId="12" fillId="0" borderId="35" xfId="0" applyNumberFormat="1" applyFont="1" applyBorder="1" applyAlignment="1">
      <alignment horizontal="center" vertical="center"/>
    </xf>
    <xf numFmtId="44" fontId="7" fillId="6" borderId="19" xfId="0" applyNumberFormat="1" applyFont="1" applyFill="1" applyBorder="1"/>
    <xf numFmtId="0" fontId="2" fillId="6" borderId="18" xfId="0" applyFont="1" applyFill="1" applyBorder="1" applyAlignment="1">
      <alignment horizontal="center"/>
    </xf>
    <xf numFmtId="44" fontId="4" fillId="6" borderId="19" xfId="0" applyNumberFormat="1" applyFont="1" applyFill="1" applyBorder="1"/>
    <xf numFmtId="9" fontId="2" fillId="6" borderId="18" xfId="0" applyNumberFormat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wrapText="1"/>
    </xf>
    <xf numFmtId="165" fontId="0" fillId="0" borderId="0" xfId="0" applyNumberFormat="1"/>
    <xf numFmtId="0" fontId="4" fillId="2" borderId="1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18" fillId="17" borderId="11" xfId="0" applyFont="1" applyFill="1" applyBorder="1" applyAlignment="1">
      <alignment horizontal="center" vertical="center" wrapText="1"/>
    </xf>
    <xf numFmtId="44" fontId="19" fillId="17" borderId="9" xfId="1" applyFont="1" applyFill="1" applyBorder="1" applyAlignment="1">
      <alignment horizontal="center"/>
    </xf>
    <xf numFmtId="44" fontId="19" fillId="17" borderId="18" xfId="1" applyFont="1" applyFill="1" applyBorder="1" applyAlignment="1">
      <alignment horizontal="center"/>
    </xf>
    <xf numFmtId="44" fontId="19" fillId="17" borderId="9" xfId="1" applyFont="1" applyFill="1" applyBorder="1" applyAlignment="1">
      <alignment horizontal="center" vertical="center"/>
    </xf>
    <xf numFmtId="44" fontId="19" fillId="17" borderId="16" xfId="1" applyFont="1" applyFill="1" applyBorder="1" applyAlignment="1">
      <alignment horizontal="center" vertical="center"/>
    </xf>
    <xf numFmtId="0" fontId="19" fillId="17" borderId="0" xfId="0" applyFont="1" applyFill="1" applyAlignment="1">
      <alignment horizontal="center"/>
    </xf>
    <xf numFmtId="0" fontId="8" fillId="17" borderId="0" xfId="0" applyFont="1" applyFill="1" applyAlignment="1">
      <alignment horizontal="center" wrapText="1"/>
    </xf>
    <xf numFmtId="9" fontId="9" fillId="4" borderId="9" xfId="2" applyFont="1" applyFill="1" applyBorder="1" applyAlignment="1">
      <alignment horizontal="center" vertical="center"/>
    </xf>
    <xf numFmtId="44" fontId="8" fillId="12" borderId="25" xfId="0" applyNumberFormat="1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 wrapText="1"/>
    </xf>
    <xf numFmtId="44" fontId="8" fillId="12" borderId="21" xfId="0" applyNumberFormat="1" applyFont="1" applyFill="1" applyBorder="1"/>
    <xf numFmtId="44" fontId="19" fillId="12" borderId="0" xfId="0" applyNumberFormat="1" applyFont="1" applyFill="1"/>
    <xf numFmtId="0" fontId="6" fillId="3" borderId="11" xfId="0" applyFont="1" applyFill="1" applyBorder="1" applyAlignment="1">
      <alignment horizontal="center" vertical="center" wrapText="1"/>
    </xf>
    <xf numFmtId="0" fontId="10" fillId="18" borderId="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2" fontId="4" fillId="2" borderId="22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4" fillId="18" borderId="37" xfId="0" applyFont="1" applyFill="1" applyBorder="1" applyAlignment="1">
      <alignment horizontal="center" vertical="center"/>
    </xf>
    <xf numFmtId="0" fontId="4" fillId="18" borderId="3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6" fillId="3" borderId="34" xfId="0" applyFont="1" applyFill="1" applyBorder="1" applyAlignment="1">
      <alignment horizontal="center" vertical="center"/>
    </xf>
    <xf numFmtId="0" fontId="6" fillId="18" borderId="29" xfId="3" applyFont="1" applyFill="1" applyBorder="1">
      <alignment horizontal="left" vertical="center" wrapText="1" indent="1"/>
    </xf>
    <xf numFmtId="0" fontId="16" fillId="16" borderId="29" xfId="0" applyFont="1" applyFill="1" applyBorder="1"/>
    <xf numFmtId="44" fontId="16" fillId="16" borderId="29" xfId="1" applyFont="1" applyFill="1" applyBorder="1"/>
    <xf numFmtId="0" fontId="16" fillId="16" borderId="42" xfId="0" applyFont="1" applyFill="1" applyBorder="1"/>
    <xf numFmtId="0" fontId="4" fillId="5" borderId="3" xfId="0" applyFont="1" applyFill="1" applyBorder="1" applyAlignment="1">
      <alignment vertical="center"/>
    </xf>
    <xf numFmtId="0" fontId="2" fillId="16" borderId="3" xfId="0" applyFont="1" applyFill="1" applyBorder="1" applyAlignment="1">
      <alignment horizontal="center" wrapText="1"/>
    </xf>
    <xf numFmtId="0" fontId="4" fillId="16" borderId="39" xfId="0" applyFont="1" applyFill="1" applyBorder="1" applyAlignment="1">
      <alignment horizontal="center"/>
    </xf>
    <xf numFmtId="0" fontId="4" fillId="16" borderId="40" xfId="0" applyFont="1" applyFill="1" applyBorder="1" applyAlignment="1">
      <alignment horizontal="center"/>
    </xf>
    <xf numFmtId="0" fontId="4" fillId="16" borderId="54" xfId="0" applyFont="1" applyFill="1" applyBorder="1" applyAlignment="1">
      <alignment horizontal="center"/>
    </xf>
    <xf numFmtId="0" fontId="4" fillId="18" borderId="36" xfId="0" applyFont="1" applyFill="1" applyBorder="1" applyAlignment="1">
      <alignment horizontal="center" vertical="center"/>
    </xf>
    <xf numFmtId="0" fontId="4" fillId="16" borderId="55" xfId="0" applyFont="1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44" fontId="4" fillId="15" borderId="19" xfId="0" applyNumberFormat="1" applyFont="1" applyFill="1" applyBorder="1"/>
    <xf numFmtId="0" fontId="20" fillId="3" borderId="18" xfId="0" applyFont="1" applyFill="1" applyBorder="1" applyAlignment="1">
      <alignment horizontal="center" wrapText="1"/>
    </xf>
    <xf numFmtId="9" fontId="20" fillId="15" borderId="19" xfId="1" applyNumberFormat="1" applyFont="1" applyFill="1" applyBorder="1" applyAlignment="1">
      <alignment horizontal="center" vertical="center"/>
    </xf>
    <xf numFmtId="9" fontId="9" fillId="4" borderId="51" xfId="2" applyFont="1" applyFill="1" applyBorder="1" applyAlignment="1">
      <alignment horizontal="center" vertical="center"/>
    </xf>
    <xf numFmtId="9" fontId="21" fillId="15" borderId="19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/>
    </xf>
    <xf numFmtId="0" fontId="4" fillId="18" borderId="56" xfId="0" applyFont="1" applyFill="1" applyBorder="1" applyAlignment="1">
      <alignment horizontal="center" vertical="center"/>
    </xf>
    <xf numFmtId="0" fontId="4" fillId="16" borderId="41" xfId="0" applyFont="1" applyFill="1" applyBorder="1" applyAlignment="1">
      <alignment horizontal="center"/>
    </xf>
    <xf numFmtId="0" fontId="16" fillId="16" borderId="57" xfId="0" applyFont="1" applyFill="1" applyBorder="1"/>
    <xf numFmtId="0" fontId="16" fillId="16" borderId="18" xfId="0" applyFont="1" applyFill="1" applyBorder="1"/>
    <xf numFmtId="0" fontId="16" fillId="16" borderId="58" xfId="0" applyFont="1" applyFill="1" applyBorder="1"/>
    <xf numFmtId="2" fontId="0" fillId="0" borderId="0" xfId="0" applyNumberFormat="1"/>
    <xf numFmtId="2" fontId="16" fillId="0" borderId="0" xfId="0" applyNumberFormat="1" applyFont="1"/>
    <xf numFmtId="0" fontId="2" fillId="2" borderId="4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20" fillId="15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</cellXfs>
  <cellStyles count="4">
    <cellStyle name="Currency" xfId="1" builtinId="4"/>
    <cellStyle name="Normal" xfId="0" builtinId="0"/>
    <cellStyle name="Percent" xfId="2" builtinId="5"/>
    <cellStyle name="Table details left aligned" xfId="3" xr:uid="{850BF737-D6BA-49F8-9418-CD1DAA38C526}"/>
  </cellStyles>
  <dxfs count="16">
    <dxf>
      <font>
        <b/>
        <i val="0"/>
      </font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  <dxf>
      <font>
        <b/>
        <i val="0"/>
      </font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F09F-1CC7-4EF5-9798-E89567F9A0F6}">
  <sheetPr>
    <pageSetUpPr fitToPage="1"/>
  </sheetPr>
  <dimension ref="A1:IB83"/>
  <sheetViews>
    <sheetView tabSelected="1" topLeftCell="S1" zoomScale="90" zoomScaleNormal="90" workbookViewId="0">
      <selection activeCell="HU14" sqref="HU14"/>
    </sheetView>
  </sheetViews>
  <sheetFormatPr defaultColWidth="2.85546875" defaultRowHeight="15.75" x14ac:dyDescent="0.25"/>
  <cols>
    <col min="1" max="1" width="6.28515625" hidden="1" customWidth="1"/>
    <col min="2" max="2" width="13.28515625" hidden="1" customWidth="1"/>
    <col min="3" max="3" width="2.85546875" hidden="1" customWidth="1"/>
    <col min="4" max="4" width="12.28515625" hidden="1" customWidth="1"/>
    <col min="5" max="5" width="9.5703125" hidden="1" customWidth="1"/>
    <col min="6" max="6" width="10.5703125" hidden="1" customWidth="1"/>
    <col min="7" max="7" width="13.28515625" hidden="1" customWidth="1"/>
    <col min="8" max="8" width="9.5703125" hidden="1" customWidth="1"/>
    <col min="9" max="9" width="10.5703125" hidden="1" customWidth="1"/>
    <col min="10" max="10" width="9.140625" hidden="1" customWidth="1"/>
    <col min="11" max="11" width="9.5703125" hidden="1" customWidth="1"/>
    <col min="12" max="12" width="10.5703125" hidden="1" customWidth="1"/>
    <col min="13" max="13" width="2.85546875" hidden="1" customWidth="1"/>
    <col min="14" max="14" width="11.140625" hidden="1" customWidth="1"/>
    <col min="15" max="15" width="11.7109375" style="2" hidden="1" customWidth="1"/>
    <col min="16" max="16" width="11.140625" style="2" hidden="1" customWidth="1"/>
    <col min="17" max="17" width="14.140625" style="2" hidden="1" customWidth="1"/>
    <col min="18" max="18" width="7.42578125" style="2" hidden="1" customWidth="1"/>
    <col min="19" max="19" width="2.85546875" customWidth="1"/>
    <col min="20" max="20" width="21" bestFit="1" customWidth="1"/>
    <col min="21" max="21" width="21" customWidth="1"/>
    <col min="22" max="22" width="20.140625" bestFit="1" customWidth="1"/>
    <col min="23" max="23" width="15.42578125" customWidth="1"/>
    <col min="24" max="24" width="18.42578125" bestFit="1" customWidth="1"/>
    <col min="25" max="25" width="2.85546875" customWidth="1"/>
    <col min="26" max="26" width="6.7109375" hidden="1" customWidth="1"/>
    <col min="27" max="27" width="5.5703125" style="2" hidden="1" customWidth="1"/>
    <col min="28" max="28" width="9.5703125" style="239" hidden="1" customWidth="1"/>
    <col min="29" max="29" width="8.42578125" style="2" hidden="1" customWidth="1"/>
    <col min="30" max="32" width="8.85546875" style="2" hidden="1" customWidth="1"/>
    <col min="33" max="33" width="13.28515625" style="2" hidden="1" customWidth="1"/>
    <col min="34" max="34" width="8.85546875" style="2" hidden="1" customWidth="1"/>
    <col min="35" max="35" width="9.5703125" hidden="1" customWidth="1"/>
    <col min="36" max="36" width="11.5703125" hidden="1" customWidth="1"/>
    <col min="37" max="37" width="9.28515625" style="22" hidden="1" customWidth="1"/>
    <col min="38" max="38" width="8.5703125" style="22" hidden="1" customWidth="1"/>
    <col min="39" max="40" width="8.85546875" style="22" hidden="1" customWidth="1"/>
    <col min="41" max="44" width="7.28515625" style="22" hidden="1" customWidth="1"/>
    <col min="45" max="46" width="8.42578125" style="22" hidden="1" customWidth="1"/>
    <col min="47" max="47" width="5.5703125" style="159" hidden="1" customWidth="1"/>
    <col min="48" max="48" width="5.7109375" hidden="1" customWidth="1"/>
    <col min="49" max="49" width="9.28515625" hidden="1" customWidth="1"/>
    <col min="50" max="52" width="8.28515625" style="5" hidden="1" customWidth="1"/>
    <col min="53" max="53" width="2.85546875" style="30" hidden="1" customWidth="1"/>
    <col min="54" max="54" width="8.42578125" hidden="1" customWidth="1"/>
    <col min="55" max="55" width="9.28515625" hidden="1" customWidth="1"/>
    <col min="56" max="58" width="8.28515625" style="5" hidden="1" customWidth="1"/>
    <col min="59" max="59" width="2.85546875" style="30" hidden="1" customWidth="1"/>
    <col min="60" max="60" width="8.42578125" hidden="1" customWidth="1"/>
    <col min="61" max="61" width="9.28515625" hidden="1" customWidth="1"/>
    <col min="62" max="64" width="8.28515625" style="41" hidden="1" customWidth="1"/>
    <col min="65" max="65" width="2.85546875" hidden="1" customWidth="1"/>
    <col min="66" max="66" width="6.85546875" hidden="1" customWidth="1"/>
    <col min="67" max="67" width="9.28515625" hidden="1" customWidth="1"/>
    <col min="68" max="70" width="8.28515625" style="41" hidden="1" customWidth="1"/>
    <col min="71" max="71" width="2.85546875" hidden="1" customWidth="1"/>
    <col min="72" max="72" width="6.85546875" hidden="1" customWidth="1"/>
    <col min="73" max="73" width="9.28515625" hidden="1" customWidth="1"/>
    <col min="74" max="75" width="8.28515625" style="41" hidden="1" customWidth="1"/>
    <col min="76" max="76" width="9.28515625" style="41" hidden="1" customWidth="1"/>
    <col min="77" max="77" width="2.85546875" hidden="1" customWidth="1"/>
    <col min="78" max="78" width="7.85546875" hidden="1" customWidth="1"/>
    <col min="79" max="79" width="9.28515625" hidden="1" customWidth="1"/>
    <col min="80" max="81" width="8.28515625" style="41" hidden="1" customWidth="1"/>
    <col min="82" max="82" width="9.28515625" style="41" hidden="1" customWidth="1"/>
    <col min="83" max="83" width="2.85546875" hidden="1" customWidth="1"/>
    <col min="84" max="84" width="7.85546875" hidden="1" customWidth="1"/>
    <col min="85" max="85" width="9.28515625" hidden="1" customWidth="1"/>
    <col min="86" max="87" width="8.28515625" style="41" hidden="1" customWidth="1"/>
    <col min="88" max="88" width="9.28515625" style="41" hidden="1" customWidth="1"/>
    <col min="89" max="89" width="2.85546875" hidden="1" customWidth="1"/>
    <col min="90" max="90" width="7.85546875" hidden="1" customWidth="1"/>
    <col min="91" max="91" width="9.28515625" hidden="1" customWidth="1"/>
    <col min="92" max="92" width="8.28515625" style="41" hidden="1" customWidth="1"/>
    <col min="93" max="94" width="9.28515625" style="41" hidden="1" customWidth="1"/>
    <col min="95" max="95" width="2.7109375" hidden="1" customWidth="1"/>
    <col min="96" max="96" width="2.85546875" style="2" customWidth="1"/>
    <col min="97" max="97" width="7.140625" style="2" bestFit="1" customWidth="1"/>
    <col min="98" max="99" width="13.28515625" style="22" bestFit="1" customWidth="1"/>
    <col min="100" max="100" width="2.85546875" style="2" customWidth="1"/>
    <col min="101" max="101" width="10.140625" style="22" bestFit="1" customWidth="1"/>
    <col min="102" max="102" width="2.85546875" style="2" customWidth="1"/>
    <col min="103" max="104" width="10.140625" customWidth="1"/>
    <col min="105" max="105" width="11.5703125" customWidth="1"/>
    <col min="106" max="106" width="13.28515625" customWidth="1"/>
    <col min="107" max="107" width="2.85546875" style="2" customWidth="1"/>
    <col min="108" max="108" width="9.28515625" style="190" customWidth="1"/>
    <col min="109" max="109" width="12.42578125" style="190" customWidth="1"/>
    <col min="110" max="110" width="14" style="190" customWidth="1"/>
    <col min="111" max="111" width="8.42578125" hidden="1" customWidth="1"/>
    <col min="112" max="112" width="8.28515625" hidden="1" customWidth="1"/>
    <col min="113" max="113" width="8.42578125" hidden="1" customWidth="1"/>
    <col min="114" max="114" width="8.140625" hidden="1" customWidth="1"/>
    <col min="115" max="115" width="8.42578125" hidden="1" customWidth="1"/>
    <col min="116" max="116" width="2.85546875" hidden="1" customWidth="1"/>
    <col min="117" max="119" width="8.42578125" hidden="1" customWidth="1"/>
    <col min="120" max="120" width="2.85546875" style="30" hidden="1" customWidth="1"/>
    <col min="121" max="121" width="11.85546875" style="5" hidden="1" customWidth="1"/>
    <col min="122" max="122" width="8.42578125" style="5" hidden="1" customWidth="1"/>
    <col min="123" max="123" width="15.140625" customWidth="1"/>
    <col min="124" max="124" width="2.85546875" style="115" customWidth="1"/>
    <col min="125" max="125" width="8.5703125" style="126" hidden="1" customWidth="1"/>
    <col min="126" max="126" width="10.5703125" style="126" hidden="1" customWidth="1"/>
    <col min="127" max="127" width="8.42578125" style="128" hidden="1" customWidth="1"/>
    <col min="128" max="128" width="4.7109375" style="126" hidden="1" customWidth="1"/>
    <col min="129" max="129" width="8.42578125" style="128" hidden="1" customWidth="1"/>
    <col min="130" max="130" width="2.85546875" style="126" hidden="1" customWidth="1"/>
    <col min="131" max="131" width="8.42578125" style="127" hidden="1" customWidth="1"/>
    <col min="132" max="132" width="1.5703125" style="126" hidden="1" customWidth="1"/>
    <col min="133" max="133" width="8.5703125" style="126" hidden="1" customWidth="1"/>
    <col min="134" max="134" width="10.5703125" style="126" hidden="1" customWidth="1"/>
    <col min="135" max="135" width="8.42578125" style="126" hidden="1" customWidth="1"/>
    <col min="136" max="136" width="4.7109375" style="126" hidden="1" customWidth="1"/>
    <col min="137" max="137" width="8.42578125" style="126" hidden="1" customWidth="1"/>
    <col min="138" max="138" width="2.85546875" style="126" hidden="1" customWidth="1"/>
    <col min="139" max="139" width="8.42578125" style="126" hidden="1" customWidth="1"/>
    <col min="140" max="140" width="2.85546875" style="126" hidden="1" customWidth="1"/>
    <col min="141" max="141" width="8.5703125" style="126" hidden="1" customWidth="1"/>
    <col min="142" max="142" width="10.5703125" style="126" hidden="1" customWidth="1"/>
    <col min="143" max="143" width="8.42578125" style="126" hidden="1" customWidth="1"/>
    <col min="144" max="144" width="4.7109375" style="126" hidden="1" customWidth="1"/>
    <col min="145" max="145" width="8.42578125" style="126" hidden="1" customWidth="1"/>
    <col min="146" max="146" width="3.42578125" style="126" hidden="1" customWidth="1"/>
    <col min="147" max="147" width="8.42578125" style="126" hidden="1" customWidth="1"/>
    <col min="148" max="148" width="2.85546875" style="126" hidden="1" customWidth="1"/>
    <col min="149" max="149" width="8.5703125" style="126" hidden="1" customWidth="1"/>
    <col min="150" max="150" width="10.5703125" style="126" hidden="1" customWidth="1"/>
    <col min="151" max="151" width="8.42578125" style="126" hidden="1" customWidth="1"/>
    <col min="152" max="152" width="4.7109375" style="126" hidden="1" customWidth="1"/>
    <col min="153" max="153" width="8.42578125" style="126" hidden="1" customWidth="1"/>
    <col min="154" max="154" width="3.42578125" style="126" hidden="1" customWidth="1"/>
    <col min="155" max="155" width="8.42578125" style="126" hidden="1" customWidth="1"/>
    <col min="156" max="156" width="2.85546875" style="126" hidden="1" customWidth="1"/>
    <col min="157" max="157" width="8.5703125" style="126" hidden="1" customWidth="1"/>
    <col min="158" max="158" width="11" style="126" hidden="1" customWidth="1"/>
    <col min="159" max="159" width="8.42578125" style="126" hidden="1" customWidth="1"/>
    <col min="160" max="160" width="4.7109375" style="126" hidden="1" customWidth="1"/>
    <col min="161" max="161" width="8.42578125" style="126" hidden="1" customWidth="1"/>
    <col min="162" max="162" width="3.42578125" style="126" hidden="1" customWidth="1"/>
    <col min="163" max="163" width="8.42578125" style="126" hidden="1" customWidth="1"/>
    <col min="164" max="164" width="2.85546875" style="126" hidden="1" customWidth="1"/>
    <col min="165" max="165" width="8.5703125" style="126" hidden="1" customWidth="1"/>
    <col min="166" max="166" width="11" style="126" hidden="1" customWidth="1"/>
    <col min="167" max="167" width="8.42578125" style="126" hidden="1" customWidth="1"/>
    <col min="168" max="168" width="4.7109375" style="126" hidden="1" customWidth="1"/>
    <col min="169" max="169" width="8.42578125" style="126" hidden="1" customWidth="1"/>
    <col min="170" max="170" width="3.42578125" style="126" hidden="1" customWidth="1"/>
    <col min="171" max="171" width="8.42578125" style="126" hidden="1" customWidth="1"/>
    <col min="172" max="172" width="2.85546875" style="126" hidden="1" customWidth="1"/>
    <col min="173" max="173" width="8.5703125" style="126" hidden="1" customWidth="1"/>
    <col min="174" max="174" width="11" style="126" hidden="1" customWidth="1"/>
    <col min="175" max="175" width="8.42578125" style="126" hidden="1" customWidth="1"/>
    <col min="176" max="176" width="4.7109375" style="126" hidden="1" customWidth="1"/>
    <col min="177" max="177" width="8.42578125" style="126" hidden="1" customWidth="1"/>
    <col min="178" max="178" width="3.42578125" style="126" hidden="1" customWidth="1"/>
    <col min="179" max="179" width="8.42578125" style="126" hidden="1" customWidth="1"/>
    <col min="180" max="180" width="2.85546875" style="126" hidden="1" customWidth="1"/>
    <col min="181" max="181" width="8.5703125" style="126" hidden="1" customWidth="1"/>
    <col min="182" max="182" width="11" style="126" hidden="1" customWidth="1"/>
    <col min="183" max="183" width="8.42578125" hidden="1" customWidth="1"/>
    <col min="184" max="184" width="4.7109375" hidden="1" customWidth="1"/>
    <col min="185" max="185" width="8.42578125" hidden="1" customWidth="1"/>
    <col min="186" max="186" width="3.42578125" hidden="1" customWidth="1"/>
    <col min="187" max="187" width="8.42578125" hidden="1" customWidth="1"/>
    <col min="188" max="188" width="2.85546875" hidden="1" customWidth="1"/>
    <col min="189" max="189" width="8.5703125" hidden="1" customWidth="1"/>
    <col min="190" max="190" width="11" hidden="1" customWidth="1"/>
    <col min="191" max="191" width="8.42578125" hidden="1" customWidth="1"/>
    <col min="192" max="192" width="4.7109375" hidden="1" customWidth="1"/>
    <col min="193" max="193" width="8.42578125" hidden="1" customWidth="1"/>
    <col min="194" max="194" width="3.42578125" hidden="1" customWidth="1"/>
    <col min="195" max="195" width="8.42578125" hidden="1" customWidth="1"/>
    <col min="196" max="199" width="2.85546875" hidden="1" customWidth="1"/>
    <col min="200" max="217" width="0" hidden="1" customWidth="1"/>
  </cols>
  <sheetData>
    <row r="1" spans="1:236" s="176" customFormat="1" ht="47.25" thickBot="1" x14ac:dyDescent="0.4">
      <c r="A1" s="300" t="s">
        <v>102</v>
      </c>
      <c r="B1" s="300"/>
      <c r="D1" s="301" t="s">
        <v>96</v>
      </c>
      <c r="E1" s="302"/>
      <c r="F1" s="303"/>
      <c r="G1" s="301" t="s">
        <v>104</v>
      </c>
      <c r="H1" s="302"/>
      <c r="I1" s="303"/>
      <c r="J1" s="301" t="s">
        <v>97</v>
      </c>
      <c r="K1" s="302"/>
      <c r="L1" s="303"/>
      <c r="N1" s="290" t="s">
        <v>103</v>
      </c>
      <c r="O1" s="291"/>
      <c r="P1" s="291"/>
      <c r="Q1" s="291"/>
      <c r="R1" s="292"/>
      <c r="T1" s="173" t="s">
        <v>17</v>
      </c>
      <c r="U1" s="274" t="s">
        <v>142</v>
      </c>
      <c r="V1" s="270" t="s">
        <v>138</v>
      </c>
      <c r="W1" s="173" t="s">
        <v>113</v>
      </c>
      <c r="X1" s="28" t="s">
        <v>78</v>
      </c>
      <c r="Y1" s="173"/>
      <c r="Z1" s="293" t="s">
        <v>87</v>
      </c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87" t="s">
        <v>38</v>
      </c>
      <c r="AL1" s="288"/>
      <c r="AM1" s="288"/>
      <c r="AN1" s="288"/>
      <c r="AO1" s="288"/>
      <c r="AP1" s="288"/>
      <c r="AQ1" s="288"/>
      <c r="AR1" s="288"/>
      <c r="AS1" s="288"/>
      <c r="AT1" s="289"/>
      <c r="AU1" s="158"/>
      <c r="AV1" s="290" t="s">
        <v>39</v>
      </c>
      <c r="AW1" s="291"/>
      <c r="AX1" s="291"/>
      <c r="AY1" s="291"/>
      <c r="AZ1" s="291"/>
      <c r="BA1" s="291"/>
      <c r="BB1" s="291"/>
      <c r="BC1" s="291"/>
      <c r="BD1" s="291"/>
      <c r="BE1" s="291"/>
      <c r="BF1" s="291"/>
      <c r="BG1" s="291"/>
      <c r="BH1" s="291"/>
      <c r="BI1" s="291"/>
      <c r="BJ1" s="291"/>
      <c r="BK1" s="291"/>
      <c r="BL1" s="291"/>
      <c r="BM1" s="291"/>
      <c r="BN1" s="291"/>
      <c r="BO1" s="291"/>
      <c r="BP1" s="291"/>
      <c r="BQ1" s="291"/>
      <c r="BR1" s="291"/>
      <c r="BS1" s="291"/>
      <c r="BT1" s="291"/>
      <c r="BU1" s="291"/>
      <c r="BV1" s="291"/>
      <c r="BW1" s="291"/>
      <c r="BX1" s="291"/>
      <c r="BY1" s="291"/>
      <c r="BZ1" s="291"/>
      <c r="CA1" s="291"/>
      <c r="CB1" s="291"/>
      <c r="CC1" s="291"/>
      <c r="CD1" s="291"/>
      <c r="CE1" s="291"/>
      <c r="CF1" s="291"/>
      <c r="CG1" s="291"/>
      <c r="CH1" s="291"/>
      <c r="CI1" s="291"/>
      <c r="CJ1" s="291"/>
      <c r="CK1" s="291"/>
      <c r="CL1" s="291"/>
      <c r="CM1" s="291"/>
      <c r="CN1" s="291"/>
      <c r="CO1" s="291"/>
      <c r="CP1" s="292"/>
      <c r="CQ1" s="28"/>
      <c r="CR1" s="28"/>
      <c r="CS1" s="298" t="s">
        <v>45</v>
      </c>
      <c r="CT1" s="299"/>
      <c r="CU1" s="299"/>
      <c r="CV1" s="299"/>
      <c r="CW1" s="299"/>
      <c r="CX1" s="299"/>
      <c r="CY1" s="299"/>
      <c r="CZ1" s="299"/>
      <c r="DA1" s="299"/>
      <c r="DB1" s="299"/>
      <c r="DC1" s="261"/>
      <c r="DD1" s="268"/>
      <c r="DE1" s="268"/>
      <c r="DF1" s="255"/>
      <c r="DG1" s="284" t="s">
        <v>48</v>
      </c>
      <c r="DH1" s="285"/>
      <c r="DI1" s="285"/>
      <c r="DJ1" s="285"/>
      <c r="DK1" s="285"/>
      <c r="DL1" s="285"/>
      <c r="DM1" s="285"/>
      <c r="DN1" s="285"/>
      <c r="DO1" s="285"/>
      <c r="DP1" s="285"/>
      <c r="DQ1" s="286"/>
      <c r="DR1" s="174"/>
      <c r="DS1" s="243" t="s">
        <v>135</v>
      </c>
      <c r="DT1" s="175"/>
      <c r="DU1" s="177" t="s">
        <v>69</v>
      </c>
      <c r="DV1" s="178">
        <f>SUM(EA4:EA53)</f>
        <v>242.25000000000006</v>
      </c>
      <c r="DW1" s="179"/>
      <c r="DX1" s="177"/>
      <c r="DY1" s="179"/>
      <c r="DZ1" s="177"/>
      <c r="EA1" s="178"/>
      <c r="EB1" s="177"/>
      <c r="EC1" s="177" t="s">
        <v>69</v>
      </c>
      <c r="ED1" s="178">
        <f>SUM(EI4:EI53)</f>
        <v>325.50749999999994</v>
      </c>
      <c r="EE1" s="177"/>
      <c r="EF1" s="177"/>
      <c r="EG1" s="177"/>
      <c r="EH1" s="177"/>
      <c r="EI1" s="177"/>
      <c r="EJ1" s="177"/>
      <c r="EK1" s="177" t="s">
        <v>69</v>
      </c>
      <c r="EL1" s="178">
        <f>EQ54</f>
        <v>353.8125</v>
      </c>
      <c r="EM1" s="177"/>
      <c r="EN1" s="177"/>
      <c r="EO1" s="177"/>
      <c r="EP1" s="177"/>
      <c r="EQ1" s="177"/>
      <c r="ER1" s="177"/>
      <c r="ES1" s="177" t="s">
        <v>69</v>
      </c>
      <c r="ET1" s="178">
        <f>EY54</f>
        <v>367.96499999999997</v>
      </c>
      <c r="EU1" s="177"/>
      <c r="EV1" s="177"/>
      <c r="EW1" s="177"/>
      <c r="EX1" s="177"/>
      <c r="EY1" s="177"/>
      <c r="EZ1" s="177"/>
      <c r="FA1" s="177" t="s">
        <v>69</v>
      </c>
      <c r="FB1" s="180">
        <f>FG54</f>
        <v>397.54500000000013</v>
      </c>
      <c r="FC1" s="177"/>
      <c r="FD1" s="177"/>
      <c r="FE1" s="177"/>
      <c r="FF1" s="177"/>
      <c r="FG1" s="177"/>
      <c r="FH1" s="177"/>
      <c r="FI1" s="177" t="s">
        <v>69</v>
      </c>
      <c r="FJ1" s="180">
        <f>FO54</f>
        <v>425.84999999999985</v>
      </c>
      <c r="FK1" s="177"/>
      <c r="FL1" s="177"/>
      <c r="FM1" s="177"/>
      <c r="FN1" s="177"/>
      <c r="FO1" s="177"/>
      <c r="FP1" s="177"/>
      <c r="FQ1" s="177" t="s">
        <v>69</v>
      </c>
      <c r="FR1" s="180">
        <f>FW54</f>
        <v>454.53750000000002</v>
      </c>
      <c r="FS1" s="177"/>
      <c r="FT1" s="177"/>
      <c r="FU1" s="177"/>
      <c r="FV1" s="177"/>
      <c r="FW1" s="177"/>
      <c r="FX1" s="177"/>
      <c r="FY1" s="177" t="s">
        <v>69</v>
      </c>
      <c r="FZ1" s="180">
        <f>GE54</f>
        <v>482.8425000000002</v>
      </c>
      <c r="GA1" s="177"/>
      <c r="GB1" s="177"/>
      <c r="GC1" s="177"/>
      <c r="GD1" s="177"/>
      <c r="GE1" s="177"/>
      <c r="GG1" s="177" t="s">
        <v>69</v>
      </c>
      <c r="GH1" s="180">
        <f>GM54</f>
        <v>511.14749999999992</v>
      </c>
      <c r="GI1" s="177"/>
      <c r="GJ1" s="177"/>
      <c r="GK1" s="177"/>
      <c r="GL1" s="177"/>
      <c r="GM1" s="177"/>
    </row>
    <row r="2" spans="1:236" s="176" customFormat="1" ht="38.25" thickBot="1" x14ac:dyDescent="0.35">
      <c r="A2" s="28"/>
      <c r="B2" s="28"/>
      <c r="D2" s="218"/>
      <c r="E2" s="28"/>
      <c r="F2" s="219"/>
      <c r="G2" s="218"/>
      <c r="H2" s="28"/>
      <c r="I2" s="219"/>
      <c r="J2" s="218"/>
      <c r="K2" s="28"/>
      <c r="L2" s="219"/>
      <c r="N2" s="213"/>
      <c r="O2" s="214"/>
      <c r="P2" s="214"/>
      <c r="Q2" s="214"/>
      <c r="R2" s="174"/>
      <c r="T2" s="173"/>
      <c r="U2" s="28"/>
      <c r="W2" s="173"/>
      <c r="X2" s="28"/>
      <c r="Y2" s="173"/>
      <c r="Z2" s="220"/>
      <c r="AA2" s="221"/>
      <c r="AB2" s="240" t="s">
        <v>134</v>
      </c>
      <c r="AC2" s="221"/>
      <c r="AD2" s="221"/>
      <c r="AE2" s="221"/>
      <c r="AF2" s="221"/>
      <c r="AG2" s="221"/>
      <c r="AH2" s="221"/>
      <c r="AI2" s="221"/>
      <c r="AJ2" s="221"/>
      <c r="AK2" s="215"/>
      <c r="AL2" s="216"/>
      <c r="AM2" s="216"/>
      <c r="AN2" s="216"/>
      <c r="AO2" s="216"/>
      <c r="AP2" s="216"/>
      <c r="AQ2" s="216"/>
      <c r="AR2" s="216"/>
      <c r="AS2" s="216"/>
      <c r="AT2" s="216"/>
      <c r="AU2" s="158"/>
      <c r="AV2" s="214"/>
      <c r="AW2" s="214"/>
      <c r="AX2" s="214"/>
      <c r="AY2" s="214"/>
      <c r="AZ2" s="214"/>
      <c r="BA2" s="28"/>
      <c r="BB2" s="214"/>
      <c r="BC2" s="214"/>
      <c r="BD2" s="214"/>
      <c r="BE2" s="214"/>
      <c r="BF2" s="214"/>
      <c r="BG2" s="28"/>
      <c r="BH2" s="214"/>
      <c r="BI2" s="214"/>
      <c r="BJ2" s="214"/>
      <c r="BK2" s="214"/>
      <c r="BL2" s="214"/>
      <c r="BM2" s="28"/>
      <c r="BN2" s="214"/>
      <c r="BO2" s="214"/>
      <c r="BP2" s="214"/>
      <c r="BQ2" s="214"/>
      <c r="BR2" s="214"/>
      <c r="BS2" s="28"/>
      <c r="BT2" s="214"/>
      <c r="BU2" s="214"/>
      <c r="BV2" s="214"/>
      <c r="BW2" s="214"/>
      <c r="BX2" s="214"/>
      <c r="BY2" s="28"/>
      <c r="BZ2" s="214"/>
      <c r="CA2" s="214"/>
      <c r="CB2" s="214"/>
      <c r="CC2" s="214"/>
      <c r="CD2" s="214"/>
      <c r="CE2" s="28"/>
      <c r="CF2" s="214"/>
      <c r="CG2" s="214"/>
      <c r="CH2" s="214"/>
      <c r="CI2" s="214"/>
      <c r="CJ2" s="214"/>
      <c r="CK2" s="28"/>
      <c r="CL2" s="214"/>
      <c r="CM2" s="214"/>
      <c r="CN2" s="214"/>
      <c r="CO2" s="214"/>
      <c r="CP2" s="174" t="e" cm="1">
        <f t="array" ref="CP2">+AK:CPDAV:CP</f>
        <v>#NAME?</v>
      </c>
      <c r="CQ2" s="28"/>
      <c r="CR2" s="214"/>
      <c r="CS2" s="295" t="s">
        <v>137</v>
      </c>
      <c r="CT2" s="296"/>
      <c r="CU2" s="297"/>
      <c r="CV2" s="296" t="s">
        <v>128</v>
      </c>
      <c r="CW2" s="296"/>
      <c r="CX2" s="297"/>
      <c r="CY2" s="295" t="s">
        <v>127</v>
      </c>
      <c r="CZ2" s="296"/>
      <c r="DA2" s="296"/>
      <c r="DB2" s="296"/>
      <c r="DC2" s="297"/>
      <c r="DD2" s="296" t="s">
        <v>136</v>
      </c>
      <c r="DE2" s="296"/>
      <c r="DF2" s="296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174"/>
      <c r="DR2" s="174"/>
      <c r="DS2" s="242">
        <f>DS54</f>
        <v>323.68848749999995</v>
      </c>
      <c r="DT2" s="175"/>
      <c r="DU2" s="177"/>
      <c r="DV2" s="178"/>
      <c r="DW2" s="179"/>
      <c r="DX2" s="177"/>
      <c r="DY2" s="179"/>
      <c r="DZ2" s="177"/>
      <c r="EA2" s="178"/>
      <c r="EB2" s="177"/>
      <c r="EC2" s="177"/>
      <c r="ED2" s="178"/>
      <c r="EE2" s="177"/>
      <c r="EF2" s="177"/>
      <c r="EG2" s="177"/>
      <c r="EH2" s="177"/>
      <c r="EI2" s="177"/>
      <c r="EJ2" s="177"/>
      <c r="EK2" s="177"/>
      <c r="EL2" s="178"/>
      <c r="EM2" s="177"/>
      <c r="EN2" s="177"/>
      <c r="EO2" s="177"/>
      <c r="EP2" s="177"/>
      <c r="EQ2" s="177"/>
      <c r="ER2" s="177"/>
      <c r="ES2" s="177"/>
      <c r="ET2" s="178"/>
      <c r="EU2" s="177"/>
      <c r="EV2" s="177"/>
      <c r="EW2" s="177"/>
      <c r="EX2" s="177"/>
      <c r="EY2" s="177"/>
      <c r="EZ2" s="177"/>
      <c r="FA2" s="177"/>
      <c r="FB2" s="180"/>
      <c r="FC2" s="177"/>
      <c r="FD2" s="177"/>
      <c r="FE2" s="177"/>
      <c r="FF2" s="177"/>
      <c r="FG2" s="177"/>
      <c r="FH2" s="177"/>
      <c r="FI2" s="177"/>
      <c r="FJ2" s="180"/>
      <c r="FK2" s="177"/>
      <c r="FL2" s="177"/>
      <c r="FM2" s="177"/>
      <c r="FN2" s="177"/>
      <c r="FO2" s="177"/>
      <c r="FP2" s="177"/>
      <c r="FQ2" s="177"/>
      <c r="FR2" s="180"/>
      <c r="FS2" s="177"/>
      <c r="FT2" s="177"/>
      <c r="FU2" s="177"/>
      <c r="FV2" s="177"/>
      <c r="FW2" s="177"/>
      <c r="FX2" s="177"/>
      <c r="FY2" s="177"/>
      <c r="FZ2" s="180"/>
      <c r="GA2" s="177"/>
      <c r="GB2" s="177"/>
      <c r="GC2" s="177"/>
      <c r="GD2" s="177"/>
      <c r="GE2" s="177"/>
      <c r="GG2" s="177"/>
      <c r="GH2" s="180"/>
      <c r="GI2" s="177"/>
      <c r="GJ2" s="177"/>
      <c r="GK2" s="177"/>
      <c r="GL2" s="177"/>
      <c r="GM2" s="177"/>
    </row>
    <row r="3" spans="1:236" s="5" customFormat="1" ht="90.75" thickBot="1" x14ac:dyDescent="0.3">
      <c r="A3" s="9" t="s">
        <v>12</v>
      </c>
      <c r="B3" s="10">
        <v>135000</v>
      </c>
      <c r="C3" s="24"/>
      <c r="D3" s="167" t="s">
        <v>98</v>
      </c>
      <c r="E3" s="5" t="s">
        <v>99</v>
      </c>
      <c r="F3" s="168" t="s">
        <v>100</v>
      </c>
      <c r="G3" s="167" t="s">
        <v>98</v>
      </c>
      <c r="H3" s="5" t="s">
        <v>99</v>
      </c>
      <c r="I3" s="168" t="s">
        <v>100</v>
      </c>
      <c r="J3" s="167" t="s">
        <v>98</v>
      </c>
      <c r="K3" s="5" t="s">
        <v>99</v>
      </c>
      <c r="L3" s="168" t="s">
        <v>100</v>
      </c>
      <c r="M3"/>
      <c r="N3" s="9" t="s">
        <v>105</v>
      </c>
      <c r="O3" s="15" t="s">
        <v>15</v>
      </c>
      <c r="P3" s="15" t="s">
        <v>81</v>
      </c>
      <c r="Q3" s="15" t="s">
        <v>23</v>
      </c>
      <c r="R3" s="16" t="s">
        <v>9</v>
      </c>
      <c r="T3" s="283" t="s">
        <v>143</v>
      </c>
      <c r="U3" s="271">
        <v>0.1</v>
      </c>
      <c r="V3" s="273">
        <v>0.1</v>
      </c>
      <c r="W3" s="272">
        <v>0.15</v>
      </c>
      <c r="X3" s="241">
        <v>0.45</v>
      </c>
      <c r="Y3" s="117"/>
      <c r="Z3" s="149"/>
      <c r="AA3" s="150" t="s">
        <v>33</v>
      </c>
      <c r="AB3" s="234" t="s">
        <v>34</v>
      </c>
      <c r="AC3" s="150" t="s">
        <v>85</v>
      </c>
      <c r="AD3" s="150" t="s">
        <v>82</v>
      </c>
      <c r="AE3" s="150" t="s">
        <v>83</v>
      </c>
      <c r="AF3" s="151" t="s">
        <v>84</v>
      </c>
      <c r="AG3" s="152" t="s">
        <v>86</v>
      </c>
      <c r="AH3" s="153" t="s">
        <v>82</v>
      </c>
      <c r="AI3" s="153" t="s">
        <v>83</v>
      </c>
      <c r="AJ3" s="154" t="s">
        <v>84</v>
      </c>
      <c r="AK3" s="62" t="s">
        <v>24</v>
      </c>
      <c r="AL3" s="63" t="s">
        <v>25</v>
      </c>
      <c r="AM3" s="64" t="s">
        <v>26</v>
      </c>
      <c r="AN3" s="64" t="s">
        <v>62</v>
      </c>
      <c r="AO3" s="65" t="s">
        <v>27</v>
      </c>
      <c r="AP3" s="66" t="s">
        <v>28</v>
      </c>
      <c r="AQ3" s="67" t="s">
        <v>29</v>
      </c>
      <c r="AR3" s="68" t="s">
        <v>30</v>
      </c>
      <c r="AS3" s="69" t="s">
        <v>31</v>
      </c>
      <c r="AT3" s="160" t="s">
        <v>32</v>
      </c>
      <c r="AU3" s="164" t="s">
        <v>61</v>
      </c>
      <c r="AV3" s="77"/>
      <c r="AW3" s="77" t="s">
        <v>46</v>
      </c>
      <c r="AX3" s="54" t="s">
        <v>35</v>
      </c>
      <c r="AY3" s="55" t="s">
        <v>36</v>
      </c>
      <c r="AZ3" s="56" t="s">
        <v>37</v>
      </c>
      <c r="BA3" s="71"/>
      <c r="BB3" s="72"/>
      <c r="BC3" s="77" t="s">
        <v>46</v>
      </c>
      <c r="BD3" s="37" t="s">
        <v>35</v>
      </c>
      <c r="BE3" s="38" t="s">
        <v>36</v>
      </c>
      <c r="BF3" s="39" t="s">
        <v>37</v>
      </c>
      <c r="BG3" s="71"/>
      <c r="BH3" s="72"/>
      <c r="BI3" s="77" t="s">
        <v>46</v>
      </c>
      <c r="BJ3" s="42" t="s">
        <v>35</v>
      </c>
      <c r="BK3" s="43" t="s">
        <v>36</v>
      </c>
      <c r="BL3" s="44" t="s">
        <v>37</v>
      </c>
      <c r="BM3" s="20"/>
      <c r="BN3" s="70"/>
      <c r="BO3" s="77" t="s">
        <v>46</v>
      </c>
      <c r="BP3" s="59" t="s">
        <v>35</v>
      </c>
      <c r="BQ3" s="60" t="s">
        <v>36</v>
      </c>
      <c r="BR3" s="61" t="s">
        <v>37</v>
      </c>
      <c r="BS3" s="20"/>
      <c r="BT3" s="70"/>
      <c r="BU3" s="77" t="s">
        <v>46</v>
      </c>
      <c r="BV3" s="59" t="s">
        <v>35</v>
      </c>
      <c r="BW3" s="60" t="s">
        <v>36</v>
      </c>
      <c r="BX3" s="61" t="s">
        <v>37</v>
      </c>
      <c r="BY3" s="20"/>
      <c r="BZ3" s="70"/>
      <c r="CA3" s="77" t="s">
        <v>46</v>
      </c>
      <c r="CB3" s="59" t="s">
        <v>35</v>
      </c>
      <c r="CC3" s="60" t="s">
        <v>36</v>
      </c>
      <c r="CD3" s="61" t="s">
        <v>37</v>
      </c>
      <c r="CE3" s="20"/>
      <c r="CF3" s="70"/>
      <c r="CG3" s="77" t="s">
        <v>46</v>
      </c>
      <c r="CH3" s="59" t="s">
        <v>35</v>
      </c>
      <c r="CI3" s="60" t="s">
        <v>36</v>
      </c>
      <c r="CJ3" s="61" t="s">
        <v>37</v>
      </c>
      <c r="CK3" s="20"/>
      <c r="CL3" s="70"/>
      <c r="CM3" s="77" t="s">
        <v>46</v>
      </c>
      <c r="CN3" s="59" t="s">
        <v>35</v>
      </c>
      <c r="CO3" s="60" t="s">
        <v>36</v>
      </c>
      <c r="CP3" s="61" t="s">
        <v>37</v>
      </c>
      <c r="CQ3" s="20"/>
      <c r="CR3" s="206"/>
      <c r="CS3" s="73" t="s">
        <v>18</v>
      </c>
      <c r="CT3" s="74" t="s">
        <v>50</v>
      </c>
      <c r="CU3" s="87" t="s">
        <v>51</v>
      </c>
      <c r="CV3" s="206"/>
      <c r="CW3" s="252" t="s">
        <v>47</v>
      </c>
      <c r="CX3" s="206"/>
      <c r="CY3" s="76" t="s">
        <v>109</v>
      </c>
      <c r="CZ3" s="193" t="s">
        <v>40</v>
      </c>
      <c r="DA3" s="75" t="s">
        <v>16</v>
      </c>
      <c r="DB3" s="86" t="s">
        <v>42</v>
      </c>
      <c r="DC3" s="262"/>
      <c r="DD3" s="256" t="s">
        <v>44</v>
      </c>
      <c r="DE3" s="246" t="s">
        <v>33</v>
      </c>
      <c r="DF3" s="198" t="s">
        <v>63</v>
      </c>
      <c r="DG3" s="194" t="s">
        <v>54</v>
      </c>
      <c r="DH3" s="106" t="s">
        <v>56</v>
      </c>
      <c r="DI3" s="88" t="s">
        <v>41</v>
      </c>
      <c r="DJ3" s="89" t="s">
        <v>43</v>
      </c>
      <c r="DK3" s="90" t="s">
        <v>53</v>
      </c>
      <c r="DL3" s="91"/>
      <c r="DM3" s="92" t="s">
        <v>19</v>
      </c>
      <c r="DN3" s="93" t="s">
        <v>10</v>
      </c>
      <c r="DO3" s="94" t="s">
        <v>11</v>
      </c>
      <c r="DP3" s="102"/>
      <c r="DQ3" s="95" t="s">
        <v>52</v>
      </c>
      <c r="DR3" s="107" t="s">
        <v>55</v>
      </c>
      <c r="DS3" s="76" t="s">
        <v>49</v>
      </c>
      <c r="DT3" s="112"/>
      <c r="DU3" s="129" t="s">
        <v>64</v>
      </c>
      <c r="DV3" s="129" t="s">
        <v>71</v>
      </c>
      <c r="DW3" s="130" t="s">
        <v>65</v>
      </c>
      <c r="DX3" s="129" t="s">
        <v>66</v>
      </c>
      <c r="DY3" s="130" t="s">
        <v>70</v>
      </c>
      <c r="DZ3" s="129" t="s">
        <v>67</v>
      </c>
      <c r="EA3" s="130" t="s">
        <v>68</v>
      </c>
      <c r="EB3" s="131"/>
      <c r="EC3" s="129" t="s">
        <v>64</v>
      </c>
      <c r="ED3" s="129" t="s">
        <v>76</v>
      </c>
      <c r="EE3" s="130" t="s">
        <v>65</v>
      </c>
      <c r="EF3" s="129" t="s">
        <v>66</v>
      </c>
      <c r="EG3" s="129" t="s">
        <v>70</v>
      </c>
      <c r="EH3" s="129" t="s">
        <v>67</v>
      </c>
      <c r="EI3" s="130" t="s">
        <v>68</v>
      </c>
      <c r="EJ3" s="131"/>
      <c r="EK3" s="129" t="s">
        <v>64</v>
      </c>
      <c r="EL3" s="129" t="s">
        <v>77</v>
      </c>
      <c r="EM3" s="130" t="s">
        <v>65</v>
      </c>
      <c r="EN3" s="129" t="s">
        <v>66</v>
      </c>
      <c r="EO3" s="129" t="s">
        <v>70</v>
      </c>
      <c r="EP3" s="130" t="s">
        <v>67</v>
      </c>
      <c r="EQ3" s="129" t="s">
        <v>67</v>
      </c>
      <c r="ER3" s="129"/>
      <c r="ES3" s="129" t="s">
        <v>64</v>
      </c>
      <c r="ET3" s="129" t="s">
        <v>80</v>
      </c>
      <c r="EU3" s="130" t="s">
        <v>65</v>
      </c>
      <c r="EV3" s="129" t="s">
        <v>66</v>
      </c>
      <c r="EW3" s="129" t="s">
        <v>70</v>
      </c>
      <c r="EX3" s="130" t="s">
        <v>67</v>
      </c>
      <c r="EY3" s="129" t="s">
        <v>67</v>
      </c>
      <c r="EZ3" s="131"/>
      <c r="FA3" s="129" t="s">
        <v>64</v>
      </c>
      <c r="FB3" s="129" t="s">
        <v>72</v>
      </c>
      <c r="FC3" s="130" t="s">
        <v>65</v>
      </c>
      <c r="FD3" s="129" t="s">
        <v>66</v>
      </c>
      <c r="FE3" s="129" t="s">
        <v>70</v>
      </c>
      <c r="FF3" s="130" t="s">
        <v>67</v>
      </c>
      <c r="FG3" s="129" t="s">
        <v>67</v>
      </c>
      <c r="FH3" s="131"/>
      <c r="FI3" s="129" t="s">
        <v>64</v>
      </c>
      <c r="FJ3" s="129" t="s">
        <v>73</v>
      </c>
      <c r="FK3" s="130" t="s">
        <v>65</v>
      </c>
      <c r="FL3" s="129" t="s">
        <v>66</v>
      </c>
      <c r="FM3" s="129" t="s">
        <v>70</v>
      </c>
      <c r="FN3" s="130" t="s">
        <v>67</v>
      </c>
      <c r="FO3" s="129" t="s">
        <v>67</v>
      </c>
      <c r="FP3" s="131"/>
      <c r="FQ3" s="129" t="s">
        <v>64</v>
      </c>
      <c r="FR3" s="129" t="s">
        <v>74</v>
      </c>
      <c r="FS3" s="130" t="s">
        <v>65</v>
      </c>
      <c r="FT3" s="129" t="s">
        <v>66</v>
      </c>
      <c r="FU3" s="129" t="s">
        <v>70</v>
      </c>
      <c r="FV3" s="130" t="s">
        <v>67</v>
      </c>
      <c r="FW3" s="129" t="s">
        <v>67</v>
      </c>
      <c r="FX3" s="131"/>
      <c r="FY3" s="129" t="s">
        <v>64</v>
      </c>
      <c r="FZ3" s="129" t="s">
        <v>125</v>
      </c>
      <c r="GA3" s="130" t="s">
        <v>65</v>
      </c>
      <c r="GB3" s="129" t="s">
        <v>66</v>
      </c>
      <c r="GC3" s="129" t="s">
        <v>70</v>
      </c>
      <c r="GD3" s="130" t="s">
        <v>67</v>
      </c>
      <c r="GE3" s="129" t="s">
        <v>67</v>
      </c>
      <c r="GG3" s="129" t="s">
        <v>64</v>
      </c>
      <c r="GH3" s="129" t="s">
        <v>126</v>
      </c>
      <c r="GI3" s="130" t="s">
        <v>65</v>
      </c>
      <c r="GJ3" s="129" t="s">
        <v>66</v>
      </c>
      <c r="GK3" s="129" t="s">
        <v>70</v>
      </c>
      <c r="GL3" s="130" t="s">
        <v>67</v>
      </c>
      <c r="GM3" s="129" t="s">
        <v>67</v>
      </c>
      <c r="IA3" s="5" t="s">
        <v>8</v>
      </c>
      <c r="IB3" s="5" t="s">
        <v>8</v>
      </c>
    </row>
    <row r="4" spans="1:236" ht="19.5" thickBot="1" x14ac:dyDescent="0.35">
      <c r="A4" s="3"/>
      <c r="B4" s="4"/>
      <c r="D4" s="7" t="s">
        <v>89</v>
      </c>
      <c r="E4" s="26">
        <f>22*1.16</f>
        <v>25.52</v>
      </c>
      <c r="F4" s="169">
        <f>E4*3</f>
        <v>76.56</v>
      </c>
      <c r="G4" s="7" t="s">
        <v>92</v>
      </c>
      <c r="H4" s="26">
        <f>20*1.16</f>
        <v>23.2</v>
      </c>
      <c r="I4" s="169">
        <f>H4*3</f>
        <v>69.599999999999994</v>
      </c>
      <c r="J4" s="7" t="s">
        <v>94</v>
      </c>
      <c r="K4" s="26">
        <f>34*1.16</f>
        <v>39.44</v>
      </c>
      <c r="L4" s="169">
        <f>K4*3</f>
        <v>118.32</v>
      </c>
      <c r="N4" s="17">
        <f>F10/4</f>
        <v>135.72</v>
      </c>
      <c r="O4" s="18">
        <f>N4/3</f>
        <v>45.24</v>
      </c>
      <c r="P4" s="18">
        <f>N4</f>
        <v>135.72</v>
      </c>
      <c r="Q4" s="21">
        <v>0</v>
      </c>
      <c r="R4" s="19">
        <f>P4/60</f>
        <v>2.262</v>
      </c>
      <c r="V4" s="2" t="s">
        <v>8</v>
      </c>
      <c r="W4" s="2"/>
      <c r="Z4" s="98" t="s">
        <v>2</v>
      </c>
      <c r="AA4" s="96">
        <f>5*7</f>
        <v>35</v>
      </c>
      <c r="AB4" s="235">
        <v>89.07</v>
      </c>
      <c r="AC4" s="142">
        <f t="shared" ref="AC4:AC11" si="0">AD4/AA4</f>
        <v>2.7993428571428568E-2</v>
      </c>
      <c r="AD4" s="97">
        <f>AB4/100+((AB4/100)*U3)</f>
        <v>0.97976999999999992</v>
      </c>
      <c r="AE4" s="97">
        <f t="shared" ref="AE4:AE11" si="1">AD4*2</f>
        <v>1.9595399999999998</v>
      </c>
      <c r="AF4" s="97">
        <f t="shared" ref="AF4:AF11" si="2">AD4*3</f>
        <v>2.9393099999999999</v>
      </c>
      <c r="AG4" s="165">
        <f t="shared" ref="AG4:AG11" si="3">AH4/AA4</f>
        <v>2.7993428571428572E-2</v>
      </c>
      <c r="AH4" s="143">
        <f>((AB4*(1+U3))/100)</f>
        <v>0.97977000000000003</v>
      </c>
      <c r="AI4" s="144">
        <f t="shared" ref="AI4:AI11" si="4">AH4*2</f>
        <v>1.9595400000000001</v>
      </c>
      <c r="AJ4" s="145">
        <f t="shared" ref="AJ4:AJ11" si="5">AH4*3</f>
        <v>2.9393099999999999</v>
      </c>
      <c r="AK4" s="47">
        <f>R4</f>
        <v>2.262</v>
      </c>
      <c r="AL4" s="46">
        <f>AK4/2</f>
        <v>1.131</v>
      </c>
      <c r="AM4" s="49">
        <f>AK4/3</f>
        <v>0.754</v>
      </c>
      <c r="AN4" s="111">
        <f>AK4/4</f>
        <v>0.5655</v>
      </c>
      <c r="AO4" s="50">
        <f>R6</f>
        <v>1.218</v>
      </c>
      <c r="AP4" s="48">
        <f>AO4*2</f>
        <v>2.4359999999999999</v>
      </c>
      <c r="AQ4" s="51">
        <f>AO4*3</f>
        <v>3.6539999999999999</v>
      </c>
      <c r="AR4" s="52">
        <f>R8</f>
        <v>2.3242049999999996</v>
      </c>
      <c r="AS4" s="45">
        <f>AR4*2</f>
        <v>4.6484099999999993</v>
      </c>
      <c r="AT4" s="161">
        <f>AR4*3</f>
        <v>6.9726149999999993</v>
      </c>
      <c r="AU4" s="223">
        <f>(1+U3)</f>
        <v>1.1000000000000001</v>
      </c>
      <c r="AV4" s="78" t="str">
        <f>Z4</f>
        <v>5X7</v>
      </c>
      <c r="AW4" s="31">
        <f>AA4</f>
        <v>35</v>
      </c>
      <c r="AX4" s="32">
        <f>AH4</f>
        <v>0.97977000000000003</v>
      </c>
      <c r="AY4" s="33">
        <f>AI4</f>
        <v>1.9595400000000001</v>
      </c>
      <c r="AZ4" s="57">
        <f>AJ4</f>
        <v>2.9393099999999999</v>
      </c>
      <c r="BA4" s="53"/>
      <c r="BB4" s="31" t="str">
        <f>Z5</f>
        <v>4.5X10</v>
      </c>
      <c r="BC4" s="31">
        <f>AA5</f>
        <v>45</v>
      </c>
      <c r="BD4" s="35">
        <f>AH5</f>
        <v>1.23838</v>
      </c>
      <c r="BE4" s="36">
        <f>AI5</f>
        <v>2.4767600000000001</v>
      </c>
      <c r="BF4" s="58">
        <f>AJ5</f>
        <v>3.7151399999999999</v>
      </c>
      <c r="BG4" s="34"/>
      <c r="BH4" s="31" t="str">
        <f>Z6</f>
        <v>4.5X17</v>
      </c>
      <c r="BI4" s="31">
        <f>AA6</f>
        <v>76.5</v>
      </c>
      <c r="BJ4" s="35">
        <f>AH6</f>
        <v>1.9836300000000002</v>
      </c>
      <c r="BK4" s="36">
        <f>AI6</f>
        <v>3.9672600000000005</v>
      </c>
      <c r="BL4" s="58">
        <f>AJ6</f>
        <v>5.9508900000000011</v>
      </c>
      <c r="BN4" s="31" t="str">
        <f>Z7</f>
        <v>8X10</v>
      </c>
      <c r="BO4" s="31">
        <f>AA7</f>
        <v>80</v>
      </c>
      <c r="BP4" s="32">
        <f>AH7</f>
        <v>2.0702000000000003</v>
      </c>
      <c r="BQ4" s="33">
        <f>AI7</f>
        <v>4.1404000000000005</v>
      </c>
      <c r="BR4" s="57">
        <f>AJ7</f>
        <v>6.2106000000000012</v>
      </c>
      <c r="BT4" s="31" t="str">
        <f>Z8</f>
        <v>7X17</v>
      </c>
      <c r="BU4" s="31">
        <f>AA8</f>
        <v>119</v>
      </c>
      <c r="BV4" s="32">
        <f>AH8</f>
        <v>3.0300600000000002</v>
      </c>
      <c r="BW4" s="33">
        <f>AI8</f>
        <v>6.0601200000000004</v>
      </c>
      <c r="BX4" s="57">
        <f>AJ8</f>
        <v>9.0901800000000001</v>
      </c>
      <c r="BZ4" s="31" t="str">
        <f>Z9</f>
        <v>10X12</v>
      </c>
      <c r="CA4" s="31">
        <f>AA9</f>
        <v>120</v>
      </c>
      <c r="CB4" s="32">
        <f>AH9</f>
        <v>3.0453500000000004</v>
      </c>
      <c r="CC4" s="33">
        <f>AI9</f>
        <v>6.0907000000000009</v>
      </c>
      <c r="CD4" s="57">
        <f>AJ9</f>
        <v>9.1360500000000009</v>
      </c>
      <c r="CF4" s="31" t="str">
        <f>Z10</f>
        <v>11X14</v>
      </c>
      <c r="CG4" s="31">
        <f>AA10</f>
        <v>154</v>
      </c>
      <c r="CH4" s="32">
        <f>AH10</f>
        <v>3.8582500000000004</v>
      </c>
      <c r="CI4" s="33">
        <f>AI10</f>
        <v>7.7165000000000008</v>
      </c>
      <c r="CJ4" s="57">
        <f>AJ10</f>
        <v>11.574750000000002</v>
      </c>
      <c r="CL4" s="31" t="str">
        <f>Z11</f>
        <v>14X17</v>
      </c>
      <c r="CM4" s="31">
        <f>AA11</f>
        <v>238</v>
      </c>
      <c r="CN4" s="32">
        <f>AH11</f>
        <v>5.9076599999999999</v>
      </c>
      <c r="CO4" s="33">
        <f>AI11</f>
        <v>11.81532</v>
      </c>
      <c r="CP4" s="57">
        <f>AJ11</f>
        <v>17.72298</v>
      </c>
      <c r="CR4" s="207"/>
      <c r="CS4" s="231">
        <v>1</v>
      </c>
      <c r="CT4" s="217">
        <v>1</v>
      </c>
      <c r="CU4" s="232">
        <v>2</v>
      </c>
      <c r="CV4" s="207"/>
      <c r="CW4" s="253">
        <v>119</v>
      </c>
      <c r="CX4" s="207"/>
      <c r="CY4" s="251">
        <v>1</v>
      </c>
      <c r="CZ4" s="249">
        <v>1</v>
      </c>
      <c r="DA4" s="248">
        <v>2</v>
      </c>
      <c r="DB4" s="248">
        <v>1</v>
      </c>
      <c r="DC4" s="263"/>
      <c r="DD4" s="257" t="s">
        <v>2</v>
      </c>
      <c r="DE4" s="247">
        <f>5*7</f>
        <v>35</v>
      </c>
      <c r="DF4" s="199">
        <v>0.6</v>
      </c>
      <c r="DG4" s="195">
        <f t="shared" ref="DG4:DG42" si="6">IF(CT4=0,0,IF(CT4&gt;0,(AK4*DA4)/CU4))</f>
        <v>2.262</v>
      </c>
      <c r="DH4" s="81">
        <f t="shared" ref="DH4:DH42" si="7">IF(CT4=0,0,IF(CT4&gt;0,(AK4*CY4)/CU4))</f>
        <v>1.131</v>
      </c>
      <c r="DI4" s="81">
        <f t="shared" ref="DI4:DI42" si="8">IF(CT4=0,0,IF(CT4&gt;0,(AO4*CZ4)*CT4)/CU4)</f>
        <v>0.60899999999999999</v>
      </c>
      <c r="DJ4" s="81">
        <f t="shared" ref="DJ4:DJ42" si="9">IF(CT4=0,0,IF(CT4&gt;0,(AR4*DB4)*CT4)/CU4)</f>
        <v>1.1621024999999998</v>
      </c>
      <c r="DK4" s="82">
        <f>DI4+DJ4+DG4+DH4</f>
        <v>5.1641025000000003</v>
      </c>
      <c r="DM4" s="83">
        <f t="shared" ref="DM4:DM42" si="10">(IF(CW4&lt;35,0,IF(CW4=35,AX4,IF(CW4=45,BD4,IF(CW4=76.5,BJ4,IF(CW4=80,BP4,IF(CW4=119,BV4,IF(CW4=120,CB4,IF(CW4=154,CH4,IF(CW4=238,CN4))))))))))</f>
        <v>3.0300600000000002</v>
      </c>
      <c r="DN4" s="84">
        <f t="shared" ref="DN4:DN42" si="11">(IF(CW4&lt;35,0,IF(CW4=35,AY4,IF(CW4=45,BE4,IF(CW4=76.5,BK4,IF(CW4=80,BQ4,IF(CW4=119,BW4,IF(CW4=120,CC4,IF(CW4=154,CI4,IF(CW4=238,CO4))))))))))</f>
        <v>6.0601200000000004</v>
      </c>
      <c r="DO4" s="84">
        <f t="shared" ref="DO4:DO42" si="12">(IF(CW4&lt;35,0,IF(CW4=35,AZ4,IF(CW4=45,BF4,IF(CW4=76.5,BL4,IF(CW4=80,BR4,IF(CW4=119,BX4,IF(CW4=120,CD4,IF(CW4=154,CJ4,IF(CW4=238,CP4))))))))))</f>
        <v>9.0901800000000001</v>
      </c>
      <c r="DP4" s="103"/>
      <c r="DQ4" s="85">
        <f t="shared" ref="DQ4:DQ40" si="13">IF(CT4&lt;0.99,0,IF(CT4=1,DM4,IF(CT4=2,DN4,IF(CT4=3,DO4))))</f>
        <v>3.0300600000000002</v>
      </c>
      <c r="DR4" s="108">
        <f t="shared" ref="DR4:DR40" si="14">IF(DQ4&lt;=0,0,IF(DQ4&gt;=0.01,DQ4/CU4))</f>
        <v>1.5150300000000001</v>
      </c>
      <c r="DS4" s="244">
        <f>DR4+DK4</f>
        <v>6.6791325000000006</v>
      </c>
      <c r="DT4" s="113"/>
      <c r="DU4" s="132">
        <f t="shared" ref="DU4:DU40" si="15">CW4</f>
        <v>119</v>
      </c>
      <c r="DV4" s="133">
        <f t="shared" ref="DV4:DV40" si="16">IF(CT4=0,0,IF(CT4=1,0.09,IF(CT4&gt;=2,0.085)))</f>
        <v>0.09</v>
      </c>
      <c r="DW4" s="128">
        <f>DU4*DV4</f>
        <v>10.709999999999999</v>
      </c>
      <c r="DX4" s="133">
        <f>IF(DV4=0,0,IF(DV4=0.085,1.5,IF(DV4=0.09,1)))</f>
        <v>1</v>
      </c>
      <c r="DY4" s="128">
        <f>DW4*DX4</f>
        <v>10.709999999999999</v>
      </c>
      <c r="DZ4" s="126">
        <f t="shared" ref="DZ4:DZ40" si="17">CU4</f>
        <v>2</v>
      </c>
      <c r="EA4" s="141">
        <f>IF(DZ4=0,0,IF(DZ4&gt;0,DY4/DZ4))</f>
        <v>5.3549999999999995</v>
      </c>
      <c r="EC4" s="132">
        <f>DU4</f>
        <v>119</v>
      </c>
      <c r="ED4" s="133">
        <v>0.115</v>
      </c>
      <c r="EE4" s="128">
        <f>EC4*ED4</f>
        <v>13.685</v>
      </c>
      <c r="EF4" s="133">
        <f t="shared" ref="EF4:EF40" si="18">IF(CT4=0,0,IF(CT4=1,1,IF(CT4&gt;=2,1.5)))</f>
        <v>1</v>
      </c>
      <c r="EG4" s="128">
        <f>EE4*EF4</f>
        <v>13.685</v>
      </c>
      <c r="EH4" s="134">
        <f>DZ4</f>
        <v>2</v>
      </c>
      <c r="EI4" s="127">
        <f>IF(EH4=0,0,IF(EH4&gt;0,EG4/EH4))</f>
        <v>6.8425000000000002</v>
      </c>
      <c r="EK4" s="132">
        <f>EC4</f>
        <v>119</v>
      </c>
      <c r="EL4" s="133">
        <v>0.125</v>
      </c>
      <c r="EM4" s="128">
        <f>EK4*EL4</f>
        <v>14.875</v>
      </c>
      <c r="EN4" s="133">
        <f t="shared" ref="EN4:EN40" si="19">IF(CT4=0,0,IF(CT4=1,1,IF(CT4&gt;=2,1.5)))</f>
        <v>1</v>
      </c>
      <c r="EO4" s="128">
        <f>EM4*EN4</f>
        <v>14.875</v>
      </c>
      <c r="EP4" s="134">
        <f>EH4</f>
        <v>2</v>
      </c>
      <c r="EQ4" s="127">
        <f t="shared" ref="EQ4:EQ40" si="20">IF(CT4=0,0,IF(EL4&gt;0,EO4/EP4))</f>
        <v>7.4375</v>
      </c>
      <c r="ER4" s="127"/>
      <c r="ES4" s="132">
        <f>EK4</f>
        <v>119</v>
      </c>
      <c r="ET4" s="133">
        <v>0.13</v>
      </c>
      <c r="EU4" s="128">
        <f>ES4*ET4</f>
        <v>15.47</v>
      </c>
      <c r="EV4" s="133">
        <f t="shared" ref="EV4:EV40" si="21">IF(CT4=0,0,IF(CT4=1,1,IF(CT4&gt;=2,1.5)))</f>
        <v>1</v>
      </c>
      <c r="EW4" s="128">
        <f>EU4*EV4</f>
        <v>15.47</v>
      </c>
      <c r="EX4" s="134">
        <f>EP4</f>
        <v>2</v>
      </c>
      <c r="EY4" s="127">
        <f t="shared" ref="EY4:EY40" si="22">IF(CT4=0,0,IF(ET4&gt;0,EW4/EX4))</f>
        <v>7.7350000000000003</v>
      </c>
      <c r="FA4" s="132">
        <f>EK4</f>
        <v>119</v>
      </c>
      <c r="FB4" s="133">
        <f>IF(CT4=0,0,IF(CT4=1,0.145,IF(CT4&gt;1,0.14)))</f>
        <v>0.14499999999999999</v>
      </c>
      <c r="FC4" s="128">
        <f>FA4*FB4</f>
        <v>17.254999999999999</v>
      </c>
      <c r="FD4" s="133">
        <f t="shared" ref="FD4:FD40" si="23">IF(CT4=0,0,IF(CT4=1,1,IF(CT4&gt;=2,1.5)))</f>
        <v>1</v>
      </c>
      <c r="FE4" s="128">
        <f>FC4*FD4</f>
        <v>17.254999999999999</v>
      </c>
      <c r="FF4" s="134">
        <f>EP4</f>
        <v>2</v>
      </c>
      <c r="FG4" s="127">
        <f t="shared" ref="FG4:FG40" si="24">IF(CT4=0,0,IF(FB4&gt;0,FE4/FF4))</f>
        <v>8.6274999999999995</v>
      </c>
      <c r="FI4" s="132">
        <f>FA4</f>
        <v>119</v>
      </c>
      <c r="FJ4" s="133">
        <f>IF(CT4=0,0,IF(CT4=1,0.155,IF(CT4&gt;1,0.15)))</f>
        <v>0.155</v>
      </c>
      <c r="FK4" s="128">
        <f>FI4*FJ4</f>
        <v>18.445</v>
      </c>
      <c r="FL4" s="133">
        <f t="shared" ref="FL4:FL40" si="25">IF(CT4=0,0,IF(CT4=1,1,IF(CT4&gt;=2,1.5)))</f>
        <v>1</v>
      </c>
      <c r="FM4" s="128">
        <f>FK4*FL4</f>
        <v>18.445</v>
      </c>
      <c r="FN4" s="134">
        <f>FF4</f>
        <v>2</v>
      </c>
      <c r="FO4" s="127">
        <f t="shared" ref="FO4:FO40" si="26">IF(CT4=0,0,IF(FJ4&gt;0,FM4/FN4))</f>
        <v>9.2225000000000001</v>
      </c>
      <c r="FQ4" s="132">
        <f>FI4</f>
        <v>119</v>
      </c>
      <c r="FR4" s="133">
        <f t="shared" ref="FR4:FR40" si="27">IF(CT4=0,0,IF(CT4=1,0.165,IF(CT4&gt;1,0.16)))</f>
        <v>0.16500000000000001</v>
      </c>
      <c r="FS4" s="128">
        <f>FQ4*FR4</f>
        <v>19.635000000000002</v>
      </c>
      <c r="FT4" s="133">
        <f t="shared" ref="FT4:FT40" si="28">IF(CT4=0,0,IF(CT4=1,1,IF(CT4&gt;=2,1.5)))</f>
        <v>1</v>
      </c>
      <c r="FU4" s="128">
        <f>FS4*FT4</f>
        <v>19.635000000000002</v>
      </c>
      <c r="FV4" s="134">
        <f>FN4</f>
        <v>2</v>
      </c>
      <c r="FW4" s="127">
        <f t="shared" ref="FW4:FW40" si="29">IF(CT4=0,0,IF(CT4&gt;0,FU4/FV4))</f>
        <v>9.8175000000000008</v>
      </c>
      <c r="FY4" s="132">
        <f>FQ4</f>
        <v>119</v>
      </c>
      <c r="FZ4" s="133">
        <f t="shared" ref="FZ4:FZ40" si="30">IF(CT4=0,0,IF(CT4=1,0.175,IF(CT4&gt;1,0.17)))</f>
        <v>0.17499999999999999</v>
      </c>
      <c r="GA4" s="128">
        <f>FY4*FZ4</f>
        <v>20.824999999999999</v>
      </c>
      <c r="GB4" s="133">
        <f t="shared" ref="GB4:GB40" si="31">IF(CT4=0,0,IF(CT4=1,1,IF(CT4&gt;=2,1.5)))</f>
        <v>1</v>
      </c>
      <c r="GC4" s="128">
        <f>GA4*GB4</f>
        <v>20.824999999999999</v>
      </c>
      <c r="GD4" s="134">
        <f>FV4</f>
        <v>2</v>
      </c>
      <c r="GE4" s="127">
        <f t="shared" ref="GE4:GE40" si="32">IF(CT4=0,0,IF(CT4&gt;0,GC4/GD4))</f>
        <v>10.4125</v>
      </c>
      <c r="GG4" s="132">
        <f>FY4</f>
        <v>119</v>
      </c>
      <c r="GH4" s="133">
        <f t="shared" ref="GH4:GH40" si="33">IF(CT4=0,0,IF(CT4=1,0.185,IF(CT4&gt;1,0.18)))</f>
        <v>0.185</v>
      </c>
      <c r="GI4" s="128">
        <f>GG4*GH4</f>
        <v>22.015000000000001</v>
      </c>
      <c r="GJ4" s="133">
        <f t="shared" ref="GJ4:GJ40" si="34">IF(CT4=0,0,IF(CT4=1,1,IF(CT4&gt;=2,1.5)))</f>
        <v>1</v>
      </c>
      <c r="GK4" s="128">
        <f>GI4*GJ4</f>
        <v>22.015000000000001</v>
      </c>
      <c r="GL4" s="134">
        <f>GD4</f>
        <v>2</v>
      </c>
      <c r="GM4" s="127">
        <f t="shared" ref="GM4:GM40" si="35">IF(CT4=0,0,IF(CT4&gt;0,GK4/GL4))</f>
        <v>11.0075</v>
      </c>
    </row>
    <row r="5" spans="1:236" ht="61.5" thickBot="1" x14ac:dyDescent="0.35">
      <c r="A5" s="11" t="s">
        <v>13</v>
      </c>
      <c r="B5" s="12">
        <v>275000</v>
      </c>
      <c r="C5" s="24"/>
      <c r="D5" s="7" t="s">
        <v>90</v>
      </c>
      <c r="E5" s="26">
        <f>22*1.16</f>
        <v>25.52</v>
      </c>
      <c r="F5" s="169">
        <f t="shared" ref="F5:F9" si="36">E5*3</f>
        <v>76.56</v>
      </c>
      <c r="G5" s="7" t="s">
        <v>93</v>
      </c>
      <c r="H5" s="26">
        <f>E15*1.16</f>
        <v>25.52</v>
      </c>
      <c r="I5" s="169">
        <f>H5*3</f>
        <v>76.56</v>
      </c>
      <c r="J5" s="7" t="s">
        <v>95</v>
      </c>
      <c r="K5" s="26">
        <f>34*1.16</f>
        <v>39.44</v>
      </c>
      <c r="L5" s="169">
        <f t="shared" ref="L5:L7" si="37">K5*3</f>
        <v>118.32</v>
      </c>
      <c r="N5" s="9" t="s">
        <v>21</v>
      </c>
      <c r="O5" s="15" t="s">
        <v>106</v>
      </c>
      <c r="P5" s="15" t="s">
        <v>81</v>
      </c>
      <c r="Q5" s="15" t="s">
        <v>23</v>
      </c>
      <c r="R5" s="16" t="s">
        <v>9</v>
      </c>
      <c r="T5" s="6"/>
      <c r="U5" s="225" t="s">
        <v>79</v>
      </c>
      <c r="V5" s="228" t="s">
        <v>132</v>
      </c>
      <c r="W5" s="227" t="s">
        <v>131</v>
      </c>
      <c r="X5" s="225" t="s">
        <v>129</v>
      </c>
      <c r="Y5" s="25"/>
      <c r="Z5" s="99" t="s">
        <v>0</v>
      </c>
      <c r="AA5" s="123">
        <f>4.5*10</f>
        <v>45</v>
      </c>
      <c r="AB5" s="236">
        <v>112.58</v>
      </c>
      <c r="AC5" s="142">
        <f t="shared" si="0"/>
        <v>2.7519555555555551E-2</v>
      </c>
      <c r="AD5" s="97">
        <f>AB5/100+((AB5/100)*U3)</f>
        <v>1.2383799999999998</v>
      </c>
      <c r="AE5" s="97">
        <f t="shared" si="1"/>
        <v>2.4767599999999996</v>
      </c>
      <c r="AF5" s="97">
        <f t="shared" si="2"/>
        <v>3.7151399999999994</v>
      </c>
      <c r="AG5" s="165">
        <f t="shared" si="3"/>
        <v>2.7519555555555558E-2</v>
      </c>
      <c r="AH5" s="143">
        <f>((AB5*(1+U3)/100))</f>
        <v>1.23838</v>
      </c>
      <c r="AI5" s="144">
        <f t="shared" si="4"/>
        <v>2.4767600000000001</v>
      </c>
      <c r="AJ5" s="145">
        <f t="shared" si="5"/>
        <v>3.7151399999999999</v>
      </c>
      <c r="AK5" s="47">
        <f>AK4</f>
        <v>2.262</v>
      </c>
      <c r="AL5" s="46">
        <f t="shared" ref="AL5:AR20" si="38">AL4</f>
        <v>1.131</v>
      </c>
      <c r="AM5" s="49">
        <f t="shared" si="38"/>
        <v>0.754</v>
      </c>
      <c r="AN5" s="111">
        <f t="shared" ref="AN5:AN53" si="39">AK5/4</f>
        <v>0.5655</v>
      </c>
      <c r="AO5" s="50">
        <f>AO4</f>
        <v>1.218</v>
      </c>
      <c r="AP5" s="48">
        <f>AP4</f>
        <v>2.4359999999999999</v>
      </c>
      <c r="AQ5" s="51">
        <f>AQ4</f>
        <v>3.6539999999999999</v>
      </c>
      <c r="AR5" s="52">
        <f>AR4</f>
        <v>2.3242049999999996</v>
      </c>
      <c r="AS5" s="45">
        <f t="shared" ref="AS5:AU20" si="40">AS4</f>
        <v>4.6484099999999993</v>
      </c>
      <c r="AT5" s="161">
        <f t="shared" si="40"/>
        <v>6.9726149999999993</v>
      </c>
      <c r="AU5" s="163">
        <f t="shared" ref="AU5:AZ5" si="41">AU4</f>
        <v>1.1000000000000001</v>
      </c>
      <c r="AV5" s="78" t="str">
        <f t="shared" si="41"/>
        <v>5X7</v>
      </c>
      <c r="AW5" s="78">
        <f t="shared" si="41"/>
        <v>35</v>
      </c>
      <c r="AX5" s="35">
        <f t="shared" si="41"/>
        <v>0.97977000000000003</v>
      </c>
      <c r="AY5" s="36">
        <f t="shared" si="41"/>
        <v>1.9595400000000001</v>
      </c>
      <c r="AZ5" s="58">
        <f t="shared" si="41"/>
        <v>2.9393099999999999</v>
      </c>
      <c r="BB5" s="31" t="str">
        <f>BB4</f>
        <v>4.5X10</v>
      </c>
      <c r="BC5" s="78">
        <f>BC4</f>
        <v>45</v>
      </c>
      <c r="BD5" s="35">
        <f>BD4</f>
        <v>1.23838</v>
      </c>
      <c r="BE5" s="36">
        <f>BE4</f>
        <v>2.4767600000000001</v>
      </c>
      <c r="BF5" s="58">
        <f>BF4</f>
        <v>3.7151399999999999</v>
      </c>
      <c r="BH5" s="31" t="str">
        <f>BH4</f>
        <v>4.5X17</v>
      </c>
      <c r="BI5" s="78">
        <f>BI4</f>
        <v>76.5</v>
      </c>
      <c r="BJ5" s="35">
        <f>BJ4</f>
        <v>1.9836300000000002</v>
      </c>
      <c r="BK5" s="36">
        <f>BK4</f>
        <v>3.9672600000000005</v>
      </c>
      <c r="BL5" s="58">
        <f>BL4</f>
        <v>5.9508900000000011</v>
      </c>
      <c r="BN5" s="31" t="str">
        <f>BN4</f>
        <v>8X10</v>
      </c>
      <c r="BO5" s="78">
        <f>BO4</f>
        <v>80</v>
      </c>
      <c r="BP5" s="35">
        <f>BP4</f>
        <v>2.0702000000000003</v>
      </c>
      <c r="BQ5" s="36">
        <f>BQ4</f>
        <v>4.1404000000000005</v>
      </c>
      <c r="BR5" s="58">
        <f>BR4</f>
        <v>6.2106000000000012</v>
      </c>
      <c r="BT5" s="31" t="str">
        <f>BT4</f>
        <v>7X17</v>
      </c>
      <c r="BU5" s="78">
        <f>BU4</f>
        <v>119</v>
      </c>
      <c r="BV5" s="35">
        <f>BV4</f>
        <v>3.0300600000000002</v>
      </c>
      <c r="BW5" s="36">
        <f>BW4</f>
        <v>6.0601200000000004</v>
      </c>
      <c r="BX5" s="58">
        <f>BX4</f>
        <v>9.0901800000000001</v>
      </c>
      <c r="BZ5" s="31" t="str">
        <f>BZ4</f>
        <v>10X12</v>
      </c>
      <c r="CA5" s="78">
        <f>CA4</f>
        <v>120</v>
      </c>
      <c r="CB5" s="35">
        <f>CB4</f>
        <v>3.0453500000000004</v>
      </c>
      <c r="CC5" s="36">
        <f>CC4</f>
        <v>6.0907000000000009</v>
      </c>
      <c r="CD5" s="58">
        <f>CD4</f>
        <v>9.1360500000000009</v>
      </c>
      <c r="CF5" s="31" t="str">
        <f>CF4</f>
        <v>11X14</v>
      </c>
      <c r="CG5" s="78">
        <f>CG4</f>
        <v>154</v>
      </c>
      <c r="CH5" s="35">
        <f>CH4</f>
        <v>3.8582500000000004</v>
      </c>
      <c r="CI5" s="36">
        <f>CI4</f>
        <v>7.7165000000000008</v>
      </c>
      <c r="CJ5" s="58">
        <f>CJ4</f>
        <v>11.574750000000002</v>
      </c>
      <c r="CL5" s="31" t="str">
        <f>CL4</f>
        <v>14X17</v>
      </c>
      <c r="CM5" s="78">
        <f>CM4</f>
        <v>238</v>
      </c>
      <c r="CN5" s="35">
        <f>CN4</f>
        <v>5.9076599999999999</v>
      </c>
      <c r="CO5" s="36">
        <f>CO4</f>
        <v>11.81532</v>
      </c>
      <c r="CP5" s="58">
        <f>CP4</f>
        <v>17.72298</v>
      </c>
      <c r="CR5" s="208"/>
      <c r="CS5" s="230">
        <v>2</v>
      </c>
      <c r="CT5" s="217">
        <v>1</v>
      </c>
      <c r="CU5" s="232">
        <v>2</v>
      </c>
      <c r="CV5" s="208"/>
      <c r="CW5" s="253">
        <v>119</v>
      </c>
      <c r="CX5" s="208"/>
      <c r="CY5" s="251">
        <f>CY4</f>
        <v>1</v>
      </c>
      <c r="CZ5" s="250">
        <f>CZ4</f>
        <v>1</v>
      </c>
      <c r="DA5" s="248">
        <v>2</v>
      </c>
      <c r="DB5" s="248">
        <f>DB4</f>
        <v>1</v>
      </c>
      <c r="DC5" s="264"/>
      <c r="DD5" s="257" t="s">
        <v>0</v>
      </c>
      <c r="DE5" s="247">
        <f>4.5*10</f>
        <v>45</v>
      </c>
      <c r="DF5" s="199">
        <v>0.7</v>
      </c>
      <c r="DG5" s="195">
        <f t="shared" si="6"/>
        <v>2.262</v>
      </c>
      <c r="DH5" s="81">
        <f t="shared" si="7"/>
        <v>1.131</v>
      </c>
      <c r="DI5" s="81">
        <f t="shared" si="8"/>
        <v>0.60899999999999999</v>
      </c>
      <c r="DJ5" s="81">
        <f t="shared" si="9"/>
        <v>1.1621024999999998</v>
      </c>
      <c r="DK5" s="82">
        <f t="shared" ref="DK5:DK42" si="42">DI5+DJ5+DG5+DH5</f>
        <v>5.1641025000000003</v>
      </c>
      <c r="DM5" s="83">
        <f t="shared" si="10"/>
        <v>3.0300600000000002</v>
      </c>
      <c r="DN5" s="84">
        <f t="shared" si="11"/>
        <v>6.0601200000000004</v>
      </c>
      <c r="DO5" s="84">
        <f t="shared" si="12"/>
        <v>9.0901800000000001</v>
      </c>
      <c r="DP5" s="104"/>
      <c r="DQ5" s="85">
        <f t="shared" si="13"/>
        <v>3.0300600000000002</v>
      </c>
      <c r="DR5" s="108">
        <f t="shared" si="14"/>
        <v>1.5150300000000001</v>
      </c>
      <c r="DS5" s="244">
        <f t="shared" ref="DS5:DS40" si="43">DR5+DK5</f>
        <v>6.6791325000000006</v>
      </c>
      <c r="DT5" s="113"/>
      <c r="DU5" s="132">
        <f t="shared" si="15"/>
        <v>119</v>
      </c>
      <c r="DV5" s="133">
        <f t="shared" si="16"/>
        <v>0.09</v>
      </c>
      <c r="DW5" s="128">
        <f t="shared" ref="DW5:DW40" si="44">DU5*DV5</f>
        <v>10.709999999999999</v>
      </c>
      <c r="DX5" s="133">
        <f t="shared" ref="DX5:DX40" si="45">IF(DV5=0,0,IF(DV5=0.085,1.5,IF(DV5&gt;0.085,1)))</f>
        <v>1</v>
      </c>
      <c r="DY5" s="128">
        <f t="shared" ref="DY5:DY40" si="46">DW5*DX5</f>
        <v>10.709999999999999</v>
      </c>
      <c r="DZ5" s="126">
        <f t="shared" si="17"/>
        <v>2</v>
      </c>
      <c r="EA5" s="127">
        <f t="shared" ref="EA5:EA34" si="47">IF(DZ5=0,0,IF(DZ5&gt;0,DY5/DZ5))</f>
        <v>5.3549999999999995</v>
      </c>
      <c r="EC5" s="132">
        <f t="shared" ref="EC5:EC40" si="48">DU5</f>
        <v>119</v>
      </c>
      <c r="ED5" s="133">
        <v>0.115</v>
      </c>
      <c r="EE5" s="128">
        <f t="shared" ref="EE5:EE40" si="49">EC5*ED5</f>
        <v>13.685</v>
      </c>
      <c r="EF5" s="133">
        <f t="shared" si="18"/>
        <v>1</v>
      </c>
      <c r="EG5" s="128">
        <f t="shared" ref="EG5:EG40" si="50">EE5*EF5</f>
        <v>13.685</v>
      </c>
      <c r="EH5" s="134">
        <f t="shared" ref="EH5:EH40" si="51">DZ5</f>
        <v>2</v>
      </c>
      <c r="EI5" s="127">
        <f t="shared" ref="EI5:EI40" si="52">IF(EH5=0,0,IF(EH5&gt;0,EG5/EH5))</f>
        <v>6.8425000000000002</v>
      </c>
      <c r="EK5" s="132">
        <f t="shared" ref="EK5:EK40" si="53">EC5</f>
        <v>119</v>
      </c>
      <c r="EL5" s="133">
        <f>EL4</f>
        <v>0.125</v>
      </c>
      <c r="EM5" s="128">
        <f t="shared" ref="EM5:EM40" si="54">EK5*EL5</f>
        <v>14.875</v>
      </c>
      <c r="EN5" s="133">
        <f t="shared" si="19"/>
        <v>1</v>
      </c>
      <c r="EO5" s="128">
        <f t="shared" ref="EO5:EO40" si="55">EM5*EN5</f>
        <v>14.875</v>
      </c>
      <c r="EP5" s="134">
        <f t="shared" ref="EP5:EP40" si="56">EH5</f>
        <v>2</v>
      </c>
      <c r="EQ5" s="127">
        <f t="shared" si="20"/>
        <v>7.4375</v>
      </c>
      <c r="ER5" s="127"/>
      <c r="ES5" s="132">
        <f t="shared" ref="ES5:ES40" si="57">EK5</f>
        <v>119</v>
      </c>
      <c r="ET5" s="133">
        <f>ET4</f>
        <v>0.13</v>
      </c>
      <c r="EU5" s="128">
        <f t="shared" ref="EU5:EU40" si="58">ES5*ET5</f>
        <v>15.47</v>
      </c>
      <c r="EV5" s="133">
        <f t="shared" si="21"/>
        <v>1</v>
      </c>
      <c r="EW5" s="128">
        <f t="shared" ref="EW5:EW40" si="59">EU5*EV5</f>
        <v>15.47</v>
      </c>
      <c r="EX5" s="134">
        <f t="shared" ref="EX5:EX40" si="60">EP5</f>
        <v>2</v>
      </c>
      <c r="EY5" s="127">
        <f t="shared" si="22"/>
        <v>7.7350000000000003</v>
      </c>
      <c r="FA5" s="132">
        <f t="shared" ref="FA5:FA40" si="61">EK5</f>
        <v>119</v>
      </c>
      <c r="FB5" s="133">
        <f>IF(CT5=0,0,IF(CT5=1,0.145,IF(CT5&gt;1,0.14)))</f>
        <v>0.14499999999999999</v>
      </c>
      <c r="FC5" s="128">
        <f t="shared" ref="FC5:FC40" si="62">FA5*FB5</f>
        <v>17.254999999999999</v>
      </c>
      <c r="FD5" s="133">
        <f t="shared" si="23"/>
        <v>1</v>
      </c>
      <c r="FE5" s="128">
        <f t="shared" ref="FE5:FE40" si="63">FC5*FD5</f>
        <v>17.254999999999999</v>
      </c>
      <c r="FF5" s="134">
        <f t="shared" ref="FF5:FF40" si="64">EP5</f>
        <v>2</v>
      </c>
      <c r="FG5" s="127">
        <f t="shared" si="24"/>
        <v>8.6274999999999995</v>
      </c>
      <c r="FI5" s="132">
        <f t="shared" ref="FI5:FI40" si="65">FA5</f>
        <v>119</v>
      </c>
      <c r="FJ5" s="133">
        <f>IF(CT5=0,0,IF(CT5=1,0.155,IF(CT5&gt;1,0.15)))</f>
        <v>0.155</v>
      </c>
      <c r="FK5" s="128">
        <f t="shared" ref="FK5:FK40" si="66">FI5*FJ5</f>
        <v>18.445</v>
      </c>
      <c r="FL5" s="133">
        <f t="shared" si="25"/>
        <v>1</v>
      </c>
      <c r="FM5" s="128">
        <f t="shared" ref="FM5:FM40" si="67">FK5*FL5</f>
        <v>18.445</v>
      </c>
      <c r="FN5" s="134">
        <f t="shared" ref="FN5:FN40" si="68">FF5</f>
        <v>2</v>
      </c>
      <c r="FO5" s="127">
        <f t="shared" si="26"/>
        <v>9.2225000000000001</v>
      </c>
      <c r="FQ5" s="132">
        <f t="shared" ref="FQ5:FQ40" si="69">FI5</f>
        <v>119</v>
      </c>
      <c r="FR5" s="133">
        <f t="shared" si="27"/>
        <v>0.16500000000000001</v>
      </c>
      <c r="FS5" s="128">
        <f t="shared" ref="FS5:FS40" si="70">FQ5*FR5</f>
        <v>19.635000000000002</v>
      </c>
      <c r="FT5" s="133">
        <f t="shared" si="28"/>
        <v>1</v>
      </c>
      <c r="FU5" s="128">
        <f t="shared" ref="FU5:FU40" si="71">FS5*FT5</f>
        <v>19.635000000000002</v>
      </c>
      <c r="FV5" s="134">
        <f t="shared" ref="FV5:FV40" si="72">FN5</f>
        <v>2</v>
      </c>
      <c r="FW5" s="127">
        <f t="shared" si="29"/>
        <v>9.8175000000000008</v>
      </c>
      <c r="FY5" s="132">
        <f t="shared" ref="FY5:FY40" si="73">FQ5</f>
        <v>119</v>
      </c>
      <c r="FZ5" s="133">
        <f t="shared" si="30"/>
        <v>0.17499999999999999</v>
      </c>
      <c r="GA5" s="128">
        <f t="shared" ref="GA5:GA40" si="74">FY5*FZ5</f>
        <v>20.824999999999999</v>
      </c>
      <c r="GB5" s="133">
        <f t="shared" si="31"/>
        <v>1</v>
      </c>
      <c r="GC5" s="128">
        <f t="shared" ref="GC5:GC40" si="75">GA5*GB5</f>
        <v>20.824999999999999</v>
      </c>
      <c r="GD5" s="134">
        <f t="shared" ref="GD5:GD40" si="76">FV5</f>
        <v>2</v>
      </c>
      <c r="GE5" s="127">
        <f t="shared" si="32"/>
        <v>10.4125</v>
      </c>
      <c r="GG5" s="132">
        <f t="shared" ref="GG5:GG40" si="77">FY5</f>
        <v>119</v>
      </c>
      <c r="GH5" s="133">
        <f t="shared" si="33"/>
        <v>0.185</v>
      </c>
      <c r="GI5" s="128">
        <f t="shared" ref="GI5:GI40" si="78">GG5*GH5</f>
        <v>22.015000000000001</v>
      </c>
      <c r="GJ5" s="133">
        <f t="shared" si="34"/>
        <v>1</v>
      </c>
      <c r="GK5" s="128">
        <f t="shared" ref="GK5:GK40" si="79">GI5*GJ5</f>
        <v>22.015000000000001</v>
      </c>
      <c r="GL5" s="134">
        <f t="shared" ref="GL5:GL40" si="80">GD5</f>
        <v>2</v>
      </c>
      <c r="GM5" s="127">
        <f t="shared" si="35"/>
        <v>11.0075</v>
      </c>
    </row>
    <row r="6" spans="1:236" ht="42.75" thickBot="1" x14ac:dyDescent="0.4">
      <c r="A6" s="3"/>
      <c r="B6" s="4"/>
      <c r="D6" s="7" t="s">
        <v>91</v>
      </c>
      <c r="E6" s="26">
        <f>22*1.16</f>
        <v>25.52</v>
      </c>
      <c r="F6" s="169">
        <f t="shared" si="36"/>
        <v>76.56</v>
      </c>
      <c r="G6" s="3"/>
      <c r="I6" s="4"/>
      <c r="J6" s="7" t="s">
        <v>123</v>
      </c>
      <c r="K6" s="26">
        <f>37*1.16</f>
        <v>42.919999999999995</v>
      </c>
      <c r="L6" s="169">
        <f t="shared" si="37"/>
        <v>128.76</v>
      </c>
      <c r="N6" s="17">
        <f>I8/2</f>
        <v>73.08</v>
      </c>
      <c r="O6" s="18">
        <f>N6/2</f>
        <v>36.54</v>
      </c>
      <c r="P6" s="18">
        <f>N6</f>
        <v>73.08</v>
      </c>
      <c r="Q6" s="21">
        <v>0</v>
      </c>
      <c r="R6" s="19">
        <f>P6/60</f>
        <v>1.218</v>
      </c>
      <c r="T6" s="110" t="s">
        <v>60</v>
      </c>
      <c r="U6" s="224">
        <f>DS2</f>
        <v>323.68848749999995</v>
      </c>
      <c r="V6" s="269">
        <f>U6*(1+V3)</f>
        <v>356.05733624999999</v>
      </c>
      <c r="W6" s="226">
        <f>U6*(1+W3)</f>
        <v>372.24176062499993</v>
      </c>
      <c r="X6" s="226">
        <f>U6*(1+X3)</f>
        <v>469.34830687499993</v>
      </c>
      <c r="Y6" s="148" t="s">
        <v>8</v>
      </c>
      <c r="Z6" s="155" t="s">
        <v>1</v>
      </c>
      <c r="AA6" s="124">
        <f>4.5*17</f>
        <v>76.5</v>
      </c>
      <c r="AB6" s="237">
        <v>180.33</v>
      </c>
      <c r="AC6" s="142">
        <f t="shared" si="0"/>
        <v>2.5929803921568632E-2</v>
      </c>
      <c r="AD6" s="97">
        <f>AB6/100+((AB6/100)*U3)</f>
        <v>1.9836300000000002</v>
      </c>
      <c r="AE6" s="97">
        <f t="shared" si="1"/>
        <v>3.9672600000000005</v>
      </c>
      <c r="AF6" s="97">
        <f t="shared" si="2"/>
        <v>5.9508900000000011</v>
      </c>
      <c r="AG6" s="165">
        <f t="shared" si="3"/>
        <v>2.5929803921568632E-2</v>
      </c>
      <c r="AH6" s="143">
        <f>((AB6*(1+U3)/100))</f>
        <v>1.9836300000000002</v>
      </c>
      <c r="AI6" s="144">
        <f t="shared" si="4"/>
        <v>3.9672600000000005</v>
      </c>
      <c r="AJ6" s="145">
        <f t="shared" si="5"/>
        <v>5.9508900000000011</v>
      </c>
      <c r="AK6" s="47">
        <f t="shared" ref="AK6:AM52" si="81">AK5</f>
        <v>2.262</v>
      </c>
      <c r="AL6" s="46">
        <f t="shared" si="38"/>
        <v>1.131</v>
      </c>
      <c r="AM6" s="49">
        <f t="shared" si="38"/>
        <v>0.754</v>
      </c>
      <c r="AN6" s="111">
        <f t="shared" si="39"/>
        <v>0.5655</v>
      </c>
      <c r="AO6" s="50">
        <f t="shared" si="38"/>
        <v>1.218</v>
      </c>
      <c r="AP6" s="48">
        <f t="shared" si="38"/>
        <v>2.4359999999999999</v>
      </c>
      <c r="AQ6" s="51">
        <f t="shared" si="38"/>
        <v>3.6539999999999999</v>
      </c>
      <c r="AR6" s="52">
        <f t="shared" si="38"/>
        <v>2.3242049999999996</v>
      </c>
      <c r="AS6" s="45">
        <f t="shared" si="40"/>
        <v>4.6484099999999993</v>
      </c>
      <c r="AT6" s="161">
        <f t="shared" si="40"/>
        <v>6.9726149999999993</v>
      </c>
      <c r="AU6" s="163">
        <f t="shared" si="40"/>
        <v>1.1000000000000001</v>
      </c>
      <c r="AV6" s="78" t="str">
        <f t="shared" ref="AV6:AZ21" si="82">AV5</f>
        <v>5X7</v>
      </c>
      <c r="AW6" s="78">
        <f t="shared" si="82"/>
        <v>35</v>
      </c>
      <c r="AX6" s="35">
        <f t="shared" si="82"/>
        <v>0.97977000000000003</v>
      </c>
      <c r="AY6" s="36">
        <f t="shared" si="82"/>
        <v>1.9595400000000001</v>
      </c>
      <c r="AZ6" s="58">
        <f t="shared" si="82"/>
        <v>2.9393099999999999</v>
      </c>
      <c r="BB6" s="31" t="str">
        <f t="shared" ref="BB6:BF21" si="83">BB5</f>
        <v>4.5X10</v>
      </c>
      <c r="BC6" s="78">
        <f t="shared" si="83"/>
        <v>45</v>
      </c>
      <c r="BD6" s="35">
        <f t="shared" si="83"/>
        <v>1.23838</v>
      </c>
      <c r="BE6" s="36">
        <f t="shared" si="83"/>
        <v>2.4767600000000001</v>
      </c>
      <c r="BF6" s="58">
        <f t="shared" si="83"/>
        <v>3.7151399999999999</v>
      </c>
      <c r="BH6" s="31" t="str">
        <f t="shared" ref="BH6:BL21" si="84">BH5</f>
        <v>4.5X17</v>
      </c>
      <c r="BI6" s="78">
        <f t="shared" si="84"/>
        <v>76.5</v>
      </c>
      <c r="BJ6" s="35">
        <f t="shared" si="84"/>
        <v>1.9836300000000002</v>
      </c>
      <c r="BK6" s="36">
        <f t="shared" si="84"/>
        <v>3.9672600000000005</v>
      </c>
      <c r="BL6" s="58">
        <f t="shared" si="84"/>
        <v>5.9508900000000011</v>
      </c>
      <c r="BN6" s="31" t="str">
        <f t="shared" ref="BN6:BR21" si="85">BN5</f>
        <v>8X10</v>
      </c>
      <c r="BO6" s="78">
        <f t="shared" si="85"/>
        <v>80</v>
      </c>
      <c r="BP6" s="35">
        <f t="shared" si="85"/>
        <v>2.0702000000000003</v>
      </c>
      <c r="BQ6" s="36">
        <f t="shared" si="85"/>
        <v>4.1404000000000005</v>
      </c>
      <c r="BR6" s="58">
        <f t="shared" si="85"/>
        <v>6.2106000000000012</v>
      </c>
      <c r="BT6" s="31" t="str">
        <f t="shared" ref="BT6:BX21" si="86">BT5</f>
        <v>7X17</v>
      </c>
      <c r="BU6" s="78">
        <f t="shared" si="86"/>
        <v>119</v>
      </c>
      <c r="BV6" s="35">
        <f t="shared" si="86"/>
        <v>3.0300600000000002</v>
      </c>
      <c r="BW6" s="36">
        <f t="shared" si="86"/>
        <v>6.0601200000000004</v>
      </c>
      <c r="BX6" s="58">
        <f t="shared" si="86"/>
        <v>9.0901800000000001</v>
      </c>
      <c r="BZ6" s="31" t="str">
        <f t="shared" ref="BZ6:CD21" si="87">BZ5</f>
        <v>10X12</v>
      </c>
      <c r="CA6" s="78">
        <f t="shared" si="87"/>
        <v>120</v>
      </c>
      <c r="CB6" s="35">
        <f t="shared" si="87"/>
        <v>3.0453500000000004</v>
      </c>
      <c r="CC6" s="36">
        <f t="shared" si="87"/>
        <v>6.0907000000000009</v>
      </c>
      <c r="CD6" s="58">
        <f t="shared" si="87"/>
        <v>9.1360500000000009</v>
      </c>
      <c r="CF6" s="31" t="str">
        <f t="shared" ref="CF6:CJ21" si="88">CF5</f>
        <v>11X14</v>
      </c>
      <c r="CG6" s="78">
        <f t="shared" si="88"/>
        <v>154</v>
      </c>
      <c r="CH6" s="35">
        <f t="shared" si="88"/>
        <v>3.8582500000000004</v>
      </c>
      <c r="CI6" s="36">
        <f t="shared" si="88"/>
        <v>7.7165000000000008</v>
      </c>
      <c r="CJ6" s="58">
        <f t="shared" si="88"/>
        <v>11.574750000000002</v>
      </c>
      <c r="CL6" s="31" t="str">
        <f t="shared" ref="CL6:CP21" si="89">CL5</f>
        <v>14X17</v>
      </c>
      <c r="CM6" s="78">
        <f t="shared" si="89"/>
        <v>238</v>
      </c>
      <c r="CN6" s="35">
        <f t="shared" si="89"/>
        <v>5.9076599999999999</v>
      </c>
      <c r="CO6" s="36">
        <f t="shared" si="89"/>
        <v>11.81532</v>
      </c>
      <c r="CP6" s="58">
        <f t="shared" si="89"/>
        <v>17.72298</v>
      </c>
      <c r="CR6" s="208"/>
      <c r="CS6" s="230">
        <v>3</v>
      </c>
      <c r="CT6" s="217">
        <v>1</v>
      </c>
      <c r="CU6" s="232">
        <v>2</v>
      </c>
      <c r="CV6" s="208"/>
      <c r="CW6" s="253">
        <v>119</v>
      </c>
      <c r="CX6" s="208"/>
      <c r="CY6" s="251">
        <f t="shared" ref="CY6:CY18" si="90">CY5</f>
        <v>1</v>
      </c>
      <c r="CZ6" s="250">
        <f t="shared" ref="CZ6:CZ18" si="91">CZ5</f>
        <v>1</v>
      </c>
      <c r="DA6" s="248">
        <f t="shared" ref="DA6:DA52" si="92">DA5</f>
        <v>2</v>
      </c>
      <c r="DB6" s="248">
        <f t="shared" ref="DB6:DB52" si="93">DB5</f>
        <v>1</v>
      </c>
      <c r="DC6" s="264"/>
      <c r="DD6" s="257" t="s">
        <v>1</v>
      </c>
      <c r="DE6" s="247">
        <f>4.5*17</f>
        <v>76.5</v>
      </c>
      <c r="DF6" s="199">
        <v>0.9</v>
      </c>
      <c r="DG6" s="195">
        <f t="shared" si="6"/>
        <v>2.262</v>
      </c>
      <c r="DH6" s="81">
        <f t="shared" si="7"/>
        <v>1.131</v>
      </c>
      <c r="DI6" s="81">
        <f t="shared" si="8"/>
        <v>0.60899999999999999</v>
      </c>
      <c r="DJ6" s="81">
        <f t="shared" si="9"/>
        <v>1.1621024999999998</v>
      </c>
      <c r="DK6" s="82">
        <f t="shared" si="42"/>
        <v>5.1641025000000003</v>
      </c>
      <c r="DM6" s="83">
        <f t="shared" si="10"/>
        <v>3.0300600000000002</v>
      </c>
      <c r="DN6" s="84">
        <f t="shared" si="11"/>
        <v>6.0601200000000004</v>
      </c>
      <c r="DO6" s="84">
        <f t="shared" si="12"/>
        <v>9.0901800000000001</v>
      </c>
      <c r="DP6" s="104"/>
      <c r="DQ6" s="85">
        <f t="shared" si="13"/>
        <v>3.0300600000000002</v>
      </c>
      <c r="DR6" s="108">
        <f t="shared" si="14"/>
        <v>1.5150300000000001</v>
      </c>
      <c r="DS6" s="244">
        <f t="shared" si="43"/>
        <v>6.6791325000000006</v>
      </c>
      <c r="DT6" s="113"/>
      <c r="DU6" s="132">
        <f t="shared" si="15"/>
        <v>119</v>
      </c>
      <c r="DV6" s="133">
        <f t="shared" si="16"/>
        <v>0.09</v>
      </c>
      <c r="DW6" s="128">
        <f t="shared" si="44"/>
        <v>10.709999999999999</v>
      </c>
      <c r="DX6" s="133">
        <f t="shared" si="45"/>
        <v>1</v>
      </c>
      <c r="DY6" s="128">
        <f t="shared" si="46"/>
        <v>10.709999999999999</v>
      </c>
      <c r="DZ6" s="126">
        <f t="shared" si="17"/>
        <v>2</v>
      </c>
      <c r="EA6" s="127">
        <f t="shared" si="47"/>
        <v>5.3549999999999995</v>
      </c>
      <c r="EC6" s="132">
        <f t="shared" si="48"/>
        <v>119</v>
      </c>
      <c r="ED6" s="133">
        <v>0.115</v>
      </c>
      <c r="EE6" s="128">
        <f t="shared" si="49"/>
        <v>13.685</v>
      </c>
      <c r="EF6" s="133">
        <f t="shared" si="18"/>
        <v>1</v>
      </c>
      <c r="EG6" s="128">
        <f t="shared" si="50"/>
        <v>13.685</v>
      </c>
      <c r="EH6" s="134">
        <f t="shared" si="51"/>
        <v>2</v>
      </c>
      <c r="EI6" s="127">
        <f t="shared" si="52"/>
        <v>6.8425000000000002</v>
      </c>
      <c r="EK6" s="132">
        <f t="shared" si="53"/>
        <v>119</v>
      </c>
      <c r="EL6" s="133">
        <f t="shared" ref="EL6:EL53" si="94">EL5</f>
        <v>0.125</v>
      </c>
      <c r="EM6" s="128">
        <f t="shared" si="54"/>
        <v>14.875</v>
      </c>
      <c r="EN6" s="133">
        <f t="shared" si="19"/>
        <v>1</v>
      </c>
      <c r="EO6" s="128">
        <f t="shared" si="55"/>
        <v>14.875</v>
      </c>
      <c r="EP6" s="134">
        <f t="shared" si="56"/>
        <v>2</v>
      </c>
      <c r="EQ6" s="127">
        <f t="shared" si="20"/>
        <v>7.4375</v>
      </c>
      <c r="ER6" s="127"/>
      <c r="ES6" s="132">
        <f t="shared" si="57"/>
        <v>119</v>
      </c>
      <c r="ET6" s="133">
        <f t="shared" ref="ET6:ET53" si="95">ET5</f>
        <v>0.13</v>
      </c>
      <c r="EU6" s="128">
        <f t="shared" si="58"/>
        <v>15.47</v>
      </c>
      <c r="EV6" s="133">
        <f t="shared" si="21"/>
        <v>1</v>
      </c>
      <c r="EW6" s="128">
        <f t="shared" si="59"/>
        <v>15.47</v>
      </c>
      <c r="EX6" s="134">
        <f t="shared" si="60"/>
        <v>2</v>
      </c>
      <c r="EY6" s="127">
        <f t="shared" si="22"/>
        <v>7.7350000000000003</v>
      </c>
      <c r="FA6" s="132">
        <f t="shared" si="61"/>
        <v>119</v>
      </c>
      <c r="FB6" s="133">
        <f>IF(CT6=0,0,IF(CT6=1,0.145,IF(CT6&gt;1,0.14)))</f>
        <v>0.14499999999999999</v>
      </c>
      <c r="FC6" s="128">
        <f t="shared" si="62"/>
        <v>17.254999999999999</v>
      </c>
      <c r="FD6" s="133">
        <f t="shared" si="23"/>
        <v>1</v>
      </c>
      <c r="FE6" s="128">
        <f t="shared" si="63"/>
        <v>17.254999999999999</v>
      </c>
      <c r="FF6" s="134">
        <f t="shared" si="64"/>
        <v>2</v>
      </c>
      <c r="FG6" s="127">
        <f t="shared" si="24"/>
        <v>8.6274999999999995</v>
      </c>
      <c r="FI6" s="132">
        <f t="shared" si="65"/>
        <v>119</v>
      </c>
      <c r="FJ6" s="133">
        <f>IF(CT6=0,0,IF(CT6=1,0.155,IF(CT6&gt;1,0.15)))</f>
        <v>0.155</v>
      </c>
      <c r="FK6" s="128">
        <f t="shared" si="66"/>
        <v>18.445</v>
      </c>
      <c r="FL6" s="133">
        <f t="shared" si="25"/>
        <v>1</v>
      </c>
      <c r="FM6" s="128">
        <f t="shared" si="67"/>
        <v>18.445</v>
      </c>
      <c r="FN6" s="134">
        <f t="shared" si="68"/>
        <v>2</v>
      </c>
      <c r="FO6" s="127">
        <f t="shared" si="26"/>
        <v>9.2225000000000001</v>
      </c>
      <c r="FQ6" s="132">
        <f t="shared" si="69"/>
        <v>119</v>
      </c>
      <c r="FR6" s="133">
        <f t="shared" si="27"/>
        <v>0.16500000000000001</v>
      </c>
      <c r="FS6" s="128">
        <f t="shared" si="70"/>
        <v>19.635000000000002</v>
      </c>
      <c r="FT6" s="133">
        <f t="shared" si="28"/>
        <v>1</v>
      </c>
      <c r="FU6" s="128">
        <f t="shared" si="71"/>
        <v>19.635000000000002</v>
      </c>
      <c r="FV6" s="134">
        <f t="shared" si="72"/>
        <v>2</v>
      </c>
      <c r="FW6" s="127">
        <f t="shared" si="29"/>
        <v>9.8175000000000008</v>
      </c>
      <c r="FY6" s="132">
        <f t="shared" si="73"/>
        <v>119</v>
      </c>
      <c r="FZ6" s="133">
        <f t="shared" si="30"/>
        <v>0.17499999999999999</v>
      </c>
      <c r="GA6" s="128">
        <f t="shared" si="74"/>
        <v>20.824999999999999</v>
      </c>
      <c r="GB6" s="133">
        <f t="shared" si="31"/>
        <v>1</v>
      </c>
      <c r="GC6" s="128">
        <f t="shared" si="75"/>
        <v>20.824999999999999</v>
      </c>
      <c r="GD6" s="134">
        <f t="shared" si="76"/>
        <v>2</v>
      </c>
      <c r="GE6" s="127">
        <f t="shared" si="32"/>
        <v>10.4125</v>
      </c>
      <c r="GG6" s="132">
        <f t="shared" si="77"/>
        <v>119</v>
      </c>
      <c r="GH6" s="133">
        <f t="shared" si="33"/>
        <v>0.185</v>
      </c>
      <c r="GI6" s="128">
        <f t="shared" si="78"/>
        <v>22.015000000000001</v>
      </c>
      <c r="GJ6" s="133">
        <f t="shared" si="34"/>
        <v>1</v>
      </c>
      <c r="GK6" s="128">
        <f t="shared" si="79"/>
        <v>22.015000000000001</v>
      </c>
      <c r="GL6" s="134">
        <f t="shared" si="80"/>
        <v>2</v>
      </c>
      <c r="GM6" s="127">
        <f t="shared" si="35"/>
        <v>11.0075</v>
      </c>
    </row>
    <row r="7" spans="1:236" ht="46.5" thickBot="1" x14ac:dyDescent="0.35">
      <c r="A7" s="13" t="s">
        <v>14</v>
      </c>
      <c r="B7" s="14">
        <f>B3/B5</f>
        <v>0.49090909090909091</v>
      </c>
      <c r="C7" s="166"/>
      <c r="D7" s="7" t="s">
        <v>112</v>
      </c>
      <c r="E7" s="26">
        <f>E22*1.16</f>
        <v>34.799999999999997</v>
      </c>
      <c r="F7" s="169">
        <f t="shared" si="36"/>
        <v>104.39999999999999</v>
      </c>
      <c r="G7" s="172"/>
      <c r="H7" s="24"/>
      <c r="I7" s="12"/>
      <c r="J7" s="7" t="s">
        <v>20</v>
      </c>
      <c r="K7" s="26">
        <f>55.29*1.16</f>
        <v>64.136399999999995</v>
      </c>
      <c r="L7" s="169">
        <f t="shared" si="37"/>
        <v>192.4092</v>
      </c>
      <c r="N7" s="9" t="s">
        <v>22</v>
      </c>
      <c r="O7" s="15" t="s">
        <v>107</v>
      </c>
      <c r="P7" s="15" t="s">
        <v>81</v>
      </c>
      <c r="Q7" s="15" t="s">
        <v>23</v>
      </c>
      <c r="R7" s="16" t="s">
        <v>9</v>
      </c>
      <c r="T7" s="1" t="s">
        <v>8</v>
      </c>
      <c r="X7" s="121"/>
      <c r="Z7" s="155" t="s">
        <v>4</v>
      </c>
      <c r="AA7" s="124">
        <f>8*10</f>
        <v>80</v>
      </c>
      <c r="AB7" s="237">
        <v>188.2</v>
      </c>
      <c r="AC7" s="142">
        <f t="shared" si="0"/>
        <v>2.5877499999999998E-2</v>
      </c>
      <c r="AD7" s="97">
        <f>AB7/100+((AB7/100)*U3)</f>
        <v>2.0701999999999998</v>
      </c>
      <c r="AE7" s="97">
        <f t="shared" si="1"/>
        <v>4.1403999999999996</v>
      </c>
      <c r="AF7" s="97">
        <f t="shared" si="2"/>
        <v>6.2105999999999995</v>
      </c>
      <c r="AG7" s="165">
        <f t="shared" si="3"/>
        <v>2.5877500000000005E-2</v>
      </c>
      <c r="AH7" s="143">
        <f>((AB7*(1+U3)/100))</f>
        <v>2.0702000000000003</v>
      </c>
      <c r="AI7" s="144">
        <f t="shared" si="4"/>
        <v>4.1404000000000005</v>
      </c>
      <c r="AJ7" s="145">
        <f t="shared" si="5"/>
        <v>6.2106000000000012</v>
      </c>
      <c r="AK7" s="47">
        <f t="shared" si="81"/>
        <v>2.262</v>
      </c>
      <c r="AL7" s="46">
        <f t="shared" si="38"/>
        <v>1.131</v>
      </c>
      <c r="AM7" s="49">
        <f t="shared" si="38"/>
        <v>0.754</v>
      </c>
      <c r="AN7" s="111">
        <f t="shared" si="39"/>
        <v>0.5655</v>
      </c>
      <c r="AO7" s="50">
        <f t="shared" si="38"/>
        <v>1.218</v>
      </c>
      <c r="AP7" s="48">
        <f t="shared" si="38"/>
        <v>2.4359999999999999</v>
      </c>
      <c r="AQ7" s="51">
        <f t="shared" si="38"/>
        <v>3.6539999999999999</v>
      </c>
      <c r="AR7" s="52">
        <f t="shared" si="38"/>
        <v>2.3242049999999996</v>
      </c>
      <c r="AS7" s="45">
        <f t="shared" si="40"/>
        <v>4.6484099999999993</v>
      </c>
      <c r="AT7" s="161">
        <f t="shared" si="40"/>
        <v>6.9726149999999993</v>
      </c>
      <c r="AU7" s="163">
        <f t="shared" si="40"/>
        <v>1.1000000000000001</v>
      </c>
      <c r="AV7" s="78" t="str">
        <f t="shared" si="82"/>
        <v>5X7</v>
      </c>
      <c r="AW7" s="78">
        <f t="shared" si="82"/>
        <v>35</v>
      </c>
      <c r="AX7" s="35">
        <f t="shared" si="82"/>
        <v>0.97977000000000003</v>
      </c>
      <c r="AY7" s="36">
        <f t="shared" si="82"/>
        <v>1.9595400000000001</v>
      </c>
      <c r="AZ7" s="58">
        <f t="shared" si="82"/>
        <v>2.9393099999999999</v>
      </c>
      <c r="BB7" s="31" t="str">
        <f t="shared" si="83"/>
        <v>4.5X10</v>
      </c>
      <c r="BC7" s="78">
        <f t="shared" si="83"/>
        <v>45</v>
      </c>
      <c r="BD7" s="35">
        <f t="shared" si="83"/>
        <v>1.23838</v>
      </c>
      <c r="BE7" s="36">
        <f t="shared" si="83"/>
        <v>2.4767600000000001</v>
      </c>
      <c r="BF7" s="58">
        <f t="shared" si="83"/>
        <v>3.7151399999999999</v>
      </c>
      <c r="BH7" s="31" t="str">
        <f t="shared" si="84"/>
        <v>4.5X17</v>
      </c>
      <c r="BI7" s="78">
        <f t="shared" si="84"/>
        <v>76.5</v>
      </c>
      <c r="BJ7" s="35">
        <f t="shared" si="84"/>
        <v>1.9836300000000002</v>
      </c>
      <c r="BK7" s="36">
        <f t="shared" si="84"/>
        <v>3.9672600000000005</v>
      </c>
      <c r="BL7" s="58">
        <f t="shared" si="84"/>
        <v>5.9508900000000011</v>
      </c>
      <c r="BN7" s="31" t="str">
        <f t="shared" si="85"/>
        <v>8X10</v>
      </c>
      <c r="BO7" s="78">
        <f t="shared" si="85"/>
        <v>80</v>
      </c>
      <c r="BP7" s="35">
        <f t="shared" si="85"/>
        <v>2.0702000000000003</v>
      </c>
      <c r="BQ7" s="36">
        <f t="shared" si="85"/>
        <v>4.1404000000000005</v>
      </c>
      <c r="BR7" s="58">
        <f t="shared" si="85"/>
        <v>6.2106000000000012</v>
      </c>
      <c r="BT7" s="31" t="str">
        <f t="shared" si="86"/>
        <v>7X17</v>
      </c>
      <c r="BU7" s="78">
        <f t="shared" si="86"/>
        <v>119</v>
      </c>
      <c r="BV7" s="35">
        <f t="shared" si="86"/>
        <v>3.0300600000000002</v>
      </c>
      <c r="BW7" s="36">
        <f t="shared" si="86"/>
        <v>6.0601200000000004</v>
      </c>
      <c r="BX7" s="58">
        <f t="shared" si="86"/>
        <v>9.0901800000000001</v>
      </c>
      <c r="BZ7" s="31" t="str">
        <f t="shared" si="87"/>
        <v>10X12</v>
      </c>
      <c r="CA7" s="78">
        <f t="shared" si="87"/>
        <v>120</v>
      </c>
      <c r="CB7" s="35">
        <f t="shared" si="87"/>
        <v>3.0453500000000004</v>
      </c>
      <c r="CC7" s="36">
        <f t="shared" si="87"/>
        <v>6.0907000000000009</v>
      </c>
      <c r="CD7" s="58">
        <f t="shared" si="87"/>
        <v>9.1360500000000009</v>
      </c>
      <c r="CF7" s="31" t="str">
        <f t="shared" si="88"/>
        <v>11X14</v>
      </c>
      <c r="CG7" s="78">
        <f t="shared" si="88"/>
        <v>154</v>
      </c>
      <c r="CH7" s="35">
        <f t="shared" si="88"/>
        <v>3.8582500000000004</v>
      </c>
      <c r="CI7" s="36">
        <f t="shared" si="88"/>
        <v>7.7165000000000008</v>
      </c>
      <c r="CJ7" s="58">
        <f t="shared" si="88"/>
        <v>11.574750000000002</v>
      </c>
      <c r="CL7" s="31" t="str">
        <f t="shared" si="89"/>
        <v>14X17</v>
      </c>
      <c r="CM7" s="78">
        <f t="shared" si="89"/>
        <v>238</v>
      </c>
      <c r="CN7" s="35">
        <f t="shared" si="89"/>
        <v>5.9076599999999999</v>
      </c>
      <c r="CO7" s="36">
        <f t="shared" si="89"/>
        <v>11.81532</v>
      </c>
      <c r="CP7" s="58">
        <f t="shared" si="89"/>
        <v>17.72298</v>
      </c>
      <c r="CR7" s="208"/>
      <c r="CS7" s="230">
        <v>4</v>
      </c>
      <c r="CT7" s="217">
        <v>1</v>
      </c>
      <c r="CU7" s="232">
        <v>2</v>
      </c>
      <c r="CV7" s="208"/>
      <c r="CW7" s="253">
        <v>76.5</v>
      </c>
      <c r="CX7" s="208"/>
      <c r="CY7" s="251">
        <f t="shared" si="90"/>
        <v>1</v>
      </c>
      <c r="CZ7" s="250">
        <f t="shared" si="91"/>
        <v>1</v>
      </c>
      <c r="DA7" s="248">
        <f t="shared" si="92"/>
        <v>2</v>
      </c>
      <c r="DB7" s="248">
        <f t="shared" si="93"/>
        <v>1</v>
      </c>
      <c r="DC7" s="264"/>
      <c r="DD7" s="257" t="s">
        <v>4</v>
      </c>
      <c r="DE7" s="247">
        <f>8*10</f>
        <v>80</v>
      </c>
      <c r="DF7" s="199">
        <v>0.9</v>
      </c>
      <c r="DG7" s="195">
        <f t="shared" si="6"/>
        <v>2.262</v>
      </c>
      <c r="DH7" s="81">
        <f t="shared" si="7"/>
        <v>1.131</v>
      </c>
      <c r="DI7" s="81">
        <f t="shared" si="8"/>
        <v>0.60899999999999999</v>
      </c>
      <c r="DJ7" s="81">
        <f t="shared" si="9"/>
        <v>1.1621024999999998</v>
      </c>
      <c r="DK7" s="82">
        <f t="shared" si="42"/>
        <v>5.1641025000000003</v>
      </c>
      <c r="DM7" s="83">
        <f t="shared" si="10"/>
        <v>1.9836300000000002</v>
      </c>
      <c r="DN7" s="84">
        <f t="shared" si="11"/>
        <v>3.9672600000000005</v>
      </c>
      <c r="DO7" s="84">
        <f t="shared" si="12"/>
        <v>5.9508900000000011</v>
      </c>
      <c r="DP7" s="104"/>
      <c r="DQ7" s="85">
        <f t="shared" si="13"/>
        <v>1.9836300000000002</v>
      </c>
      <c r="DR7" s="108">
        <f t="shared" si="14"/>
        <v>0.99181500000000011</v>
      </c>
      <c r="DS7" s="244">
        <f t="shared" si="43"/>
        <v>6.1559175000000002</v>
      </c>
      <c r="DT7" s="113"/>
      <c r="DU7" s="132">
        <f t="shared" si="15"/>
        <v>76.5</v>
      </c>
      <c r="DV7" s="133">
        <f t="shared" si="16"/>
        <v>0.09</v>
      </c>
      <c r="DW7" s="128">
        <f t="shared" si="44"/>
        <v>6.8849999999999998</v>
      </c>
      <c r="DX7" s="133">
        <f t="shared" si="45"/>
        <v>1</v>
      </c>
      <c r="DY7" s="128">
        <f t="shared" si="46"/>
        <v>6.8849999999999998</v>
      </c>
      <c r="DZ7" s="126">
        <f t="shared" si="17"/>
        <v>2</v>
      </c>
      <c r="EA7" s="127">
        <f t="shared" si="47"/>
        <v>3.4424999999999999</v>
      </c>
      <c r="EC7" s="132">
        <f t="shared" si="48"/>
        <v>76.5</v>
      </c>
      <c r="ED7" s="133">
        <v>0.115</v>
      </c>
      <c r="EE7" s="128">
        <f t="shared" si="49"/>
        <v>8.7975000000000012</v>
      </c>
      <c r="EF7" s="133">
        <f t="shared" si="18"/>
        <v>1</v>
      </c>
      <c r="EG7" s="128">
        <f t="shared" si="50"/>
        <v>8.7975000000000012</v>
      </c>
      <c r="EH7" s="134">
        <f t="shared" si="51"/>
        <v>2</v>
      </c>
      <c r="EI7" s="127">
        <f t="shared" si="52"/>
        <v>4.3987500000000006</v>
      </c>
      <c r="EK7" s="132">
        <f t="shared" si="53"/>
        <v>76.5</v>
      </c>
      <c r="EL7" s="133">
        <f t="shared" si="94"/>
        <v>0.125</v>
      </c>
      <c r="EM7" s="128">
        <f t="shared" si="54"/>
        <v>9.5625</v>
      </c>
      <c r="EN7" s="133">
        <f t="shared" si="19"/>
        <v>1</v>
      </c>
      <c r="EO7" s="128">
        <f t="shared" si="55"/>
        <v>9.5625</v>
      </c>
      <c r="EP7" s="134">
        <f t="shared" si="56"/>
        <v>2</v>
      </c>
      <c r="EQ7" s="127">
        <f t="shared" si="20"/>
        <v>4.78125</v>
      </c>
      <c r="ER7" s="127"/>
      <c r="ES7" s="132">
        <f t="shared" si="57"/>
        <v>76.5</v>
      </c>
      <c r="ET7" s="133">
        <f t="shared" si="95"/>
        <v>0.13</v>
      </c>
      <c r="EU7" s="128">
        <f t="shared" si="58"/>
        <v>9.9450000000000003</v>
      </c>
      <c r="EV7" s="133">
        <f t="shared" si="21"/>
        <v>1</v>
      </c>
      <c r="EW7" s="128">
        <f t="shared" si="59"/>
        <v>9.9450000000000003</v>
      </c>
      <c r="EX7" s="134">
        <f t="shared" si="60"/>
        <v>2</v>
      </c>
      <c r="EY7" s="127">
        <f t="shared" si="22"/>
        <v>4.9725000000000001</v>
      </c>
      <c r="FA7" s="132">
        <f t="shared" si="61"/>
        <v>76.5</v>
      </c>
      <c r="FB7" s="133">
        <f>IF(CT7=0,0,IF(CT7=1,0.145,IF(CT7&gt;1,0.14)))</f>
        <v>0.14499999999999999</v>
      </c>
      <c r="FC7" s="128">
        <f t="shared" si="62"/>
        <v>11.092499999999999</v>
      </c>
      <c r="FD7" s="133">
        <f t="shared" si="23"/>
        <v>1</v>
      </c>
      <c r="FE7" s="128">
        <f t="shared" si="63"/>
        <v>11.092499999999999</v>
      </c>
      <c r="FF7" s="134">
        <f t="shared" si="64"/>
        <v>2</v>
      </c>
      <c r="FG7" s="127">
        <f t="shared" si="24"/>
        <v>5.5462499999999997</v>
      </c>
      <c r="FI7" s="132">
        <f t="shared" si="65"/>
        <v>76.5</v>
      </c>
      <c r="FJ7" s="133">
        <f>IF(CT7=0,0,IF(CT7=1,0.155,IF(CT7&gt;1,0.15)))</f>
        <v>0.155</v>
      </c>
      <c r="FK7" s="128">
        <f t="shared" si="66"/>
        <v>11.8575</v>
      </c>
      <c r="FL7" s="133">
        <f t="shared" si="25"/>
        <v>1</v>
      </c>
      <c r="FM7" s="128">
        <f t="shared" si="67"/>
        <v>11.8575</v>
      </c>
      <c r="FN7" s="134">
        <f t="shared" si="68"/>
        <v>2</v>
      </c>
      <c r="FO7" s="127">
        <f t="shared" si="26"/>
        <v>5.92875</v>
      </c>
      <c r="FQ7" s="132">
        <f t="shared" si="69"/>
        <v>76.5</v>
      </c>
      <c r="FR7" s="133">
        <f t="shared" si="27"/>
        <v>0.16500000000000001</v>
      </c>
      <c r="FS7" s="128">
        <f t="shared" si="70"/>
        <v>12.6225</v>
      </c>
      <c r="FT7" s="133">
        <f t="shared" si="28"/>
        <v>1</v>
      </c>
      <c r="FU7" s="128">
        <f t="shared" si="71"/>
        <v>12.6225</v>
      </c>
      <c r="FV7" s="134">
        <f t="shared" si="72"/>
        <v>2</v>
      </c>
      <c r="FW7" s="127">
        <f t="shared" si="29"/>
        <v>6.3112500000000002</v>
      </c>
      <c r="FY7" s="132">
        <f t="shared" si="73"/>
        <v>76.5</v>
      </c>
      <c r="FZ7" s="133">
        <f t="shared" si="30"/>
        <v>0.17499999999999999</v>
      </c>
      <c r="GA7" s="128">
        <f t="shared" si="74"/>
        <v>13.387499999999999</v>
      </c>
      <c r="GB7" s="133">
        <f t="shared" si="31"/>
        <v>1</v>
      </c>
      <c r="GC7" s="128">
        <f t="shared" si="75"/>
        <v>13.387499999999999</v>
      </c>
      <c r="GD7" s="134">
        <f t="shared" si="76"/>
        <v>2</v>
      </c>
      <c r="GE7" s="127">
        <f t="shared" si="32"/>
        <v>6.6937499999999996</v>
      </c>
      <c r="GG7" s="132">
        <f t="shared" si="77"/>
        <v>76.5</v>
      </c>
      <c r="GH7" s="133">
        <f t="shared" si="33"/>
        <v>0.185</v>
      </c>
      <c r="GI7" s="128">
        <f t="shared" si="78"/>
        <v>14.1525</v>
      </c>
      <c r="GJ7" s="133">
        <f t="shared" si="34"/>
        <v>1</v>
      </c>
      <c r="GK7" s="128">
        <f t="shared" si="79"/>
        <v>14.1525</v>
      </c>
      <c r="GL7" s="134">
        <f t="shared" si="80"/>
        <v>2</v>
      </c>
      <c r="GM7" s="127">
        <f t="shared" si="35"/>
        <v>7.0762499999999999</v>
      </c>
    </row>
    <row r="8" spans="1:236" ht="24" thickBot="1" x14ac:dyDescent="0.4">
      <c r="D8" s="6" t="s">
        <v>110</v>
      </c>
      <c r="E8" s="26">
        <f>30*1.16</f>
        <v>34.799999999999997</v>
      </c>
      <c r="F8" s="169">
        <f t="shared" si="36"/>
        <v>104.39999999999999</v>
      </c>
      <c r="G8" s="186" t="s">
        <v>101</v>
      </c>
      <c r="H8" s="27">
        <f>SUM(H4:H5)</f>
        <v>48.72</v>
      </c>
      <c r="I8" s="171">
        <f>SUM(I4:I5)</f>
        <v>146.16</v>
      </c>
      <c r="J8" s="170" t="s">
        <v>101</v>
      </c>
      <c r="K8" s="27">
        <f>SUM(K4:K7)</f>
        <v>185.93639999999999</v>
      </c>
      <c r="L8" s="171">
        <f>SUM(L4:L7)</f>
        <v>557.80919999999992</v>
      </c>
      <c r="N8" s="17">
        <f>L8/4</f>
        <v>139.45229999999998</v>
      </c>
      <c r="O8" s="18">
        <f>L8/3</f>
        <v>185.93639999999996</v>
      </c>
      <c r="P8" s="18">
        <f>N8</f>
        <v>139.45229999999998</v>
      </c>
      <c r="Q8" s="21">
        <v>0</v>
      </c>
      <c r="R8" s="19">
        <f>P8/60</f>
        <v>2.3242049999999996</v>
      </c>
      <c r="T8" s="307" t="s">
        <v>133</v>
      </c>
      <c r="U8" s="308"/>
      <c r="V8" s="308"/>
      <c r="W8" s="309"/>
      <c r="X8" s="121"/>
      <c r="Z8" s="155" t="s">
        <v>3</v>
      </c>
      <c r="AA8" s="124">
        <f>7*17</f>
        <v>119</v>
      </c>
      <c r="AB8" s="237">
        <v>275.45999999999998</v>
      </c>
      <c r="AC8" s="142">
        <f t="shared" si="0"/>
        <v>2.5462689075630249E-2</v>
      </c>
      <c r="AD8" s="97">
        <f>AB8/100+((AB8/100)*U3)</f>
        <v>3.0300599999999998</v>
      </c>
      <c r="AE8" s="97">
        <f t="shared" si="1"/>
        <v>6.0601199999999995</v>
      </c>
      <c r="AF8" s="97">
        <f t="shared" si="2"/>
        <v>9.0901800000000001</v>
      </c>
      <c r="AG8" s="165">
        <f t="shared" si="3"/>
        <v>2.5462689075630252E-2</v>
      </c>
      <c r="AH8" s="143">
        <f>((AB8*(1+U3)/100))</f>
        <v>3.0300600000000002</v>
      </c>
      <c r="AI8" s="144">
        <f t="shared" si="4"/>
        <v>6.0601200000000004</v>
      </c>
      <c r="AJ8" s="145">
        <f t="shared" si="5"/>
        <v>9.0901800000000001</v>
      </c>
      <c r="AK8" s="47">
        <f t="shared" si="81"/>
        <v>2.262</v>
      </c>
      <c r="AL8" s="46">
        <f t="shared" si="38"/>
        <v>1.131</v>
      </c>
      <c r="AM8" s="49">
        <f t="shared" si="38"/>
        <v>0.754</v>
      </c>
      <c r="AN8" s="111">
        <f t="shared" si="39"/>
        <v>0.5655</v>
      </c>
      <c r="AO8" s="50">
        <f t="shared" si="38"/>
        <v>1.218</v>
      </c>
      <c r="AP8" s="48">
        <f t="shared" si="38"/>
        <v>2.4359999999999999</v>
      </c>
      <c r="AQ8" s="51">
        <f t="shared" si="38"/>
        <v>3.6539999999999999</v>
      </c>
      <c r="AR8" s="52">
        <f t="shared" si="38"/>
        <v>2.3242049999999996</v>
      </c>
      <c r="AS8" s="45">
        <f t="shared" si="40"/>
        <v>4.6484099999999993</v>
      </c>
      <c r="AT8" s="161">
        <f t="shared" si="40"/>
        <v>6.9726149999999993</v>
      </c>
      <c r="AU8" s="163">
        <f t="shared" si="40"/>
        <v>1.1000000000000001</v>
      </c>
      <c r="AV8" s="78" t="str">
        <f t="shared" si="82"/>
        <v>5X7</v>
      </c>
      <c r="AW8" s="78">
        <f t="shared" si="82"/>
        <v>35</v>
      </c>
      <c r="AX8" s="35">
        <f t="shared" si="82"/>
        <v>0.97977000000000003</v>
      </c>
      <c r="AY8" s="36">
        <f t="shared" si="82"/>
        <v>1.9595400000000001</v>
      </c>
      <c r="AZ8" s="58">
        <f t="shared" si="82"/>
        <v>2.9393099999999999</v>
      </c>
      <c r="BB8" s="31" t="str">
        <f t="shared" si="83"/>
        <v>4.5X10</v>
      </c>
      <c r="BC8" s="78">
        <f t="shared" si="83"/>
        <v>45</v>
      </c>
      <c r="BD8" s="35">
        <f t="shared" si="83"/>
        <v>1.23838</v>
      </c>
      <c r="BE8" s="36">
        <f t="shared" si="83"/>
        <v>2.4767600000000001</v>
      </c>
      <c r="BF8" s="58">
        <f t="shared" si="83"/>
        <v>3.7151399999999999</v>
      </c>
      <c r="BH8" s="31" t="str">
        <f t="shared" si="84"/>
        <v>4.5X17</v>
      </c>
      <c r="BI8" s="78">
        <f t="shared" si="84"/>
        <v>76.5</v>
      </c>
      <c r="BJ8" s="35">
        <f t="shared" si="84"/>
        <v>1.9836300000000002</v>
      </c>
      <c r="BK8" s="36">
        <f t="shared" si="84"/>
        <v>3.9672600000000005</v>
      </c>
      <c r="BL8" s="58">
        <f t="shared" si="84"/>
        <v>5.9508900000000011</v>
      </c>
      <c r="BN8" s="31" t="str">
        <f t="shared" si="85"/>
        <v>8X10</v>
      </c>
      <c r="BO8" s="78">
        <f t="shared" si="85"/>
        <v>80</v>
      </c>
      <c r="BP8" s="35">
        <f t="shared" si="85"/>
        <v>2.0702000000000003</v>
      </c>
      <c r="BQ8" s="36">
        <f t="shared" si="85"/>
        <v>4.1404000000000005</v>
      </c>
      <c r="BR8" s="58">
        <f t="shared" si="85"/>
        <v>6.2106000000000012</v>
      </c>
      <c r="BT8" s="31" t="str">
        <f t="shared" si="86"/>
        <v>7X17</v>
      </c>
      <c r="BU8" s="78">
        <f t="shared" si="86"/>
        <v>119</v>
      </c>
      <c r="BV8" s="35">
        <f t="shared" si="86"/>
        <v>3.0300600000000002</v>
      </c>
      <c r="BW8" s="36">
        <f t="shared" si="86"/>
        <v>6.0601200000000004</v>
      </c>
      <c r="BX8" s="58">
        <f t="shared" si="86"/>
        <v>9.0901800000000001</v>
      </c>
      <c r="BZ8" s="31" t="str">
        <f t="shared" si="87"/>
        <v>10X12</v>
      </c>
      <c r="CA8" s="78">
        <f t="shared" si="87"/>
        <v>120</v>
      </c>
      <c r="CB8" s="35">
        <f t="shared" si="87"/>
        <v>3.0453500000000004</v>
      </c>
      <c r="CC8" s="36">
        <f t="shared" si="87"/>
        <v>6.0907000000000009</v>
      </c>
      <c r="CD8" s="58">
        <f t="shared" si="87"/>
        <v>9.1360500000000009</v>
      </c>
      <c r="CF8" s="31" t="str">
        <f t="shared" si="88"/>
        <v>11X14</v>
      </c>
      <c r="CG8" s="78">
        <f t="shared" si="88"/>
        <v>154</v>
      </c>
      <c r="CH8" s="35">
        <f t="shared" si="88"/>
        <v>3.8582500000000004</v>
      </c>
      <c r="CI8" s="36">
        <f t="shared" si="88"/>
        <v>7.7165000000000008</v>
      </c>
      <c r="CJ8" s="58">
        <f t="shared" si="88"/>
        <v>11.574750000000002</v>
      </c>
      <c r="CL8" s="31" t="str">
        <f t="shared" si="89"/>
        <v>14X17</v>
      </c>
      <c r="CM8" s="78">
        <f t="shared" si="89"/>
        <v>238</v>
      </c>
      <c r="CN8" s="35">
        <f t="shared" si="89"/>
        <v>5.9076599999999999</v>
      </c>
      <c r="CO8" s="36">
        <f t="shared" si="89"/>
        <v>11.81532</v>
      </c>
      <c r="CP8" s="58">
        <f t="shared" si="89"/>
        <v>17.72298</v>
      </c>
      <c r="CR8" s="208"/>
      <c r="CS8" s="230">
        <v>5</v>
      </c>
      <c r="CT8" s="217">
        <v>1</v>
      </c>
      <c r="CU8" s="232">
        <v>2</v>
      </c>
      <c r="CV8" s="208"/>
      <c r="CW8" s="253">
        <v>76.5</v>
      </c>
      <c r="CX8" s="208"/>
      <c r="CY8" s="251">
        <f t="shared" si="90"/>
        <v>1</v>
      </c>
      <c r="CZ8" s="250">
        <f t="shared" si="91"/>
        <v>1</v>
      </c>
      <c r="DA8" s="248">
        <f t="shared" si="92"/>
        <v>2</v>
      </c>
      <c r="DB8" s="248">
        <f t="shared" si="93"/>
        <v>1</v>
      </c>
      <c r="DC8" s="264"/>
      <c r="DD8" s="257" t="s">
        <v>3</v>
      </c>
      <c r="DE8" s="247">
        <f>7*17</f>
        <v>119</v>
      </c>
      <c r="DF8" s="199">
        <v>1.6</v>
      </c>
      <c r="DG8" s="195">
        <f t="shared" si="6"/>
        <v>2.262</v>
      </c>
      <c r="DH8" s="81">
        <f t="shared" si="7"/>
        <v>1.131</v>
      </c>
      <c r="DI8" s="81">
        <f t="shared" si="8"/>
        <v>0.60899999999999999</v>
      </c>
      <c r="DJ8" s="81">
        <f t="shared" si="9"/>
        <v>1.1621024999999998</v>
      </c>
      <c r="DK8" s="82">
        <f t="shared" si="42"/>
        <v>5.1641025000000003</v>
      </c>
      <c r="DM8" s="83">
        <f t="shared" si="10"/>
        <v>1.9836300000000002</v>
      </c>
      <c r="DN8" s="84">
        <f t="shared" si="11"/>
        <v>3.9672600000000005</v>
      </c>
      <c r="DO8" s="84">
        <f t="shared" si="12"/>
        <v>5.9508900000000011</v>
      </c>
      <c r="DP8" s="104"/>
      <c r="DQ8" s="85">
        <f t="shared" si="13"/>
        <v>1.9836300000000002</v>
      </c>
      <c r="DR8" s="108">
        <f t="shared" si="14"/>
        <v>0.99181500000000011</v>
      </c>
      <c r="DS8" s="244">
        <f t="shared" si="43"/>
        <v>6.1559175000000002</v>
      </c>
      <c r="DT8" s="113"/>
      <c r="DU8" s="132">
        <f t="shared" si="15"/>
        <v>76.5</v>
      </c>
      <c r="DV8" s="133">
        <f t="shared" si="16"/>
        <v>0.09</v>
      </c>
      <c r="DW8" s="128">
        <f t="shared" si="44"/>
        <v>6.8849999999999998</v>
      </c>
      <c r="DX8" s="133">
        <f t="shared" si="45"/>
        <v>1</v>
      </c>
      <c r="DY8" s="128">
        <f t="shared" si="46"/>
        <v>6.8849999999999998</v>
      </c>
      <c r="DZ8" s="126">
        <f t="shared" si="17"/>
        <v>2</v>
      </c>
      <c r="EA8" s="127">
        <f t="shared" si="47"/>
        <v>3.4424999999999999</v>
      </c>
      <c r="EC8" s="132">
        <f t="shared" si="48"/>
        <v>76.5</v>
      </c>
      <c r="ED8" s="133">
        <v>0.115</v>
      </c>
      <c r="EE8" s="128">
        <f t="shared" si="49"/>
        <v>8.7975000000000012</v>
      </c>
      <c r="EF8" s="133">
        <f t="shared" si="18"/>
        <v>1</v>
      </c>
      <c r="EG8" s="128">
        <f t="shared" si="50"/>
        <v>8.7975000000000012</v>
      </c>
      <c r="EH8" s="134">
        <f t="shared" si="51"/>
        <v>2</v>
      </c>
      <c r="EI8" s="127">
        <f t="shared" si="52"/>
        <v>4.3987500000000006</v>
      </c>
      <c r="EK8" s="132">
        <f t="shared" si="53"/>
        <v>76.5</v>
      </c>
      <c r="EL8" s="133">
        <f t="shared" si="94"/>
        <v>0.125</v>
      </c>
      <c r="EM8" s="128">
        <f t="shared" si="54"/>
        <v>9.5625</v>
      </c>
      <c r="EN8" s="133">
        <f t="shared" si="19"/>
        <v>1</v>
      </c>
      <c r="EO8" s="128">
        <f t="shared" si="55"/>
        <v>9.5625</v>
      </c>
      <c r="EP8" s="134">
        <f t="shared" si="56"/>
        <v>2</v>
      </c>
      <c r="EQ8" s="127">
        <f t="shared" si="20"/>
        <v>4.78125</v>
      </c>
      <c r="ER8" s="127"/>
      <c r="ES8" s="132">
        <f t="shared" si="57"/>
        <v>76.5</v>
      </c>
      <c r="ET8" s="133">
        <f t="shared" si="95"/>
        <v>0.13</v>
      </c>
      <c r="EU8" s="128">
        <f t="shared" si="58"/>
        <v>9.9450000000000003</v>
      </c>
      <c r="EV8" s="133">
        <f t="shared" si="21"/>
        <v>1</v>
      </c>
      <c r="EW8" s="128">
        <f t="shared" si="59"/>
        <v>9.9450000000000003</v>
      </c>
      <c r="EX8" s="134">
        <f t="shared" si="60"/>
        <v>2</v>
      </c>
      <c r="EY8" s="127">
        <f t="shared" si="22"/>
        <v>4.9725000000000001</v>
      </c>
      <c r="FA8" s="132">
        <f t="shared" si="61"/>
        <v>76.5</v>
      </c>
      <c r="FB8" s="133">
        <v>0.14000000000000001</v>
      </c>
      <c r="FC8" s="128">
        <f t="shared" si="62"/>
        <v>10.71</v>
      </c>
      <c r="FD8" s="133">
        <f t="shared" si="23"/>
        <v>1</v>
      </c>
      <c r="FE8" s="128">
        <f t="shared" si="63"/>
        <v>10.71</v>
      </c>
      <c r="FF8" s="134">
        <f t="shared" si="64"/>
        <v>2</v>
      </c>
      <c r="FG8" s="127">
        <f t="shared" si="24"/>
        <v>5.3550000000000004</v>
      </c>
      <c r="FI8" s="132">
        <f t="shared" si="65"/>
        <v>76.5</v>
      </c>
      <c r="FJ8" s="133">
        <v>0.15</v>
      </c>
      <c r="FK8" s="128">
        <f t="shared" si="66"/>
        <v>11.475</v>
      </c>
      <c r="FL8" s="133">
        <f t="shared" si="25"/>
        <v>1</v>
      </c>
      <c r="FM8" s="128">
        <f t="shared" si="67"/>
        <v>11.475</v>
      </c>
      <c r="FN8" s="134">
        <f t="shared" si="68"/>
        <v>2</v>
      </c>
      <c r="FO8" s="127">
        <f t="shared" si="26"/>
        <v>5.7374999999999998</v>
      </c>
      <c r="FQ8" s="132">
        <f t="shared" si="69"/>
        <v>76.5</v>
      </c>
      <c r="FR8" s="133">
        <f t="shared" si="27"/>
        <v>0.16500000000000001</v>
      </c>
      <c r="FS8" s="128">
        <f t="shared" si="70"/>
        <v>12.6225</v>
      </c>
      <c r="FT8" s="133">
        <f t="shared" si="28"/>
        <v>1</v>
      </c>
      <c r="FU8" s="128">
        <f t="shared" si="71"/>
        <v>12.6225</v>
      </c>
      <c r="FV8" s="134">
        <f t="shared" si="72"/>
        <v>2</v>
      </c>
      <c r="FW8" s="127">
        <f t="shared" si="29"/>
        <v>6.3112500000000002</v>
      </c>
      <c r="FY8" s="132">
        <f t="shared" si="73"/>
        <v>76.5</v>
      </c>
      <c r="FZ8" s="133">
        <f t="shared" si="30"/>
        <v>0.17499999999999999</v>
      </c>
      <c r="GA8" s="128">
        <f t="shared" si="74"/>
        <v>13.387499999999999</v>
      </c>
      <c r="GB8" s="133">
        <f t="shared" si="31"/>
        <v>1</v>
      </c>
      <c r="GC8" s="128">
        <f t="shared" si="75"/>
        <v>13.387499999999999</v>
      </c>
      <c r="GD8" s="134">
        <f t="shared" si="76"/>
        <v>2</v>
      </c>
      <c r="GE8" s="127">
        <f t="shared" si="32"/>
        <v>6.6937499999999996</v>
      </c>
      <c r="GG8" s="132">
        <f t="shared" si="77"/>
        <v>76.5</v>
      </c>
      <c r="GH8" s="133">
        <f t="shared" si="33"/>
        <v>0.185</v>
      </c>
      <c r="GI8" s="128">
        <f t="shared" si="78"/>
        <v>14.1525</v>
      </c>
      <c r="GJ8" s="133">
        <f t="shared" si="34"/>
        <v>1</v>
      </c>
      <c r="GK8" s="128">
        <f t="shared" si="79"/>
        <v>14.1525</v>
      </c>
      <c r="GL8" s="134">
        <f t="shared" si="80"/>
        <v>2</v>
      </c>
      <c r="GM8" s="127">
        <f t="shared" si="35"/>
        <v>7.0762499999999999</v>
      </c>
    </row>
    <row r="9" spans="1:236" ht="21" x14ac:dyDescent="0.3">
      <c r="D9" s="6" t="s">
        <v>111</v>
      </c>
      <c r="E9" s="26">
        <f>30*1.16</f>
        <v>34.799999999999997</v>
      </c>
      <c r="F9" s="169">
        <f t="shared" si="36"/>
        <v>104.39999999999999</v>
      </c>
      <c r="G9" s="24"/>
      <c r="H9" s="24"/>
      <c r="I9" s="24"/>
      <c r="J9" s="24"/>
      <c r="K9" s="24"/>
      <c r="L9" t="s">
        <v>8</v>
      </c>
      <c r="O9" s="2" t="s">
        <v>108</v>
      </c>
      <c r="P9" s="29">
        <f>P8+P6+P4</f>
        <v>348.25229999999999</v>
      </c>
      <c r="T9" s="136" t="s">
        <v>75</v>
      </c>
      <c r="U9" s="136"/>
      <c r="V9" s="137">
        <f>DV1</f>
        <v>242.25000000000006</v>
      </c>
      <c r="W9" s="187"/>
      <c r="X9" s="118"/>
      <c r="Z9" s="155" t="s">
        <v>5</v>
      </c>
      <c r="AA9" s="124">
        <f>10*12</f>
        <v>120</v>
      </c>
      <c r="AB9" s="237">
        <v>276.85000000000002</v>
      </c>
      <c r="AC9" s="142">
        <f t="shared" si="0"/>
        <v>2.537791666666667E-2</v>
      </c>
      <c r="AD9" s="97">
        <f>AB9/100+((AB9/100)*U3)</f>
        <v>3.0453500000000004</v>
      </c>
      <c r="AE9" s="97">
        <f t="shared" si="1"/>
        <v>6.0907000000000009</v>
      </c>
      <c r="AF9" s="97">
        <f t="shared" si="2"/>
        <v>9.1360500000000009</v>
      </c>
      <c r="AG9" s="165">
        <f t="shared" si="3"/>
        <v>2.537791666666667E-2</v>
      </c>
      <c r="AH9" s="143">
        <f>((AB9*(1+U3)/100))</f>
        <v>3.0453500000000004</v>
      </c>
      <c r="AI9" s="144">
        <f t="shared" si="4"/>
        <v>6.0907000000000009</v>
      </c>
      <c r="AJ9" s="145">
        <f t="shared" si="5"/>
        <v>9.1360500000000009</v>
      </c>
      <c r="AK9" s="47">
        <f t="shared" si="81"/>
        <v>2.262</v>
      </c>
      <c r="AL9" s="46">
        <f t="shared" si="38"/>
        <v>1.131</v>
      </c>
      <c r="AM9" s="49">
        <f t="shared" si="38"/>
        <v>0.754</v>
      </c>
      <c r="AN9" s="111">
        <f t="shared" si="39"/>
        <v>0.5655</v>
      </c>
      <c r="AO9" s="50">
        <f t="shared" si="38"/>
        <v>1.218</v>
      </c>
      <c r="AP9" s="48">
        <f t="shared" si="38"/>
        <v>2.4359999999999999</v>
      </c>
      <c r="AQ9" s="51">
        <f t="shared" si="38"/>
        <v>3.6539999999999999</v>
      </c>
      <c r="AR9" s="52">
        <f t="shared" si="38"/>
        <v>2.3242049999999996</v>
      </c>
      <c r="AS9" s="45">
        <f t="shared" si="40"/>
        <v>4.6484099999999993</v>
      </c>
      <c r="AT9" s="161">
        <f t="shared" si="40"/>
        <v>6.9726149999999993</v>
      </c>
      <c r="AU9" s="163">
        <f t="shared" si="40"/>
        <v>1.1000000000000001</v>
      </c>
      <c r="AV9" s="78" t="str">
        <f t="shared" si="82"/>
        <v>5X7</v>
      </c>
      <c r="AW9" s="78">
        <f t="shared" si="82"/>
        <v>35</v>
      </c>
      <c r="AX9" s="35">
        <f t="shared" si="82"/>
        <v>0.97977000000000003</v>
      </c>
      <c r="AY9" s="36">
        <f t="shared" si="82"/>
        <v>1.9595400000000001</v>
      </c>
      <c r="AZ9" s="58">
        <f t="shared" si="82"/>
        <v>2.9393099999999999</v>
      </c>
      <c r="BB9" s="31" t="str">
        <f t="shared" si="83"/>
        <v>4.5X10</v>
      </c>
      <c r="BC9" s="78">
        <f t="shared" si="83"/>
        <v>45</v>
      </c>
      <c r="BD9" s="35">
        <f t="shared" si="83"/>
        <v>1.23838</v>
      </c>
      <c r="BE9" s="36">
        <f t="shared" si="83"/>
        <v>2.4767600000000001</v>
      </c>
      <c r="BF9" s="58">
        <f t="shared" si="83"/>
        <v>3.7151399999999999</v>
      </c>
      <c r="BH9" s="31" t="str">
        <f t="shared" si="84"/>
        <v>4.5X17</v>
      </c>
      <c r="BI9" s="78">
        <f t="shared" si="84"/>
        <v>76.5</v>
      </c>
      <c r="BJ9" s="35">
        <f t="shared" si="84"/>
        <v>1.9836300000000002</v>
      </c>
      <c r="BK9" s="36">
        <f t="shared" si="84"/>
        <v>3.9672600000000005</v>
      </c>
      <c r="BL9" s="58">
        <f t="shared" si="84"/>
        <v>5.9508900000000011</v>
      </c>
      <c r="BN9" s="31" t="str">
        <f t="shared" si="85"/>
        <v>8X10</v>
      </c>
      <c r="BO9" s="78">
        <f t="shared" si="85"/>
        <v>80</v>
      </c>
      <c r="BP9" s="35">
        <f t="shared" si="85"/>
        <v>2.0702000000000003</v>
      </c>
      <c r="BQ9" s="36">
        <f t="shared" si="85"/>
        <v>4.1404000000000005</v>
      </c>
      <c r="BR9" s="58">
        <f t="shared" si="85"/>
        <v>6.2106000000000012</v>
      </c>
      <c r="BT9" s="31" t="str">
        <f t="shared" si="86"/>
        <v>7X17</v>
      </c>
      <c r="BU9" s="78">
        <f t="shared" si="86"/>
        <v>119</v>
      </c>
      <c r="BV9" s="35">
        <f t="shared" si="86"/>
        <v>3.0300600000000002</v>
      </c>
      <c r="BW9" s="36">
        <f t="shared" si="86"/>
        <v>6.0601200000000004</v>
      </c>
      <c r="BX9" s="58">
        <f t="shared" si="86"/>
        <v>9.0901800000000001</v>
      </c>
      <c r="BZ9" s="31" t="str">
        <f t="shared" si="87"/>
        <v>10X12</v>
      </c>
      <c r="CA9" s="78">
        <f t="shared" si="87"/>
        <v>120</v>
      </c>
      <c r="CB9" s="35">
        <f t="shared" si="87"/>
        <v>3.0453500000000004</v>
      </c>
      <c r="CC9" s="36">
        <f t="shared" si="87"/>
        <v>6.0907000000000009</v>
      </c>
      <c r="CD9" s="58">
        <f t="shared" si="87"/>
        <v>9.1360500000000009</v>
      </c>
      <c r="CF9" s="31" t="str">
        <f t="shared" si="88"/>
        <v>11X14</v>
      </c>
      <c r="CG9" s="78">
        <f t="shared" si="88"/>
        <v>154</v>
      </c>
      <c r="CH9" s="35">
        <f t="shared" si="88"/>
        <v>3.8582500000000004</v>
      </c>
      <c r="CI9" s="36">
        <f t="shared" si="88"/>
        <v>7.7165000000000008</v>
      </c>
      <c r="CJ9" s="58">
        <f t="shared" si="88"/>
        <v>11.574750000000002</v>
      </c>
      <c r="CL9" s="31" t="str">
        <f t="shared" si="89"/>
        <v>14X17</v>
      </c>
      <c r="CM9" s="78">
        <f t="shared" si="89"/>
        <v>238</v>
      </c>
      <c r="CN9" s="35">
        <f t="shared" si="89"/>
        <v>5.9076599999999999</v>
      </c>
      <c r="CO9" s="36">
        <f t="shared" si="89"/>
        <v>11.81532</v>
      </c>
      <c r="CP9" s="58">
        <f t="shared" si="89"/>
        <v>17.72298</v>
      </c>
      <c r="CR9" s="208"/>
      <c r="CS9" s="230">
        <v>6</v>
      </c>
      <c r="CT9" s="217">
        <v>1</v>
      </c>
      <c r="CU9" s="232">
        <v>2</v>
      </c>
      <c r="CV9" s="208"/>
      <c r="CW9" s="253">
        <v>76.5</v>
      </c>
      <c r="CX9" s="208"/>
      <c r="CY9" s="251">
        <f t="shared" si="90"/>
        <v>1</v>
      </c>
      <c r="CZ9" s="250">
        <f t="shared" si="91"/>
        <v>1</v>
      </c>
      <c r="DA9" s="248">
        <f t="shared" si="92"/>
        <v>2</v>
      </c>
      <c r="DB9" s="248">
        <f t="shared" si="93"/>
        <v>1</v>
      </c>
      <c r="DC9" s="264"/>
      <c r="DD9" s="257" t="s">
        <v>5</v>
      </c>
      <c r="DE9" s="247">
        <f>10*12</f>
        <v>120</v>
      </c>
      <c r="DF9" s="199">
        <v>1.6</v>
      </c>
      <c r="DG9" s="195">
        <f t="shared" si="6"/>
        <v>2.262</v>
      </c>
      <c r="DH9" s="81">
        <f t="shared" si="7"/>
        <v>1.131</v>
      </c>
      <c r="DI9" s="81">
        <f t="shared" si="8"/>
        <v>0.60899999999999999</v>
      </c>
      <c r="DJ9" s="81">
        <f t="shared" si="9"/>
        <v>1.1621024999999998</v>
      </c>
      <c r="DK9" s="82">
        <f t="shared" si="42"/>
        <v>5.1641025000000003</v>
      </c>
      <c r="DM9" s="83">
        <f>(IF(CW9&lt;35,0,IF(CW9=35,AX9,IF(CW9=45,BD9,IF(CW9=76.5,BJ9,IF(CW9=80,BP9,IF(CW9=119,BV9,IF(CW9=120,CB9,IF(CW9=154,CH9,IF(CW9=238,CN9))))))))))</f>
        <v>1.9836300000000002</v>
      </c>
      <c r="DN9" s="84">
        <f>(IF(CW9&lt;35,0,IF(CW9=35,AY9,IF(CW9=45,BE9,IF(CW9=76.5,BK9,IF(CW9=80,BQ9,IF(CW9=119,BW9,IF(CW9=120,CC9,IF(CW9=154,CI9,IF(CW9=238,CO9))))))))))</f>
        <v>3.9672600000000005</v>
      </c>
      <c r="DO9" s="84">
        <f>(IF(CW9&lt;35,0,IF(CW9=35,AZ9,IF(CW9=45,BF9,IF(CW9=76.5,BL9,IF(CW9=80,BR9,IF(CW9=119,BX9,IF(CW9=120,CD9,IF(CW9=154,CJ9,IF(CW9=238,CP9))))))))))</f>
        <v>5.9508900000000011</v>
      </c>
      <c r="DP9" s="104"/>
      <c r="DQ9" s="85">
        <f t="shared" si="13"/>
        <v>1.9836300000000002</v>
      </c>
      <c r="DR9" s="108">
        <f t="shared" si="14"/>
        <v>0.99181500000000011</v>
      </c>
      <c r="DS9" s="244">
        <f t="shared" si="43"/>
        <v>6.1559175000000002</v>
      </c>
      <c r="DT9" s="113"/>
      <c r="DU9" s="132">
        <f>CW9</f>
        <v>76.5</v>
      </c>
      <c r="DV9" s="133">
        <f t="shared" si="16"/>
        <v>0.09</v>
      </c>
      <c r="DW9" s="128">
        <f t="shared" si="44"/>
        <v>6.8849999999999998</v>
      </c>
      <c r="DX9" s="133">
        <f t="shared" si="45"/>
        <v>1</v>
      </c>
      <c r="DY9" s="128">
        <f t="shared" si="46"/>
        <v>6.8849999999999998</v>
      </c>
      <c r="DZ9" s="126">
        <f t="shared" si="17"/>
        <v>2</v>
      </c>
      <c r="EA9" s="127">
        <f t="shared" si="47"/>
        <v>3.4424999999999999</v>
      </c>
      <c r="EC9" s="132">
        <f t="shared" si="48"/>
        <v>76.5</v>
      </c>
      <c r="ED9" s="133">
        <v>0.115</v>
      </c>
      <c r="EE9" s="128">
        <f t="shared" si="49"/>
        <v>8.7975000000000012</v>
      </c>
      <c r="EF9" s="133">
        <f t="shared" si="18"/>
        <v>1</v>
      </c>
      <c r="EG9" s="128">
        <f t="shared" si="50"/>
        <v>8.7975000000000012</v>
      </c>
      <c r="EH9" s="134">
        <f t="shared" si="51"/>
        <v>2</v>
      </c>
      <c r="EI9" s="127">
        <f t="shared" si="52"/>
        <v>4.3987500000000006</v>
      </c>
      <c r="EK9" s="132">
        <f t="shared" si="53"/>
        <v>76.5</v>
      </c>
      <c r="EL9" s="133">
        <f t="shared" si="94"/>
        <v>0.125</v>
      </c>
      <c r="EM9" s="128">
        <f t="shared" si="54"/>
        <v>9.5625</v>
      </c>
      <c r="EN9" s="133">
        <f t="shared" si="19"/>
        <v>1</v>
      </c>
      <c r="EO9" s="128">
        <f t="shared" si="55"/>
        <v>9.5625</v>
      </c>
      <c r="EP9" s="134">
        <f t="shared" si="56"/>
        <v>2</v>
      </c>
      <c r="EQ9" s="127">
        <f t="shared" si="20"/>
        <v>4.78125</v>
      </c>
      <c r="ER9" s="127"/>
      <c r="ES9" s="132">
        <f t="shared" si="57"/>
        <v>76.5</v>
      </c>
      <c r="ET9" s="133">
        <f t="shared" si="95"/>
        <v>0.13</v>
      </c>
      <c r="EU9" s="128">
        <f t="shared" si="58"/>
        <v>9.9450000000000003</v>
      </c>
      <c r="EV9" s="133">
        <f t="shared" si="21"/>
        <v>1</v>
      </c>
      <c r="EW9" s="128">
        <f t="shared" si="59"/>
        <v>9.9450000000000003</v>
      </c>
      <c r="EX9" s="134">
        <f t="shared" si="60"/>
        <v>2</v>
      </c>
      <c r="EY9" s="127">
        <f t="shared" si="22"/>
        <v>4.9725000000000001</v>
      </c>
      <c r="FA9" s="132">
        <f t="shared" si="61"/>
        <v>76.5</v>
      </c>
      <c r="FB9" s="133">
        <v>0.14000000000000001</v>
      </c>
      <c r="FC9" s="128">
        <f t="shared" si="62"/>
        <v>10.71</v>
      </c>
      <c r="FD9" s="133">
        <f t="shared" si="23"/>
        <v>1</v>
      </c>
      <c r="FE9" s="128">
        <f t="shared" si="63"/>
        <v>10.71</v>
      </c>
      <c r="FF9" s="134">
        <f t="shared" si="64"/>
        <v>2</v>
      </c>
      <c r="FG9" s="127">
        <f t="shared" si="24"/>
        <v>5.3550000000000004</v>
      </c>
      <c r="FI9" s="132">
        <f t="shared" si="65"/>
        <v>76.5</v>
      </c>
      <c r="FJ9" s="133">
        <v>0.15</v>
      </c>
      <c r="FK9" s="128">
        <f t="shared" si="66"/>
        <v>11.475</v>
      </c>
      <c r="FL9" s="133">
        <f t="shared" si="25"/>
        <v>1</v>
      </c>
      <c r="FM9" s="128">
        <f t="shared" si="67"/>
        <v>11.475</v>
      </c>
      <c r="FN9" s="134">
        <f t="shared" si="68"/>
        <v>2</v>
      </c>
      <c r="FO9" s="127">
        <f t="shared" si="26"/>
        <v>5.7374999999999998</v>
      </c>
      <c r="FQ9" s="132">
        <f t="shared" si="69"/>
        <v>76.5</v>
      </c>
      <c r="FR9" s="133">
        <f t="shared" si="27"/>
        <v>0.16500000000000001</v>
      </c>
      <c r="FS9" s="128">
        <f t="shared" si="70"/>
        <v>12.6225</v>
      </c>
      <c r="FT9" s="133">
        <f t="shared" si="28"/>
        <v>1</v>
      </c>
      <c r="FU9" s="128">
        <f t="shared" si="71"/>
        <v>12.6225</v>
      </c>
      <c r="FV9" s="134">
        <f t="shared" si="72"/>
        <v>2</v>
      </c>
      <c r="FW9" s="127">
        <f t="shared" si="29"/>
        <v>6.3112500000000002</v>
      </c>
      <c r="FY9" s="132">
        <f t="shared" si="73"/>
        <v>76.5</v>
      </c>
      <c r="FZ9" s="133">
        <f t="shared" si="30"/>
        <v>0.17499999999999999</v>
      </c>
      <c r="GA9" s="128">
        <f t="shared" si="74"/>
        <v>13.387499999999999</v>
      </c>
      <c r="GB9" s="133">
        <f t="shared" si="31"/>
        <v>1</v>
      </c>
      <c r="GC9" s="128">
        <f t="shared" si="75"/>
        <v>13.387499999999999</v>
      </c>
      <c r="GD9" s="134">
        <f t="shared" si="76"/>
        <v>2</v>
      </c>
      <c r="GE9" s="127">
        <f t="shared" si="32"/>
        <v>6.6937499999999996</v>
      </c>
      <c r="GG9" s="132">
        <f t="shared" si="77"/>
        <v>76.5</v>
      </c>
      <c r="GH9" s="133">
        <f t="shared" si="33"/>
        <v>0.185</v>
      </c>
      <c r="GI9" s="128">
        <f t="shared" si="78"/>
        <v>14.1525</v>
      </c>
      <c r="GJ9" s="133">
        <f t="shared" si="34"/>
        <v>1</v>
      </c>
      <c r="GK9" s="128">
        <f t="shared" si="79"/>
        <v>14.1525</v>
      </c>
      <c r="GL9" s="134">
        <f t="shared" si="80"/>
        <v>2</v>
      </c>
      <c r="GM9" s="127">
        <f t="shared" si="35"/>
        <v>7.0762499999999999</v>
      </c>
    </row>
    <row r="10" spans="1:236" ht="21.75" thickBot="1" x14ac:dyDescent="0.35">
      <c r="D10" s="170" t="s">
        <v>101</v>
      </c>
      <c r="E10" s="27">
        <f>SUM(E4:E9)</f>
        <v>180.95999999999998</v>
      </c>
      <c r="F10" s="27">
        <f>SUM(F4:F9)</f>
        <v>542.88</v>
      </c>
      <c r="G10" s="24"/>
      <c r="H10" s="24"/>
      <c r="I10" s="24"/>
      <c r="J10" s="24"/>
      <c r="K10" s="24"/>
      <c r="L10" t="s">
        <v>8</v>
      </c>
      <c r="T10" s="136">
        <v>0.115</v>
      </c>
      <c r="U10" s="136"/>
      <c r="V10" s="137">
        <f>ED1</f>
        <v>325.50749999999994</v>
      </c>
      <c r="W10" s="187"/>
      <c r="X10" s="119"/>
      <c r="Z10" s="155" t="s">
        <v>6</v>
      </c>
      <c r="AA10" s="124">
        <f>11*14</f>
        <v>154</v>
      </c>
      <c r="AB10" s="237">
        <v>350.75</v>
      </c>
      <c r="AC10" s="142">
        <f t="shared" si="0"/>
        <v>2.5053571428571429E-2</v>
      </c>
      <c r="AD10" s="97">
        <f>AB10/100+((AB10/100)*U3)</f>
        <v>3.85825</v>
      </c>
      <c r="AE10" s="97">
        <f t="shared" si="1"/>
        <v>7.7164999999999999</v>
      </c>
      <c r="AF10" s="97">
        <f t="shared" si="2"/>
        <v>11.57475</v>
      </c>
      <c r="AG10" s="165">
        <f t="shared" si="3"/>
        <v>2.5053571428571432E-2</v>
      </c>
      <c r="AH10" s="143">
        <f>((AB10*(1+U3)/100))</f>
        <v>3.8582500000000004</v>
      </c>
      <c r="AI10" s="144">
        <f t="shared" si="4"/>
        <v>7.7165000000000008</v>
      </c>
      <c r="AJ10" s="145">
        <f t="shared" si="5"/>
        <v>11.574750000000002</v>
      </c>
      <c r="AK10" s="47">
        <f t="shared" si="81"/>
        <v>2.262</v>
      </c>
      <c r="AL10" s="46">
        <f t="shared" si="38"/>
        <v>1.131</v>
      </c>
      <c r="AM10" s="49">
        <f t="shared" si="38"/>
        <v>0.754</v>
      </c>
      <c r="AN10" s="111">
        <f t="shared" si="39"/>
        <v>0.5655</v>
      </c>
      <c r="AO10" s="50">
        <f t="shared" si="38"/>
        <v>1.218</v>
      </c>
      <c r="AP10" s="48">
        <f t="shared" si="38"/>
        <v>2.4359999999999999</v>
      </c>
      <c r="AQ10" s="51">
        <f t="shared" si="38"/>
        <v>3.6539999999999999</v>
      </c>
      <c r="AR10" s="52">
        <f t="shared" si="38"/>
        <v>2.3242049999999996</v>
      </c>
      <c r="AS10" s="45">
        <f t="shared" si="40"/>
        <v>4.6484099999999993</v>
      </c>
      <c r="AT10" s="161">
        <f t="shared" si="40"/>
        <v>6.9726149999999993</v>
      </c>
      <c r="AU10" s="163">
        <f t="shared" si="40"/>
        <v>1.1000000000000001</v>
      </c>
      <c r="AV10" s="78" t="str">
        <f t="shared" si="82"/>
        <v>5X7</v>
      </c>
      <c r="AW10" s="78">
        <f t="shared" si="82"/>
        <v>35</v>
      </c>
      <c r="AX10" s="35">
        <f t="shared" si="82"/>
        <v>0.97977000000000003</v>
      </c>
      <c r="AY10" s="36">
        <f t="shared" si="82"/>
        <v>1.9595400000000001</v>
      </c>
      <c r="AZ10" s="58">
        <f t="shared" si="82"/>
        <v>2.9393099999999999</v>
      </c>
      <c r="BB10" s="31" t="str">
        <f t="shared" si="83"/>
        <v>4.5X10</v>
      </c>
      <c r="BC10" s="78">
        <f t="shared" si="83"/>
        <v>45</v>
      </c>
      <c r="BD10" s="35">
        <f t="shared" si="83"/>
        <v>1.23838</v>
      </c>
      <c r="BE10" s="36">
        <f t="shared" si="83"/>
        <v>2.4767600000000001</v>
      </c>
      <c r="BF10" s="58">
        <f t="shared" si="83"/>
        <v>3.7151399999999999</v>
      </c>
      <c r="BH10" s="31" t="str">
        <f t="shared" si="84"/>
        <v>4.5X17</v>
      </c>
      <c r="BI10" s="78">
        <f t="shared" si="84"/>
        <v>76.5</v>
      </c>
      <c r="BJ10" s="35">
        <f t="shared" si="84"/>
        <v>1.9836300000000002</v>
      </c>
      <c r="BK10" s="36">
        <f t="shared" si="84"/>
        <v>3.9672600000000005</v>
      </c>
      <c r="BL10" s="58">
        <f t="shared" si="84"/>
        <v>5.9508900000000011</v>
      </c>
      <c r="BN10" s="31" t="str">
        <f t="shared" si="85"/>
        <v>8X10</v>
      </c>
      <c r="BO10" s="78">
        <f t="shared" si="85"/>
        <v>80</v>
      </c>
      <c r="BP10" s="35">
        <f t="shared" si="85"/>
        <v>2.0702000000000003</v>
      </c>
      <c r="BQ10" s="36">
        <f t="shared" si="85"/>
        <v>4.1404000000000005</v>
      </c>
      <c r="BR10" s="58">
        <f t="shared" si="85"/>
        <v>6.2106000000000012</v>
      </c>
      <c r="BT10" s="31" t="str">
        <f t="shared" si="86"/>
        <v>7X17</v>
      </c>
      <c r="BU10" s="78">
        <f t="shared" si="86"/>
        <v>119</v>
      </c>
      <c r="BV10" s="35">
        <f t="shared" si="86"/>
        <v>3.0300600000000002</v>
      </c>
      <c r="BW10" s="36">
        <f t="shared" si="86"/>
        <v>6.0601200000000004</v>
      </c>
      <c r="BX10" s="58">
        <f t="shared" si="86"/>
        <v>9.0901800000000001</v>
      </c>
      <c r="BZ10" s="31" t="str">
        <f t="shared" si="87"/>
        <v>10X12</v>
      </c>
      <c r="CA10" s="78">
        <f t="shared" si="87"/>
        <v>120</v>
      </c>
      <c r="CB10" s="35">
        <f t="shared" si="87"/>
        <v>3.0453500000000004</v>
      </c>
      <c r="CC10" s="36">
        <f t="shared" si="87"/>
        <v>6.0907000000000009</v>
      </c>
      <c r="CD10" s="58">
        <f t="shared" si="87"/>
        <v>9.1360500000000009</v>
      </c>
      <c r="CF10" s="31" t="str">
        <f t="shared" si="88"/>
        <v>11X14</v>
      </c>
      <c r="CG10" s="78">
        <f t="shared" si="88"/>
        <v>154</v>
      </c>
      <c r="CH10" s="35">
        <f t="shared" si="88"/>
        <v>3.8582500000000004</v>
      </c>
      <c r="CI10" s="36">
        <f t="shared" si="88"/>
        <v>7.7165000000000008</v>
      </c>
      <c r="CJ10" s="58">
        <f t="shared" si="88"/>
        <v>11.574750000000002</v>
      </c>
      <c r="CL10" s="31" t="str">
        <f t="shared" si="89"/>
        <v>14X17</v>
      </c>
      <c r="CM10" s="78">
        <f t="shared" si="89"/>
        <v>238</v>
      </c>
      <c r="CN10" s="35">
        <f t="shared" si="89"/>
        <v>5.9076599999999999</v>
      </c>
      <c r="CO10" s="36">
        <f t="shared" si="89"/>
        <v>11.81532</v>
      </c>
      <c r="CP10" s="58">
        <f t="shared" si="89"/>
        <v>17.72298</v>
      </c>
      <c r="CR10" s="208"/>
      <c r="CS10" s="230">
        <v>7</v>
      </c>
      <c r="CT10" s="217">
        <v>1</v>
      </c>
      <c r="CU10" s="232">
        <v>2</v>
      </c>
      <c r="CV10" s="208"/>
      <c r="CW10" s="253">
        <v>76.5</v>
      </c>
      <c r="CX10" s="208"/>
      <c r="CY10" s="251">
        <f t="shared" si="90"/>
        <v>1</v>
      </c>
      <c r="CZ10" s="250">
        <f t="shared" si="91"/>
        <v>1</v>
      </c>
      <c r="DA10" s="248">
        <f t="shared" si="92"/>
        <v>2</v>
      </c>
      <c r="DB10" s="248">
        <f t="shared" si="93"/>
        <v>1</v>
      </c>
      <c r="DC10" s="264"/>
      <c r="DD10" s="257" t="s">
        <v>6</v>
      </c>
      <c r="DE10" s="247">
        <f>11*14</f>
        <v>154</v>
      </c>
      <c r="DF10" s="199">
        <v>1.75</v>
      </c>
      <c r="DG10" s="195">
        <f t="shared" si="6"/>
        <v>2.262</v>
      </c>
      <c r="DH10" s="81">
        <f t="shared" si="7"/>
        <v>1.131</v>
      </c>
      <c r="DI10" s="81">
        <f t="shared" si="8"/>
        <v>0.60899999999999999</v>
      </c>
      <c r="DJ10" s="81">
        <f t="shared" si="9"/>
        <v>1.1621024999999998</v>
      </c>
      <c r="DK10" s="82">
        <f t="shared" si="42"/>
        <v>5.1641025000000003</v>
      </c>
      <c r="DM10" s="83">
        <f t="shared" si="10"/>
        <v>1.9836300000000002</v>
      </c>
      <c r="DN10" s="84">
        <f t="shared" si="11"/>
        <v>3.9672600000000005</v>
      </c>
      <c r="DO10" s="84">
        <f t="shared" si="12"/>
        <v>5.9508900000000011</v>
      </c>
      <c r="DP10" s="104"/>
      <c r="DQ10" s="85">
        <f t="shared" si="13"/>
        <v>1.9836300000000002</v>
      </c>
      <c r="DR10" s="108">
        <f t="shared" si="14"/>
        <v>0.99181500000000011</v>
      </c>
      <c r="DS10" s="244">
        <f t="shared" si="43"/>
        <v>6.1559175000000002</v>
      </c>
      <c r="DT10" s="113"/>
      <c r="DU10" s="132">
        <f t="shared" si="15"/>
        <v>76.5</v>
      </c>
      <c r="DV10" s="133">
        <f t="shared" si="16"/>
        <v>0.09</v>
      </c>
      <c r="DW10" s="128">
        <f t="shared" si="44"/>
        <v>6.8849999999999998</v>
      </c>
      <c r="DX10" s="133">
        <f t="shared" si="45"/>
        <v>1</v>
      </c>
      <c r="DY10" s="128">
        <f t="shared" si="46"/>
        <v>6.8849999999999998</v>
      </c>
      <c r="DZ10" s="126">
        <f t="shared" si="17"/>
        <v>2</v>
      </c>
      <c r="EA10" s="127">
        <f t="shared" si="47"/>
        <v>3.4424999999999999</v>
      </c>
      <c r="EC10" s="132">
        <f t="shared" si="48"/>
        <v>76.5</v>
      </c>
      <c r="ED10" s="133">
        <v>0.115</v>
      </c>
      <c r="EE10" s="128">
        <f t="shared" si="49"/>
        <v>8.7975000000000012</v>
      </c>
      <c r="EF10" s="133">
        <f t="shared" si="18"/>
        <v>1</v>
      </c>
      <c r="EG10" s="128">
        <f t="shared" si="50"/>
        <v>8.7975000000000012</v>
      </c>
      <c r="EH10" s="134">
        <f t="shared" si="51"/>
        <v>2</v>
      </c>
      <c r="EI10" s="127">
        <f t="shared" si="52"/>
        <v>4.3987500000000006</v>
      </c>
      <c r="EK10" s="132">
        <f t="shared" si="53"/>
        <v>76.5</v>
      </c>
      <c r="EL10" s="133">
        <f t="shared" si="94"/>
        <v>0.125</v>
      </c>
      <c r="EM10" s="128">
        <f t="shared" si="54"/>
        <v>9.5625</v>
      </c>
      <c r="EN10" s="133">
        <f t="shared" si="19"/>
        <v>1</v>
      </c>
      <c r="EO10" s="128">
        <f t="shared" si="55"/>
        <v>9.5625</v>
      </c>
      <c r="EP10" s="134">
        <f t="shared" si="56"/>
        <v>2</v>
      </c>
      <c r="EQ10" s="127">
        <f t="shared" si="20"/>
        <v>4.78125</v>
      </c>
      <c r="ER10" s="127"/>
      <c r="ES10" s="132">
        <f t="shared" si="57"/>
        <v>76.5</v>
      </c>
      <c r="ET10" s="133">
        <f t="shared" si="95"/>
        <v>0.13</v>
      </c>
      <c r="EU10" s="128">
        <f t="shared" si="58"/>
        <v>9.9450000000000003</v>
      </c>
      <c r="EV10" s="133">
        <f t="shared" si="21"/>
        <v>1</v>
      </c>
      <c r="EW10" s="128">
        <f t="shared" si="59"/>
        <v>9.9450000000000003</v>
      </c>
      <c r="EX10" s="134">
        <f t="shared" si="60"/>
        <v>2</v>
      </c>
      <c r="EY10" s="127">
        <f t="shared" si="22"/>
        <v>4.9725000000000001</v>
      </c>
      <c r="FA10" s="132">
        <f t="shared" si="61"/>
        <v>76.5</v>
      </c>
      <c r="FB10" s="133">
        <f t="shared" ref="FB10:FB40" si="96">IF(CT10=0,0,IF(CT10=1,0.145,IF(CT10&gt;1,0.14)))</f>
        <v>0.14499999999999999</v>
      </c>
      <c r="FC10" s="128">
        <f t="shared" si="62"/>
        <v>11.092499999999999</v>
      </c>
      <c r="FD10" s="133">
        <f t="shared" si="23"/>
        <v>1</v>
      </c>
      <c r="FE10" s="128">
        <f t="shared" si="63"/>
        <v>11.092499999999999</v>
      </c>
      <c r="FF10" s="134">
        <f t="shared" si="64"/>
        <v>2</v>
      </c>
      <c r="FG10" s="127">
        <f t="shared" si="24"/>
        <v>5.5462499999999997</v>
      </c>
      <c r="FI10" s="132">
        <f t="shared" si="65"/>
        <v>76.5</v>
      </c>
      <c r="FJ10" s="133">
        <f t="shared" ref="FJ10:FJ40" si="97">IF(CT10=0,0,IF(CT10=1,0.155,IF(CT10&gt;1,0.15)))</f>
        <v>0.155</v>
      </c>
      <c r="FK10" s="128">
        <f t="shared" si="66"/>
        <v>11.8575</v>
      </c>
      <c r="FL10" s="133">
        <f t="shared" si="25"/>
        <v>1</v>
      </c>
      <c r="FM10" s="128">
        <f t="shared" si="67"/>
        <v>11.8575</v>
      </c>
      <c r="FN10" s="134">
        <f t="shared" si="68"/>
        <v>2</v>
      </c>
      <c r="FO10" s="127">
        <f t="shared" si="26"/>
        <v>5.92875</v>
      </c>
      <c r="FQ10" s="132">
        <f t="shared" si="69"/>
        <v>76.5</v>
      </c>
      <c r="FR10" s="133">
        <f t="shared" si="27"/>
        <v>0.16500000000000001</v>
      </c>
      <c r="FS10" s="128">
        <f t="shared" si="70"/>
        <v>12.6225</v>
      </c>
      <c r="FT10" s="133">
        <f t="shared" si="28"/>
        <v>1</v>
      </c>
      <c r="FU10" s="128">
        <f t="shared" si="71"/>
        <v>12.6225</v>
      </c>
      <c r="FV10" s="134">
        <f t="shared" si="72"/>
        <v>2</v>
      </c>
      <c r="FW10" s="127">
        <f t="shared" si="29"/>
        <v>6.3112500000000002</v>
      </c>
      <c r="FY10" s="132">
        <f t="shared" si="73"/>
        <v>76.5</v>
      </c>
      <c r="FZ10" s="133">
        <f t="shared" si="30"/>
        <v>0.17499999999999999</v>
      </c>
      <c r="GA10" s="128">
        <f t="shared" si="74"/>
        <v>13.387499999999999</v>
      </c>
      <c r="GB10" s="133">
        <f t="shared" si="31"/>
        <v>1</v>
      </c>
      <c r="GC10" s="128">
        <f t="shared" si="75"/>
        <v>13.387499999999999</v>
      </c>
      <c r="GD10" s="134">
        <f t="shared" si="76"/>
        <v>2</v>
      </c>
      <c r="GE10" s="127">
        <f t="shared" si="32"/>
        <v>6.6937499999999996</v>
      </c>
      <c r="GG10" s="132">
        <f t="shared" si="77"/>
        <v>76.5</v>
      </c>
      <c r="GH10" s="133">
        <f t="shared" si="33"/>
        <v>0.185</v>
      </c>
      <c r="GI10" s="128">
        <f t="shared" si="78"/>
        <v>14.1525</v>
      </c>
      <c r="GJ10" s="133">
        <f t="shared" si="34"/>
        <v>1</v>
      </c>
      <c r="GK10" s="128">
        <f t="shared" si="79"/>
        <v>14.1525</v>
      </c>
      <c r="GL10" s="134">
        <f t="shared" si="80"/>
        <v>2</v>
      </c>
      <c r="GM10" s="127">
        <f t="shared" si="35"/>
        <v>7.0762499999999999</v>
      </c>
    </row>
    <row r="11" spans="1:236" ht="21.75" thickBot="1" x14ac:dyDescent="0.35">
      <c r="G11" s="24"/>
      <c r="H11" s="24"/>
      <c r="I11" s="24"/>
      <c r="J11" s="24"/>
      <c r="K11" s="24"/>
      <c r="L11" t="s">
        <v>8</v>
      </c>
      <c r="T11" s="140">
        <v>0.125</v>
      </c>
      <c r="U11" s="140"/>
      <c r="V11" s="137">
        <f>EL1</f>
        <v>353.8125</v>
      </c>
      <c r="W11" s="187"/>
      <c r="X11" s="2"/>
      <c r="Z11" s="156" t="s">
        <v>7</v>
      </c>
      <c r="AA11" s="157">
        <f>14*17</f>
        <v>238</v>
      </c>
      <c r="AB11" s="238">
        <v>537.05999999999995</v>
      </c>
      <c r="AC11" s="142">
        <f t="shared" si="0"/>
        <v>2.4822100840336134E-2</v>
      </c>
      <c r="AD11" s="97">
        <f>AB11/100+((AB11/100)*U3)</f>
        <v>5.9076599999999999</v>
      </c>
      <c r="AE11" s="97">
        <f t="shared" si="1"/>
        <v>11.81532</v>
      </c>
      <c r="AF11" s="97">
        <f t="shared" si="2"/>
        <v>17.72298</v>
      </c>
      <c r="AG11" s="165">
        <f t="shared" si="3"/>
        <v>2.4822100840336134E-2</v>
      </c>
      <c r="AH11" s="143">
        <f>((AB11*(1+U3)/100))</f>
        <v>5.9076599999999999</v>
      </c>
      <c r="AI11" s="146">
        <f t="shared" si="4"/>
        <v>11.81532</v>
      </c>
      <c r="AJ11" s="147">
        <f t="shared" si="5"/>
        <v>17.72298</v>
      </c>
      <c r="AK11" s="47">
        <f t="shared" si="81"/>
        <v>2.262</v>
      </c>
      <c r="AL11" s="46">
        <f t="shared" si="38"/>
        <v>1.131</v>
      </c>
      <c r="AM11" s="49">
        <f t="shared" si="38"/>
        <v>0.754</v>
      </c>
      <c r="AN11" s="111">
        <f t="shared" si="39"/>
        <v>0.5655</v>
      </c>
      <c r="AO11" s="50">
        <f t="shared" si="38"/>
        <v>1.218</v>
      </c>
      <c r="AP11" s="48">
        <f t="shared" si="38"/>
        <v>2.4359999999999999</v>
      </c>
      <c r="AQ11" s="51">
        <f t="shared" si="38"/>
        <v>3.6539999999999999</v>
      </c>
      <c r="AR11" s="52">
        <f t="shared" si="38"/>
        <v>2.3242049999999996</v>
      </c>
      <c r="AS11" s="45">
        <f t="shared" si="40"/>
        <v>4.6484099999999993</v>
      </c>
      <c r="AT11" s="161">
        <f t="shared" si="40"/>
        <v>6.9726149999999993</v>
      </c>
      <c r="AU11" s="163">
        <f t="shared" si="40"/>
        <v>1.1000000000000001</v>
      </c>
      <c r="AV11" s="78" t="str">
        <f t="shared" si="82"/>
        <v>5X7</v>
      </c>
      <c r="AW11" s="78">
        <f t="shared" si="82"/>
        <v>35</v>
      </c>
      <c r="AX11" s="35">
        <f t="shared" si="82"/>
        <v>0.97977000000000003</v>
      </c>
      <c r="AY11" s="36">
        <f t="shared" si="82"/>
        <v>1.9595400000000001</v>
      </c>
      <c r="AZ11" s="58">
        <f t="shared" si="82"/>
        <v>2.9393099999999999</v>
      </c>
      <c r="BB11" s="31" t="str">
        <f t="shared" si="83"/>
        <v>4.5X10</v>
      </c>
      <c r="BC11" s="78">
        <f t="shared" si="83"/>
        <v>45</v>
      </c>
      <c r="BD11" s="35">
        <f t="shared" si="83"/>
        <v>1.23838</v>
      </c>
      <c r="BE11" s="36">
        <f t="shared" si="83"/>
        <v>2.4767600000000001</v>
      </c>
      <c r="BF11" s="58">
        <f t="shared" si="83"/>
        <v>3.7151399999999999</v>
      </c>
      <c r="BH11" s="31" t="str">
        <f t="shared" si="84"/>
        <v>4.5X17</v>
      </c>
      <c r="BI11" s="78">
        <f t="shared" si="84"/>
        <v>76.5</v>
      </c>
      <c r="BJ11" s="35">
        <f t="shared" si="84"/>
        <v>1.9836300000000002</v>
      </c>
      <c r="BK11" s="36">
        <f t="shared" si="84"/>
        <v>3.9672600000000005</v>
      </c>
      <c r="BL11" s="58">
        <f t="shared" si="84"/>
        <v>5.9508900000000011</v>
      </c>
      <c r="BN11" s="31" t="str">
        <f t="shared" si="85"/>
        <v>8X10</v>
      </c>
      <c r="BO11" s="78">
        <f t="shared" si="85"/>
        <v>80</v>
      </c>
      <c r="BP11" s="35">
        <f t="shared" si="85"/>
        <v>2.0702000000000003</v>
      </c>
      <c r="BQ11" s="36">
        <f t="shared" si="85"/>
        <v>4.1404000000000005</v>
      </c>
      <c r="BR11" s="58">
        <f t="shared" si="85"/>
        <v>6.2106000000000012</v>
      </c>
      <c r="BT11" s="31" t="str">
        <f t="shared" si="86"/>
        <v>7X17</v>
      </c>
      <c r="BU11" s="78">
        <f t="shared" si="86"/>
        <v>119</v>
      </c>
      <c r="BV11" s="35">
        <f t="shared" si="86"/>
        <v>3.0300600000000002</v>
      </c>
      <c r="BW11" s="36">
        <f t="shared" si="86"/>
        <v>6.0601200000000004</v>
      </c>
      <c r="BX11" s="58">
        <f t="shared" si="86"/>
        <v>9.0901800000000001</v>
      </c>
      <c r="BZ11" s="31" t="str">
        <f t="shared" si="87"/>
        <v>10X12</v>
      </c>
      <c r="CA11" s="78">
        <f t="shared" si="87"/>
        <v>120</v>
      </c>
      <c r="CB11" s="35">
        <f t="shared" si="87"/>
        <v>3.0453500000000004</v>
      </c>
      <c r="CC11" s="36">
        <f t="shared" si="87"/>
        <v>6.0907000000000009</v>
      </c>
      <c r="CD11" s="58">
        <f t="shared" si="87"/>
        <v>9.1360500000000009</v>
      </c>
      <c r="CF11" s="31" t="str">
        <f t="shared" si="88"/>
        <v>11X14</v>
      </c>
      <c r="CG11" s="78">
        <f t="shared" si="88"/>
        <v>154</v>
      </c>
      <c r="CH11" s="35">
        <f t="shared" si="88"/>
        <v>3.8582500000000004</v>
      </c>
      <c r="CI11" s="36">
        <f t="shared" si="88"/>
        <v>7.7165000000000008</v>
      </c>
      <c r="CJ11" s="58">
        <f t="shared" si="88"/>
        <v>11.574750000000002</v>
      </c>
      <c r="CL11" s="31" t="str">
        <f t="shared" si="89"/>
        <v>14X17</v>
      </c>
      <c r="CM11" s="78">
        <f t="shared" si="89"/>
        <v>238</v>
      </c>
      <c r="CN11" s="35">
        <f t="shared" si="89"/>
        <v>5.9076599999999999</v>
      </c>
      <c r="CO11" s="36">
        <f t="shared" si="89"/>
        <v>11.81532</v>
      </c>
      <c r="CP11" s="58">
        <f t="shared" si="89"/>
        <v>17.72298</v>
      </c>
      <c r="CR11" s="208"/>
      <c r="CS11" s="230">
        <v>8</v>
      </c>
      <c r="CT11" s="217">
        <v>2</v>
      </c>
      <c r="CU11" s="232">
        <v>1</v>
      </c>
      <c r="CV11" s="208"/>
      <c r="CW11" s="253">
        <v>119</v>
      </c>
      <c r="CX11" s="208"/>
      <c r="CY11" s="251">
        <f t="shared" si="90"/>
        <v>1</v>
      </c>
      <c r="CZ11" s="250">
        <f t="shared" si="91"/>
        <v>1</v>
      </c>
      <c r="DA11" s="248">
        <f t="shared" si="92"/>
        <v>2</v>
      </c>
      <c r="DB11" s="248">
        <f t="shared" si="93"/>
        <v>1</v>
      </c>
      <c r="DC11" s="264"/>
      <c r="DD11" s="257" t="s">
        <v>7</v>
      </c>
      <c r="DE11" s="247">
        <f>14*17</f>
        <v>238</v>
      </c>
      <c r="DF11" s="199">
        <v>2.65</v>
      </c>
      <c r="DG11" s="195">
        <f t="shared" si="6"/>
        <v>4.524</v>
      </c>
      <c r="DH11" s="81">
        <f t="shared" si="7"/>
        <v>2.262</v>
      </c>
      <c r="DI11" s="81">
        <f t="shared" si="8"/>
        <v>2.4359999999999999</v>
      </c>
      <c r="DJ11" s="81">
        <f t="shared" si="9"/>
        <v>4.6484099999999993</v>
      </c>
      <c r="DK11" s="82">
        <f t="shared" si="42"/>
        <v>13.87041</v>
      </c>
      <c r="DM11" s="83">
        <f>(IF(CW11&lt;35,0,IF(CW11=35,AX11,IF(CW11=45,BD11,IF(CW11=76.5,BJ11,IF(CW11=80,BP11,IF(CW11=119,BV11,IF(CW11=120,CB11,IF(CW11=154,CH11,IF(CW11=238,CN11))))))))))</f>
        <v>3.0300600000000002</v>
      </c>
      <c r="DN11" s="84">
        <f>(IF(CW11&lt;35,0,IF(CW11=35,AY11,IF(CW11=45,BE11,IF(CW11=76.5,BK11,IF(CW11=80,BQ11,IF(CW11=119,BW11,IF(CW11=120,CC11,IF(CW11=154,CI11,IF(CW11=238,CO11))))))))))</f>
        <v>6.0601200000000004</v>
      </c>
      <c r="DO11" s="84">
        <f>(IF(CW11&lt;35,0,IF(CW11=35,AZ11,IF(CW11=45,BF11,IF(CW11=76.5,BL11,IF(CW11=80,BR11,IF(CW11=119,BX11,IF(CW11=120,CD11,IF(CW11=154,CJ11,IF(CW11=238,CP11))))))))))</f>
        <v>9.0901800000000001</v>
      </c>
      <c r="DP11" s="104"/>
      <c r="DQ11" s="85">
        <f t="shared" si="13"/>
        <v>6.0601200000000004</v>
      </c>
      <c r="DR11" s="108">
        <f t="shared" si="14"/>
        <v>6.0601200000000004</v>
      </c>
      <c r="DS11" s="244">
        <f t="shared" si="43"/>
        <v>19.930530000000001</v>
      </c>
      <c r="DT11" s="113"/>
      <c r="DU11" s="132">
        <f>CW11</f>
        <v>119</v>
      </c>
      <c r="DV11" s="133">
        <f t="shared" si="16"/>
        <v>8.5000000000000006E-2</v>
      </c>
      <c r="DW11" s="128">
        <f t="shared" si="44"/>
        <v>10.115</v>
      </c>
      <c r="DX11" s="133">
        <f t="shared" si="45"/>
        <v>1.5</v>
      </c>
      <c r="DY11" s="128">
        <f t="shared" si="46"/>
        <v>15.172499999999999</v>
      </c>
      <c r="DZ11" s="126">
        <f t="shared" si="17"/>
        <v>1</v>
      </c>
      <c r="EA11" s="127">
        <f t="shared" si="47"/>
        <v>15.172499999999999</v>
      </c>
      <c r="EC11" s="132">
        <f t="shared" si="48"/>
        <v>119</v>
      </c>
      <c r="ED11" s="133">
        <v>0.115</v>
      </c>
      <c r="EE11" s="128">
        <f t="shared" si="49"/>
        <v>13.685</v>
      </c>
      <c r="EF11" s="133">
        <f t="shared" si="18"/>
        <v>1.5</v>
      </c>
      <c r="EG11" s="128">
        <f t="shared" si="50"/>
        <v>20.5275</v>
      </c>
      <c r="EH11" s="134">
        <f t="shared" si="51"/>
        <v>1</v>
      </c>
      <c r="EI11" s="127">
        <f t="shared" si="52"/>
        <v>20.5275</v>
      </c>
      <c r="EK11" s="132">
        <f t="shared" si="53"/>
        <v>119</v>
      </c>
      <c r="EL11" s="133">
        <f t="shared" si="94"/>
        <v>0.125</v>
      </c>
      <c r="EM11" s="128">
        <f t="shared" si="54"/>
        <v>14.875</v>
      </c>
      <c r="EN11" s="133">
        <f t="shared" si="19"/>
        <v>1.5</v>
      </c>
      <c r="EO11" s="128">
        <f t="shared" si="55"/>
        <v>22.3125</v>
      </c>
      <c r="EP11" s="134">
        <f t="shared" si="56"/>
        <v>1</v>
      </c>
      <c r="EQ11" s="127">
        <f t="shared" si="20"/>
        <v>22.3125</v>
      </c>
      <c r="ER11" s="127"/>
      <c r="ES11" s="132">
        <f t="shared" si="57"/>
        <v>119</v>
      </c>
      <c r="ET11" s="133">
        <f t="shared" si="95"/>
        <v>0.13</v>
      </c>
      <c r="EU11" s="128">
        <f t="shared" si="58"/>
        <v>15.47</v>
      </c>
      <c r="EV11" s="133">
        <f t="shared" si="21"/>
        <v>1.5</v>
      </c>
      <c r="EW11" s="128">
        <f t="shared" si="59"/>
        <v>23.205000000000002</v>
      </c>
      <c r="EX11" s="134">
        <f t="shared" si="60"/>
        <v>1</v>
      </c>
      <c r="EY11" s="127">
        <f t="shared" si="22"/>
        <v>23.205000000000002</v>
      </c>
      <c r="FA11" s="132">
        <f t="shared" si="61"/>
        <v>119</v>
      </c>
      <c r="FB11" s="133">
        <f t="shared" si="96"/>
        <v>0.14000000000000001</v>
      </c>
      <c r="FC11" s="128">
        <f t="shared" si="62"/>
        <v>16.66</v>
      </c>
      <c r="FD11" s="133">
        <f t="shared" si="23"/>
        <v>1.5</v>
      </c>
      <c r="FE11" s="128">
        <f t="shared" si="63"/>
        <v>24.990000000000002</v>
      </c>
      <c r="FF11" s="134">
        <f t="shared" si="64"/>
        <v>1</v>
      </c>
      <c r="FG11" s="127">
        <f t="shared" si="24"/>
        <v>24.990000000000002</v>
      </c>
      <c r="FI11" s="132">
        <f t="shared" si="65"/>
        <v>119</v>
      </c>
      <c r="FJ11" s="133">
        <f t="shared" si="97"/>
        <v>0.15</v>
      </c>
      <c r="FK11" s="128">
        <f t="shared" si="66"/>
        <v>17.849999999999998</v>
      </c>
      <c r="FL11" s="133">
        <f t="shared" si="25"/>
        <v>1.5</v>
      </c>
      <c r="FM11" s="128">
        <f t="shared" si="67"/>
        <v>26.774999999999999</v>
      </c>
      <c r="FN11" s="134">
        <f t="shared" si="68"/>
        <v>1</v>
      </c>
      <c r="FO11" s="127">
        <f t="shared" si="26"/>
        <v>26.774999999999999</v>
      </c>
      <c r="FQ11" s="132">
        <f t="shared" si="69"/>
        <v>119</v>
      </c>
      <c r="FR11" s="133">
        <f t="shared" si="27"/>
        <v>0.16</v>
      </c>
      <c r="FS11" s="128">
        <f t="shared" si="70"/>
        <v>19.04</v>
      </c>
      <c r="FT11" s="133">
        <f t="shared" si="28"/>
        <v>1.5</v>
      </c>
      <c r="FU11" s="128">
        <f t="shared" si="71"/>
        <v>28.56</v>
      </c>
      <c r="FV11" s="134">
        <f t="shared" si="72"/>
        <v>1</v>
      </c>
      <c r="FW11" s="127">
        <f t="shared" si="29"/>
        <v>28.56</v>
      </c>
      <c r="FY11" s="132">
        <f t="shared" si="73"/>
        <v>119</v>
      </c>
      <c r="FZ11" s="133">
        <f t="shared" si="30"/>
        <v>0.17</v>
      </c>
      <c r="GA11" s="128">
        <f t="shared" si="74"/>
        <v>20.23</v>
      </c>
      <c r="GB11" s="133">
        <f t="shared" si="31"/>
        <v>1.5</v>
      </c>
      <c r="GC11" s="128">
        <f t="shared" si="75"/>
        <v>30.344999999999999</v>
      </c>
      <c r="GD11" s="134">
        <f t="shared" si="76"/>
        <v>1</v>
      </c>
      <c r="GE11" s="127">
        <f t="shared" si="32"/>
        <v>30.344999999999999</v>
      </c>
      <c r="GG11" s="132">
        <f t="shared" si="77"/>
        <v>119</v>
      </c>
      <c r="GH11" s="133">
        <f t="shared" si="33"/>
        <v>0.18</v>
      </c>
      <c r="GI11" s="128">
        <f t="shared" si="78"/>
        <v>21.419999999999998</v>
      </c>
      <c r="GJ11" s="133">
        <f t="shared" si="34"/>
        <v>1.5</v>
      </c>
      <c r="GK11" s="128">
        <f t="shared" si="79"/>
        <v>32.129999999999995</v>
      </c>
      <c r="GL11" s="134">
        <f t="shared" si="80"/>
        <v>1</v>
      </c>
      <c r="GM11" s="127">
        <f t="shared" si="35"/>
        <v>32.129999999999995</v>
      </c>
    </row>
    <row r="12" spans="1:236" ht="18.75" customHeight="1" x14ac:dyDescent="0.3">
      <c r="G12" s="24"/>
      <c r="H12" s="24"/>
      <c r="I12" s="24"/>
      <c r="J12" s="24"/>
      <c r="K12" s="24"/>
      <c r="L12" t="s">
        <v>8</v>
      </c>
      <c r="T12" s="140">
        <v>0.13</v>
      </c>
      <c r="U12" s="140"/>
      <c r="V12" s="137">
        <f>ET1</f>
        <v>367.96499999999997</v>
      </c>
      <c r="W12" s="187"/>
      <c r="X12" s="29" t="s">
        <v>8</v>
      </c>
      <c r="AK12" s="47">
        <f t="shared" si="81"/>
        <v>2.262</v>
      </c>
      <c r="AL12" s="46">
        <f>AL11</f>
        <v>1.131</v>
      </c>
      <c r="AM12" s="49">
        <f>AM11</f>
        <v>0.754</v>
      </c>
      <c r="AN12" s="111">
        <f t="shared" si="39"/>
        <v>0.5655</v>
      </c>
      <c r="AO12" s="50">
        <f t="shared" ref="AO12:AU12" si="98">AO11</f>
        <v>1.218</v>
      </c>
      <c r="AP12" s="48">
        <f t="shared" si="98"/>
        <v>2.4359999999999999</v>
      </c>
      <c r="AQ12" s="51">
        <f t="shared" si="98"/>
        <v>3.6539999999999999</v>
      </c>
      <c r="AR12" s="52">
        <f t="shared" si="98"/>
        <v>2.3242049999999996</v>
      </c>
      <c r="AS12" s="45">
        <f t="shared" si="98"/>
        <v>4.6484099999999993</v>
      </c>
      <c r="AT12" s="161">
        <f t="shared" si="98"/>
        <v>6.9726149999999993</v>
      </c>
      <c r="AU12" s="163">
        <f t="shared" si="98"/>
        <v>1.1000000000000001</v>
      </c>
      <c r="AV12" s="78" t="str">
        <f t="shared" ref="AV12:AZ12" si="99">AV11</f>
        <v>5X7</v>
      </c>
      <c r="AW12" s="78">
        <f t="shared" si="99"/>
        <v>35</v>
      </c>
      <c r="AX12" s="35">
        <f t="shared" si="99"/>
        <v>0.97977000000000003</v>
      </c>
      <c r="AY12" s="36">
        <f t="shared" si="99"/>
        <v>1.9595400000000001</v>
      </c>
      <c r="AZ12" s="58">
        <f t="shared" si="99"/>
        <v>2.9393099999999999</v>
      </c>
      <c r="BB12" s="31" t="str">
        <f>BB11</f>
        <v>4.5X10</v>
      </c>
      <c r="BC12" s="78">
        <f>BC11</f>
        <v>45</v>
      </c>
      <c r="BD12" s="35">
        <f>BD11</f>
        <v>1.23838</v>
      </c>
      <c r="BE12" s="36">
        <f>BE11</f>
        <v>2.4767600000000001</v>
      </c>
      <c r="BF12" s="58">
        <f>BF11</f>
        <v>3.7151399999999999</v>
      </c>
      <c r="BH12" s="31" t="str">
        <f>BH11</f>
        <v>4.5X17</v>
      </c>
      <c r="BI12" s="78">
        <f>BI11</f>
        <v>76.5</v>
      </c>
      <c r="BJ12" s="35">
        <f>BJ11</f>
        <v>1.9836300000000002</v>
      </c>
      <c r="BK12" s="36">
        <f>BK11</f>
        <v>3.9672600000000005</v>
      </c>
      <c r="BL12" s="58">
        <f>BL11</f>
        <v>5.9508900000000011</v>
      </c>
      <c r="BN12" s="31" t="str">
        <f>BN11</f>
        <v>8X10</v>
      </c>
      <c r="BO12" s="78">
        <f>BO11</f>
        <v>80</v>
      </c>
      <c r="BP12" s="35">
        <f>BP11</f>
        <v>2.0702000000000003</v>
      </c>
      <c r="BQ12" s="36">
        <f>BQ11</f>
        <v>4.1404000000000005</v>
      </c>
      <c r="BR12" s="58">
        <f>BR11</f>
        <v>6.2106000000000012</v>
      </c>
      <c r="BT12" s="31" t="str">
        <f>BT11</f>
        <v>7X17</v>
      </c>
      <c r="BU12" s="78">
        <f>BU11</f>
        <v>119</v>
      </c>
      <c r="BV12" s="35">
        <f>BV11</f>
        <v>3.0300600000000002</v>
      </c>
      <c r="BW12" s="36">
        <f>BW11</f>
        <v>6.0601200000000004</v>
      </c>
      <c r="BX12" s="58">
        <f>BX11</f>
        <v>9.0901800000000001</v>
      </c>
      <c r="BZ12" s="31" t="str">
        <f>BZ11</f>
        <v>10X12</v>
      </c>
      <c r="CA12" s="78">
        <f>CA11</f>
        <v>120</v>
      </c>
      <c r="CB12" s="35">
        <f>CB11</f>
        <v>3.0453500000000004</v>
      </c>
      <c r="CC12" s="36">
        <f>CC11</f>
        <v>6.0907000000000009</v>
      </c>
      <c r="CD12" s="58">
        <f>CD11</f>
        <v>9.1360500000000009</v>
      </c>
      <c r="CF12" s="31" t="str">
        <f>CF11</f>
        <v>11X14</v>
      </c>
      <c r="CG12" s="78">
        <f>CG11</f>
        <v>154</v>
      </c>
      <c r="CH12" s="35">
        <f>CH11</f>
        <v>3.8582500000000004</v>
      </c>
      <c r="CI12" s="36">
        <f>CI11</f>
        <v>7.7165000000000008</v>
      </c>
      <c r="CJ12" s="58">
        <f>CJ11</f>
        <v>11.574750000000002</v>
      </c>
      <c r="CL12" s="31" t="str">
        <f>CL11</f>
        <v>14X17</v>
      </c>
      <c r="CM12" s="78">
        <f>CM11</f>
        <v>238</v>
      </c>
      <c r="CN12" s="35">
        <f>CN11</f>
        <v>5.9076599999999999</v>
      </c>
      <c r="CO12" s="36">
        <f>CO11</f>
        <v>11.81532</v>
      </c>
      <c r="CP12" s="58">
        <f>CP11</f>
        <v>17.72298</v>
      </c>
      <c r="CR12" s="208"/>
      <c r="CS12" s="230">
        <v>9</v>
      </c>
      <c r="CT12" s="217">
        <v>2</v>
      </c>
      <c r="CU12" s="232">
        <v>1</v>
      </c>
      <c r="CV12" s="208"/>
      <c r="CW12" s="253">
        <v>119</v>
      </c>
      <c r="CX12" s="208"/>
      <c r="CY12" s="251">
        <f t="shared" si="90"/>
        <v>1</v>
      </c>
      <c r="CZ12" s="250">
        <f t="shared" si="91"/>
        <v>1</v>
      </c>
      <c r="DA12" s="248">
        <f t="shared" si="92"/>
        <v>2</v>
      </c>
      <c r="DB12" s="248">
        <f t="shared" si="93"/>
        <v>1</v>
      </c>
      <c r="DC12" s="264"/>
      <c r="DD12" s="258"/>
      <c r="DE12" s="197"/>
      <c r="DF12" s="200"/>
      <c r="DG12" s="195">
        <f t="shared" si="6"/>
        <v>4.524</v>
      </c>
      <c r="DH12" s="81">
        <f t="shared" si="7"/>
        <v>2.262</v>
      </c>
      <c r="DI12" s="81">
        <f t="shared" si="8"/>
        <v>2.4359999999999999</v>
      </c>
      <c r="DJ12" s="81">
        <f t="shared" si="9"/>
        <v>4.6484099999999993</v>
      </c>
      <c r="DK12" s="82">
        <f t="shared" si="42"/>
        <v>13.87041</v>
      </c>
      <c r="DM12" s="83">
        <f t="shared" si="10"/>
        <v>3.0300600000000002</v>
      </c>
      <c r="DN12" s="84">
        <f t="shared" si="11"/>
        <v>6.0601200000000004</v>
      </c>
      <c r="DO12" s="84">
        <f t="shared" si="12"/>
        <v>9.0901800000000001</v>
      </c>
      <c r="DP12" s="104"/>
      <c r="DQ12" s="85">
        <f t="shared" si="13"/>
        <v>6.0601200000000004</v>
      </c>
      <c r="DR12" s="108">
        <f t="shared" si="14"/>
        <v>6.0601200000000004</v>
      </c>
      <c r="DS12" s="244">
        <f t="shared" si="43"/>
        <v>19.930530000000001</v>
      </c>
      <c r="DT12" s="113"/>
      <c r="DU12" s="132">
        <f t="shared" si="15"/>
        <v>119</v>
      </c>
      <c r="DV12" s="133">
        <f t="shared" si="16"/>
        <v>8.5000000000000006E-2</v>
      </c>
      <c r="DW12" s="128">
        <f t="shared" si="44"/>
        <v>10.115</v>
      </c>
      <c r="DX12" s="133">
        <f t="shared" si="45"/>
        <v>1.5</v>
      </c>
      <c r="DY12" s="128">
        <f t="shared" si="46"/>
        <v>15.172499999999999</v>
      </c>
      <c r="DZ12" s="126">
        <f t="shared" si="17"/>
        <v>1</v>
      </c>
      <c r="EA12" s="127">
        <f t="shared" si="47"/>
        <v>15.172499999999999</v>
      </c>
      <c r="EC12" s="132">
        <f t="shared" si="48"/>
        <v>119</v>
      </c>
      <c r="ED12" s="133">
        <v>0.115</v>
      </c>
      <c r="EE12" s="128">
        <f t="shared" si="49"/>
        <v>13.685</v>
      </c>
      <c r="EF12" s="133">
        <f t="shared" si="18"/>
        <v>1.5</v>
      </c>
      <c r="EG12" s="128">
        <f t="shared" si="50"/>
        <v>20.5275</v>
      </c>
      <c r="EH12" s="134">
        <f t="shared" si="51"/>
        <v>1</v>
      </c>
      <c r="EI12" s="127">
        <f t="shared" si="52"/>
        <v>20.5275</v>
      </c>
      <c r="EK12" s="132">
        <f t="shared" si="53"/>
        <v>119</v>
      </c>
      <c r="EL12" s="133">
        <f t="shared" si="94"/>
        <v>0.125</v>
      </c>
      <c r="EM12" s="128">
        <f t="shared" si="54"/>
        <v>14.875</v>
      </c>
      <c r="EN12" s="133">
        <f t="shared" si="19"/>
        <v>1.5</v>
      </c>
      <c r="EO12" s="128">
        <f t="shared" si="55"/>
        <v>22.3125</v>
      </c>
      <c r="EP12" s="134">
        <f t="shared" si="56"/>
        <v>1</v>
      </c>
      <c r="EQ12" s="127">
        <f t="shared" si="20"/>
        <v>22.3125</v>
      </c>
      <c r="ER12" s="127"/>
      <c r="ES12" s="132">
        <f t="shared" si="57"/>
        <v>119</v>
      </c>
      <c r="ET12" s="133">
        <f t="shared" si="95"/>
        <v>0.13</v>
      </c>
      <c r="EU12" s="128">
        <f t="shared" si="58"/>
        <v>15.47</v>
      </c>
      <c r="EV12" s="133">
        <f t="shared" si="21"/>
        <v>1.5</v>
      </c>
      <c r="EW12" s="128">
        <f t="shared" si="59"/>
        <v>23.205000000000002</v>
      </c>
      <c r="EX12" s="134">
        <f t="shared" si="60"/>
        <v>1</v>
      </c>
      <c r="EY12" s="127">
        <f t="shared" si="22"/>
        <v>23.205000000000002</v>
      </c>
      <c r="FA12" s="132">
        <f t="shared" si="61"/>
        <v>119</v>
      </c>
      <c r="FB12" s="133">
        <f t="shared" si="96"/>
        <v>0.14000000000000001</v>
      </c>
      <c r="FC12" s="128">
        <f t="shared" si="62"/>
        <v>16.66</v>
      </c>
      <c r="FD12" s="133">
        <f t="shared" si="23"/>
        <v>1.5</v>
      </c>
      <c r="FE12" s="128">
        <f t="shared" si="63"/>
        <v>24.990000000000002</v>
      </c>
      <c r="FF12" s="134">
        <f t="shared" si="64"/>
        <v>1</v>
      </c>
      <c r="FG12" s="127">
        <f t="shared" si="24"/>
        <v>24.990000000000002</v>
      </c>
      <c r="FI12" s="132">
        <f t="shared" si="65"/>
        <v>119</v>
      </c>
      <c r="FJ12" s="133">
        <f t="shared" si="97"/>
        <v>0.15</v>
      </c>
      <c r="FK12" s="128">
        <f t="shared" si="66"/>
        <v>17.849999999999998</v>
      </c>
      <c r="FL12" s="133">
        <f t="shared" si="25"/>
        <v>1.5</v>
      </c>
      <c r="FM12" s="128">
        <f t="shared" si="67"/>
        <v>26.774999999999999</v>
      </c>
      <c r="FN12" s="134">
        <f t="shared" si="68"/>
        <v>1</v>
      </c>
      <c r="FO12" s="127">
        <f t="shared" si="26"/>
        <v>26.774999999999999</v>
      </c>
      <c r="FQ12" s="132">
        <f t="shared" si="69"/>
        <v>119</v>
      </c>
      <c r="FR12" s="133">
        <f t="shared" si="27"/>
        <v>0.16</v>
      </c>
      <c r="FS12" s="128">
        <f t="shared" si="70"/>
        <v>19.04</v>
      </c>
      <c r="FT12" s="133">
        <f t="shared" si="28"/>
        <v>1.5</v>
      </c>
      <c r="FU12" s="128">
        <f t="shared" si="71"/>
        <v>28.56</v>
      </c>
      <c r="FV12" s="134">
        <f t="shared" si="72"/>
        <v>1</v>
      </c>
      <c r="FW12" s="127">
        <f t="shared" si="29"/>
        <v>28.56</v>
      </c>
      <c r="FY12" s="132">
        <f t="shared" si="73"/>
        <v>119</v>
      </c>
      <c r="FZ12" s="133">
        <f t="shared" si="30"/>
        <v>0.17</v>
      </c>
      <c r="GA12" s="128">
        <f t="shared" si="74"/>
        <v>20.23</v>
      </c>
      <c r="GB12" s="133">
        <f t="shared" si="31"/>
        <v>1.5</v>
      </c>
      <c r="GC12" s="128">
        <f t="shared" si="75"/>
        <v>30.344999999999999</v>
      </c>
      <c r="GD12" s="134">
        <f t="shared" si="76"/>
        <v>1</v>
      </c>
      <c r="GE12" s="127">
        <f t="shared" si="32"/>
        <v>30.344999999999999</v>
      </c>
      <c r="GG12" s="132">
        <f t="shared" si="77"/>
        <v>119</v>
      </c>
      <c r="GH12" s="133">
        <f t="shared" si="33"/>
        <v>0.18</v>
      </c>
      <c r="GI12" s="128">
        <f t="shared" si="78"/>
        <v>21.419999999999998</v>
      </c>
      <c r="GJ12" s="133">
        <f t="shared" si="34"/>
        <v>1.5</v>
      </c>
      <c r="GK12" s="128">
        <f t="shared" si="79"/>
        <v>32.129999999999995</v>
      </c>
      <c r="GL12" s="134">
        <f t="shared" si="80"/>
        <v>1</v>
      </c>
      <c r="GM12" s="127">
        <f t="shared" si="35"/>
        <v>32.129999999999995</v>
      </c>
    </row>
    <row r="13" spans="1:236" ht="21" x14ac:dyDescent="0.3">
      <c r="D13" t="s">
        <v>114</v>
      </c>
      <c r="E13">
        <v>22</v>
      </c>
      <c r="G13" s="24"/>
      <c r="H13" s="24"/>
      <c r="I13" s="24"/>
      <c r="J13" s="24"/>
      <c r="K13" s="24"/>
      <c r="L13" t="s">
        <v>8</v>
      </c>
      <c r="T13" s="136">
        <v>0.14000000000000001</v>
      </c>
      <c r="U13" s="136"/>
      <c r="V13" s="137">
        <f>FB1</f>
        <v>397.54500000000013</v>
      </c>
      <c r="W13" s="187"/>
      <c r="X13" s="2"/>
      <c r="Y13" s="120"/>
      <c r="Z13" s="119"/>
      <c r="AA13" s="118"/>
      <c r="AC13" s="118"/>
      <c r="AD13" s="118"/>
      <c r="AE13" s="118"/>
      <c r="AF13" s="118"/>
      <c r="AG13" s="118"/>
      <c r="AH13" s="118"/>
      <c r="AJ13" s="109" t="s">
        <v>59</v>
      </c>
      <c r="AK13" s="47">
        <f t="shared" si="81"/>
        <v>2.262</v>
      </c>
      <c r="AL13" s="46">
        <f t="shared" si="38"/>
        <v>1.131</v>
      </c>
      <c r="AM13" s="49">
        <f t="shared" si="38"/>
        <v>0.754</v>
      </c>
      <c r="AN13" s="111">
        <f t="shared" si="39"/>
        <v>0.5655</v>
      </c>
      <c r="AO13" s="50">
        <f t="shared" si="38"/>
        <v>1.218</v>
      </c>
      <c r="AP13" s="48">
        <f t="shared" si="38"/>
        <v>2.4359999999999999</v>
      </c>
      <c r="AQ13" s="51">
        <f t="shared" si="38"/>
        <v>3.6539999999999999</v>
      </c>
      <c r="AR13" s="52">
        <f t="shared" si="38"/>
        <v>2.3242049999999996</v>
      </c>
      <c r="AS13" s="45">
        <f t="shared" si="40"/>
        <v>4.6484099999999993</v>
      </c>
      <c r="AT13" s="161">
        <f t="shared" si="40"/>
        <v>6.9726149999999993</v>
      </c>
      <c r="AU13" s="163">
        <f t="shared" si="40"/>
        <v>1.1000000000000001</v>
      </c>
      <c r="AV13" s="78" t="str">
        <f t="shared" si="82"/>
        <v>5X7</v>
      </c>
      <c r="AW13" s="78">
        <f t="shared" si="82"/>
        <v>35</v>
      </c>
      <c r="AX13" s="35">
        <f t="shared" si="82"/>
        <v>0.97977000000000003</v>
      </c>
      <c r="AY13" s="36">
        <f t="shared" si="82"/>
        <v>1.9595400000000001</v>
      </c>
      <c r="AZ13" s="58">
        <f t="shared" si="82"/>
        <v>2.9393099999999999</v>
      </c>
      <c r="BB13" s="31" t="str">
        <f t="shared" si="83"/>
        <v>4.5X10</v>
      </c>
      <c r="BC13" s="78">
        <f t="shared" si="83"/>
        <v>45</v>
      </c>
      <c r="BD13" s="35">
        <f t="shared" si="83"/>
        <v>1.23838</v>
      </c>
      <c r="BE13" s="36">
        <f t="shared" si="83"/>
        <v>2.4767600000000001</v>
      </c>
      <c r="BF13" s="58">
        <f t="shared" si="83"/>
        <v>3.7151399999999999</v>
      </c>
      <c r="BH13" s="31" t="str">
        <f t="shared" si="84"/>
        <v>4.5X17</v>
      </c>
      <c r="BI13" s="78">
        <f t="shared" si="84"/>
        <v>76.5</v>
      </c>
      <c r="BJ13" s="35">
        <f t="shared" si="84"/>
        <v>1.9836300000000002</v>
      </c>
      <c r="BK13" s="36">
        <f t="shared" si="84"/>
        <v>3.9672600000000005</v>
      </c>
      <c r="BL13" s="58">
        <f t="shared" si="84"/>
        <v>5.9508900000000011</v>
      </c>
      <c r="BN13" s="31" t="str">
        <f t="shared" si="85"/>
        <v>8X10</v>
      </c>
      <c r="BO13" s="78">
        <f t="shared" si="85"/>
        <v>80</v>
      </c>
      <c r="BP13" s="35">
        <f t="shared" si="85"/>
        <v>2.0702000000000003</v>
      </c>
      <c r="BQ13" s="36">
        <f t="shared" si="85"/>
        <v>4.1404000000000005</v>
      </c>
      <c r="BR13" s="58">
        <f t="shared" si="85"/>
        <v>6.2106000000000012</v>
      </c>
      <c r="BT13" s="31" t="str">
        <f t="shared" si="86"/>
        <v>7X17</v>
      </c>
      <c r="BU13" s="78">
        <f t="shared" si="86"/>
        <v>119</v>
      </c>
      <c r="BV13" s="35">
        <f t="shared" si="86"/>
        <v>3.0300600000000002</v>
      </c>
      <c r="BW13" s="36">
        <f t="shared" si="86"/>
        <v>6.0601200000000004</v>
      </c>
      <c r="BX13" s="58">
        <f t="shared" si="86"/>
        <v>9.0901800000000001</v>
      </c>
      <c r="BZ13" s="31" t="str">
        <f t="shared" si="87"/>
        <v>10X12</v>
      </c>
      <c r="CA13" s="78">
        <f t="shared" si="87"/>
        <v>120</v>
      </c>
      <c r="CB13" s="35">
        <f t="shared" si="87"/>
        <v>3.0453500000000004</v>
      </c>
      <c r="CC13" s="36">
        <f t="shared" si="87"/>
        <v>6.0907000000000009</v>
      </c>
      <c r="CD13" s="58">
        <f t="shared" si="87"/>
        <v>9.1360500000000009</v>
      </c>
      <c r="CF13" s="31" t="str">
        <f t="shared" si="88"/>
        <v>11X14</v>
      </c>
      <c r="CG13" s="78">
        <f t="shared" si="88"/>
        <v>154</v>
      </c>
      <c r="CH13" s="35">
        <f t="shared" si="88"/>
        <v>3.8582500000000004</v>
      </c>
      <c r="CI13" s="36">
        <f t="shared" si="88"/>
        <v>7.7165000000000008</v>
      </c>
      <c r="CJ13" s="58">
        <f t="shared" si="88"/>
        <v>11.574750000000002</v>
      </c>
      <c r="CL13" s="31" t="str">
        <f t="shared" si="89"/>
        <v>14X17</v>
      </c>
      <c r="CM13" s="78">
        <f t="shared" si="89"/>
        <v>238</v>
      </c>
      <c r="CN13" s="35">
        <f t="shared" si="89"/>
        <v>5.9076599999999999</v>
      </c>
      <c r="CO13" s="36">
        <f t="shared" si="89"/>
        <v>11.81532</v>
      </c>
      <c r="CP13" s="58">
        <f t="shared" si="89"/>
        <v>17.72298</v>
      </c>
      <c r="CR13" s="208"/>
      <c r="CS13" s="230">
        <v>10</v>
      </c>
      <c r="CT13" s="217">
        <v>2</v>
      </c>
      <c r="CU13" s="232">
        <v>1</v>
      </c>
      <c r="CV13" s="208"/>
      <c r="CW13" s="253">
        <v>119</v>
      </c>
      <c r="CX13" s="208"/>
      <c r="CY13" s="251">
        <f t="shared" si="90"/>
        <v>1</v>
      </c>
      <c r="CZ13" s="250">
        <f t="shared" si="91"/>
        <v>1</v>
      </c>
      <c r="DA13" s="248">
        <f t="shared" si="92"/>
        <v>2</v>
      </c>
      <c r="DB13" s="248">
        <f t="shared" si="93"/>
        <v>1</v>
      </c>
      <c r="DC13" s="264"/>
      <c r="DD13" s="259"/>
      <c r="DE13" s="201"/>
      <c r="DF13" s="199">
        <v>1.25</v>
      </c>
      <c r="DG13" s="195">
        <f t="shared" si="6"/>
        <v>4.524</v>
      </c>
      <c r="DH13" s="81">
        <f t="shared" si="7"/>
        <v>2.262</v>
      </c>
      <c r="DI13" s="81">
        <f t="shared" si="8"/>
        <v>2.4359999999999999</v>
      </c>
      <c r="DJ13" s="81">
        <f t="shared" si="9"/>
        <v>4.6484099999999993</v>
      </c>
      <c r="DK13" s="82">
        <f t="shared" si="42"/>
        <v>13.87041</v>
      </c>
      <c r="DM13" s="83">
        <f t="shared" si="10"/>
        <v>3.0300600000000002</v>
      </c>
      <c r="DN13" s="84">
        <f t="shared" si="11"/>
        <v>6.0601200000000004</v>
      </c>
      <c r="DO13" s="84">
        <f t="shared" si="12"/>
        <v>9.0901800000000001</v>
      </c>
      <c r="DP13" s="104"/>
      <c r="DQ13" s="85">
        <f t="shared" si="13"/>
        <v>6.0601200000000004</v>
      </c>
      <c r="DR13" s="108">
        <f t="shared" si="14"/>
        <v>6.0601200000000004</v>
      </c>
      <c r="DS13" s="244">
        <f t="shared" si="43"/>
        <v>19.930530000000001</v>
      </c>
      <c r="DT13" s="113"/>
      <c r="DU13" s="132">
        <f t="shared" si="15"/>
        <v>119</v>
      </c>
      <c r="DV13" s="133">
        <f t="shared" si="16"/>
        <v>8.5000000000000006E-2</v>
      </c>
      <c r="DW13" s="128">
        <f t="shared" si="44"/>
        <v>10.115</v>
      </c>
      <c r="DX13" s="133">
        <f t="shared" si="45"/>
        <v>1.5</v>
      </c>
      <c r="DY13" s="128">
        <f t="shared" si="46"/>
        <v>15.172499999999999</v>
      </c>
      <c r="DZ13" s="126">
        <f t="shared" si="17"/>
        <v>1</v>
      </c>
      <c r="EA13" s="127">
        <f t="shared" si="47"/>
        <v>15.172499999999999</v>
      </c>
      <c r="EC13" s="132">
        <f t="shared" si="48"/>
        <v>119</v>
      </c>
      <c r="ED13" s="133">
        <v>0.115</v>
      </c>
      <c r="EE13" s="128">
        <f t="shared" si="49"/>
        <v>13.685</v>
      </c>
      <c r="EF13" s="133">
        <f t="shared" si="18"/>
        <v>1.5</v>
      </c>
      <c r="EG13" s="128">
        <f t="shared" si="50"/>
        <v>20.5275</v>
      </c>
      <c r="EH13" s="134">
        <f t="shared" si="51"/>
        <v>1</v>
      </c>
      <c r="EI13" s="127">
        <f t="shared" si="52"/>
        <v>20.5275</v>
      </c>
      <c r="EK13" s="132">
        <f t="shared" si="53"/>
        <v>119</v>
      </c>
      <c r="EL13" s="133">
        <f t="shared" si="94"/>
        <v>0.125</v>
      </c>
      <c r="EM13" s="128">
        <f t="shared" si="54"/>
        <v>14.875</v>
      </c>
      <c r="EN13" s="133">
        <f t="shared" si="19"/>
        <v>1.5</v>
      </c>
      <c r="EO13" s="128">
        <f t="shared" si="55"/>
        <v>22.3125</v>
      </c>
      <c r="EP13" s="134">
        <f t="shared" si="56"/>
        <v>1</v>
      </c>
      <c r="EQ13" s="127">
        <f t="shared" si="20"/>
        <v>22.3125</v>
      </c>
      <c r="ER13" s="127"/>
      <c r="ES13" s="132">
        <f t="shared" si="57"/>
        <v>119</v>
      </c>
      <c r="ET13" s="133">
        <f t="shared" si="95"/>
        <v>0.13</v>
      </c>
      <c r="EU13" s="128">
        <f t="shared" si="58"/>
        <v>15.47</v>
      </c>
      <c r="EV13" s="133">
        <f t="shared" si="21"/>
        <v>1.5</v>
      </c>
      <c r="EW13" s="128">
        <f t="shared" si="59"/>
        <v>23.205000000000002</v>
      </c>
      <c r="EX13" s="134">
        <f t="shared" si="60"/>
        <v>1</v>
      </c>
      <c r="EY13" s="127">
        <f t="shared" si="22"/>
        <v>23.205000000000002</v>
      </c>
      <c r="FA13" s="132">
        <f t="shared" si="61"/>
        <v>119</v>
      </c>
      <c r="FB13" s="133">
        <f t="shared" si="96"/>
        <v>0.14000000000000001</v>
      </c>
      <c r="FC13" s="128">
        <f t="shared" si="62"/>
        <v>16.66</v>
      </c>
      <c r="FD13" s="133">
        <f t="shared" si="23"/>
        <v>1.5</v>
      </c>
      <c r="FE13" s="128">
        <f t="shared" si="63"/>
        <v>24.990000000000002</v>
      </c>
      <c r="FF13" s="134">
        <f t="shared" si="64"/>
        <v>1</v>
      </c>
      <c r="FG13" s="127">
        <f t="shared" si="24"/>
        <v>24.990000000000002</v>
      </c>
      <c r="FI13" s="132">
        <f t="shared" si="65"/>
        <v>119</v>
      </c>
      <c r="FJ13" s="133">
        <f t="shared" si="97"/>
        <v>0.15</v>
      </c>
      <c r="FK13" s="128">
        <f t="shared" si="66"/>
        <v>17.849999999999998</v>
      </c>
      <c r="FL13" s="133">
        <f t="shared" si="25"/>
        <v>1.5</v>
      </c>
      <c r="FM13" s="128">
        <f t="shared" si="67"/>
        <v>26.774999999999999</v>
      </c>
      <c r="FN13" s="134">
        <f t="shared" si="68"/>
        <v>1</v>
      </c>
      <c r="FO13" s="127">
        <f t="shared" si="26"/>
        <v>26.774999999999999</v>
      </c>
      <c r="FQ13" s="132">
        <f t="shared" si="69"/>
        <v>119</v>
      </c>
      <c r="FR13" s="133">
        <f t="shared" si="27"/>
        <v>0.16</v>
      </c>
      <c r="FS13" s="128">
        <f t="shared" si="70"/>
        <v>19.04</v>
      </c>
      <c r="FT13" s="133">
        <f t="shared" si="28"/>
        <v>1.5</v>
      </c>
      <c r="FU13" s="128">
        <f t="shared" si="71"/>
        <v>28.56</v>
      </c>
      <c r="FV13" s="134">
        <f t="shared" si="72"/>
        <v>1</v>
      </c>
      <c r="FW13" s="127">
        <f t="shared" si="29"/>
        <v>28.56</v>
      </c>
      <c r="FY13" s="132">
        <f t="shared" si="73"/>
        <v>119</v>
      </c>
      <c r="FZ13" s="133">
        <f t="shared" si="30"/>
        <v>0.17</v>
      </c>
      <c r="GA13" s="128">
        <f t="shared" si="74"/>
        <v>20.23</v>
      </c>
      <c r="GB13" s="133">
        <f t="shared" si="31"/>
        <v>1.5</v>
      </c>
      <c r="GC13" s="128">
        <f t="shared" si="75"/>
        <v>30.344999999999999</v>
      </c>
      <c r="GD13" s="134">
        <f t="shared" si="76"/>
        <v>1</v>
      </c>
      <c r="GE13" s="127">
        <f t="shared" si="32"/>
        <v>30.344999999999999</v>
      </c>
      <c r="GG13" s="132">
        <f t="shared" si="77"/>
        <v>119</v>
      </c>
      <c r="GH13" s="133">
        <f t="shared" si="33"/>
        <v>0.18</v>
      </c>
      <c r="GI13" s="128">
        <f t="shared" si="78"/>
        <v>21.419999999999998</v>
      </c>
      <c r="GJ13" s="133">
        <f t="shared" si="34"/>
        <v>1.5</v>
      </c>
      <c r="GK13" s="128">
        <f t="shared" si="79"/>
        <v>32.129999999999995</v>
      </c>
      <c r="GL13" s="134">
        <f t="shared" si="80"/>
        <v>1</v>
      </c>
      <c r="GM13" s="127">
        <f t="shared" si="35"/>
        <v>32.129999999999995</v>
      </c>
    </row>
    <row r="14" spans="1:236" ht="21" x14ac:dyDescent="0.3">
      <c r="D14" t="s">
        <v>115</v>
      </c>
      <c r="E14">
        <v>22</v>
      </c>
      <c r="G14" s="24" t="s">
        <v>8</v>
      </c>
      <c r="H14" s="24" t="s">
        <v>8</v>
      </c>
      <c r="I14" s="24"/>
      <c r="J14" s="24"/>
      <c r="K14" s="24"/>
      <c r="L14" t="s">
        <v>8</v>
      </c>
      <c r="N14" s="8"/>
      <c r="O14" s="29"/>
      <c r="P14" s="8"/>
      <c r="Q14" s="8"/>
      <c r="R14" s="8"/>
      <c r="T14" s="136">
        <v>0.15</v>
      </c>
      <c r="U14" s="136"/>
      <c r="V14" s="138">
        <f>FJ1</f>
        <v>425.84999999999985</v>
      </c>
      <c r="W14" s="188"/>
      <c r="X14" s="2"/>
      <c r="Y14" s="122"/>
      <c r="Z14" s="119"/>
      <c r="AA14" s="118"/>
      <c r="AC14" s="118" t="s">
        <v>8</v>
      </c>
      <c r="AD14" s="118"/>
      <c r="AE14" s="118"/>
      <c r="AF14" s="118"/>
      <c r="AG14" s="118" t="s">
        <v>8</v>
      </c>
      <c r="AH14" s="118"/>
      <c r="AI14" s="8" t="s">
        <v>8</v>
      </c>
      <c r="AJ14" s="109">
        <v>1.02</v>
      </c>
      <c r="AK14" s="47">
        <f t="shared" si="81"/>
        <v>2.262</v>
      </c>
      <c r="AL14" s="46">
        <f t="shared" ref="AL14:AU21" si="100">AL13</f>
        <v>1.131</v>
      </c>
      <c r="AM14" s="49">
        <f t="shared" si="100"/>
        <v>0.754</v>
      </c>
      <c r="AN14" s="111">
        <f t="shared" si="39"/>
        <v>0.5655</v>
      </c>
      <c r="AO14" s="50">
        <f t="shared" si="100"/>
        <v>1.218</v>
      </c>
      <c r="AP14" s="48">
        <f t="shared" si="100"/>
        <v>2.4359999999999999</v>
      </c>
      <c r="AQ14" s="51">
        <f t="shared" si="100"/>
        <v>3.6539999999999999</v>
      </c>
      <c r="AR14" s="52">
        <f t="shared" si="100"/>
        <v>2.3242049999999996</v>
      </c>
      <c r="AS14" s="45">
        <f t="shared" si="100"/>
        <v>4.6484099999999993</v>
      </c>
      <c r="AT14" s="161">
        <f t="shared" si="100"/>
        <v>6.9726149999999993</v>
      </c>
      <c r="AU14" s="163">
        <f t="shared" si="100"/>
        <v>1.1000000000000001</v>
      </c>
      <c r="AV14" s="78" t="str">
        <f>AV13</f>
        <v>5X7</v>
      </c>
      <c r="AW14" s="78">
        <f>AW13</f>
        <v>35</v>
      </c>
      <c r="AX14" s="35">
        <f>AX13</f>
        <v>0.97977000000000003</v>
      </c>
      <c r="AY14" s="36">
        <f>AY13</f>
        <v>1.9595400000000001</v>
      </c>
      <c r="AZ14" s="58">
        <f>AZ13</f>
        <v>2.9393099999999999</v>
      </c>
      <c r="BB14" s="31" t="str">
        <f>BB13</f>
        <v>4.5X10</v>
      </c>
      <c r="BC14" s="78">
        <f>BC13</f>
        <v>45</v>
      </c>
      <c r="BD14" s="35">
        <f>BD13</f>
        <v>1.23838</v>
      </c>
      <c r="BE14" s="36">
        <f>BE13</f>
        <v>2.4767600000000001</v>
      </c>
      <c r="BF14" s="58">
        <f>BF13</f>
        <v>3.7151399999999999</v>
      </c>
      <c r="BH14" s="31" t="str">
        <f>BH13</f>
        <v>4.5X17</v>
      </c>
      <c r="BI14" s="78">
        <f>BI13</f>
        <v>76.5</v>
      </c>
      <c r="BJ14" s="35">
        <f>BJ13</f>
        <v>1.9836300000000002</v>
      </c>
      <c r="BK14" s="36">
        <f>BK13</f>
        <v>3.9672600000000005</v>
      </c>
      <c r="BL14" s="58">
        <f>BL13</f>
        <v>5.9508900000000011</v>
      </c>
      <c r="BN14" s="31" t="str">
        <f>BN13</f>
        <v>8X10</v>
      </c>
      <c r="BO14" s="78">
        <f>BO13</f>
        <v>80</v>
      </c>
      <c r="BP14" s="35">
        <f>BP13</f>
        <v>2.0702000000000003</v>
      </c>
      <c r="BQ14" s="36">
        <f>BQ13</f>
        <v>4.1404000000000005</v>
      </c>
      <c r="BR14" s="58">
        <f>BR13</f>
        <v>6.2106000000000012</v>
      </c>
      <c r="BT14" s="31" t="str">
        <f>BT13</f>
        <v>7X17</v>
      </c>
      <c r="BU14" s="78">
        <f>BU13</f>
        <v>119</v>
      </c>
      <c r="BV14" s="35">
        <f>BV13</f>
        <v>3.0300600000000002</v>
      </c>
      <c r="BW14" s="36">
        <f>BW13</f>
        <v>6.0601200000000004</v>
      </c>
      <c r="BX14" s="58">
        <f>BX13</f>
        <v>9.0901800000000001</v>
      </c>
      <c r="BZ14" s="31" t="str">
        <f>BZ13</f>
        <v>10X12</v>
      </c>
      <c r="CA14" s="78">
        <f>CA13</f>
        <v>120</v>
      </c>
      <c r="CB14" s="35">
        <f>CB13</f>
        <v>3.0453500000000004</v>
      </c>
      <c r="CC14" s="36">
        <f>CC13</f>
        <v>6.0907000000000009</v>
      </c>
      <c r="CD14" s="58">
        <f>CD13</f>
        <v>9.1360500000000009</v>
      </c>
      <c r="CF14" s="31" t="str">
        <f>CF13</f>
        <v>11X14</v>
      </c>
      <c r="CG14" s="78">
        <f>CG13</f>
        <v>154</v>
      </c>
      <c r="CH14" s="35">
        <f>CH13</f>
        <v>3.8582500000000004</v>
      </c>
      <c r="CI14" s="36">
        <f>CI13</f>
        <v>7.7165000000000008</v>
      </c>
      <c r="CJ14" s="58">
        <f>CJ13</f>
        <v>11.574750000000002</v>
      </c>
      <c r="CL14" s="31" t="str">
        <f>CL13</f>
        <v>14X17</v>
      </c>
      <c r="CM14" s="78">
        <f>CM13</f>
        <v>238</v>
      </c>
      <c r="CN14" s="35">
        <f>CN13</f>
        <v>5.9076599999999999</v>
      </c>
      <c r="CO14" s="36">
        <f>CO13</f>
        <v>11.81532</v>
      </c>
      <c r="CP14" s="58">
        <f>CP13</f>
        <v>17.72298</v>
      </c>
      <c r="CR14" s="208"/>
      <c r="CS14" s="230">
        <v>11</v>
      </c>
      <c r="CT14" s="217">
        <v>2</v>
      </c>
      <c r="CU14" s="232">
        <v>1</v>
      </c>
      <c r="CV14" s="208"/>
      <c r="CW14" s="253">
        <v>119</v>
      </c>
      <c r="CX14" s="208"/>
      <c r="CY14" s="251">
        <f t="shared" si="90"/>
        <v>1</v>
      </c>
      <c r="CZ14" s="250">
        <f t="shared" si="91"/>
        <v>1</v>
      </c>
      <c r="DA14" s="248">
        <f t="shared" si="92"/>
        <v>2</v>
      </c>
      <c r="DB14" s="248">
        <f t="shared" si="93"/>
        <v>1</v>
      </c>
      <c r="DC14" s="264"/>
      <c r="DD14" s="259"/>
      <c r="DE14" s="201"/>
      <c r="DF14" s="199">
        <v>3.5</v>
      </c>
      <c r="DG14" s="195">
        <f t="shared" si="6"/>
        <v>4.524</v>
      </c>
      <c r="DH14" s="81">
        <f t="shared" si="7"/>
        <v>2.262</v>
      </c>
      <c r="DI14" s="81">
        <f t="shared" si="8"/>
        <v>2.4359999999999999</v>
      </c>
      <c r="DJ14" s="81">
        <f t="shared" si="9"/>
        <v>4.6484099999999993</v>
      </c>
      <c r="DK14" s="82">
        <f t="shared" si="42"/>
        <v>13.87041</v>
      </c>
      <c r="DM14" s="83">
        <f t="shared" si="10"/>
        <v>3.0300600000000002</v>
      </c>
      <c r="DN14" s="84">
        <f t="shared" si="11"/>
        <v>6.0601200000000004</v>
      </c>
      <c r="DO14" s="84">
        <f t="shared" si="12"/>
        <v>9.0901800000000001</v>
      </c>
      <c r="DP14" s="104"/>
      <c r="DQ14" s="85">
        <f t="shared" si="13"/>
        <v>6.0601200000000004</v>
      </c>
      <c r="DR14" s="108">
        <f t="shared" si="14"/>
        <v>6.0601200000000004</v>
      </c>
      <c r="DS14" s="244">
        <f t="shared" si="43"/>
        <v>19.930530000000001</v>
      </c>
      <c r="DT14" s="113"/>
      <c r="DU14" s="132">
        <f t="shared" si="15"/>
        <v>119</v>
      </c>
      <c r="DV14" s="133">
        <f t="shared" si="16"/>
        <v>8.5000000000000006E-2</v>
      </c>
      <c r="DW14" s="128">
        <f t="shared" si="44"/>
        <v>10.115</v>
      </c>
      <c r="DX14" s="133">
        <f t="shared" si="45"/>
        <v>1.5</v>
      </c>
      <c r="DY14" s="128">
        <f t="shared" si="46"/>
        <v>15.172499999999999</v>
      </c>
      <c r="DZ14" s="126">
        <f t="shared" si="17"/>
        <v>1</v>
      </c>
      <c r="EA14" s="127">
        <f t="shared" si="47"/>
        <v>15.172499999999999</v>
      </c>
      <c r="EB14" s="126" t="s">
        <v>8</v>
      </c>
      <c r="EC14" s="132">
        <f t="shared" si="48"/>
        <v>119</v>
      </c>
      <c r="ED14" s="133">
        <v>0.115</v>
      </c>
      <c r="EE14" s="128">
        <f t="shared" si="49"/>
        <v>13.685</v>
      </c>
      <c r="EF14" s="133">
        <f t="shared" si="18"/>
        <v>1.5</v>
      </c>
      <c r="EG14" s="128">
        <f t="shared" si="50"/>
        <v>20.5275</v>
      </c>
      <c r="EH14" s="134">
        <f t="shared" si="51"/>
        <v>1</v>
      </c>
      <c r="EI14" s="127">
        <f t="shared" si="52"/>
        <v>20.5275</v>
      </c>
      <c r="EK14" s="132">
        <f t="shared" si="53"/>
        <v>119</v>
      </c>
      <c r="EL14" s="133">
        <f t="shared" si="94"/>
        <v>0.125</v>
      </c>
      <c r="EM14" s="128">
        <f t="shared" si="54"/>
        <v>14.875</v>
      </c>
      <c r="EN14" s="133">
        <f t="shared" si="19"/>
        <v>1.5</v>
      </c>
      <c r="EO14" s="128">
        <f t="shared" si="55"/>
        <v>22.3125</v>
      </c>
      <c r="EP14" s="134">
        <f t="shared" si="56"/>
        <v>1</v>
      </c>
      <c r="EQ14" s="127">
        <f t="shared" si="20"/>
        <v>22.3125</v>
      </c>
      <c r="ER14" s="127"/>
      <c r="ES14" s="132">
        <f t="shared" si="57"/>
        <v>119</v>
      </c>
      <c r="ET14" s="133">
        <f t="shared" si="95"/>
        <v>0.13</v>
      </c>
      <c r="EU14" s="128">
        <f t="shared" si="58"/>
        <v>15.47</v>
      </c>
      <c r="EV14" s="133">
        <f t="shared" si="21"/>
        <v>1.5</v>
      </c>
      <c r="EW14" s="128">
        <f t="shared" si="59"/>
        <v>23.205000000000002</v>
      </c>
      <c r="EX14" s="134">
        <f t="shared" si="60"/>
        <v>1</v>
      </c>
      <c r="EY14" s="127">
        <f t="shared" si="22"/>
        <v>23.205000000000002</v>
      </c>
      <c r="FA14" s="132">
        <f t="shared" si="61"/>
        <v>119</v>
      </c>
      <c r="FB14" s="133">
        <f t="shared" si="96"/>
        <v>0.14000000000000001</v>
      </c>
      <c r="FC14" s="128">
        <f t="shared" si="62"/>
        <v>16.66</v>
      </c>
      <c r="FD14" s="133">
        <f t="shared" si="23"/>
        <v>1.5</v>
      </c>
      <c r="FE14" s="128">
        <f t="shared" si="63"/>
        <v>24.990000000000002</v>
      </c>
      <c r="FF14" s="134">
        <f t="shared" si="64"/>
        <v>1</v>
      </c>
      <c r="FG14" s="127">
        <f t="shared" si="24"/>
        <v>24.990000000000002</v>
      </c>
      <c r="FI14" s="132">
        <f t="shared" si="65"/>
        <v>119</v>
      </c>
      <c r="FJ14" s="133">
        <f t="shared" si="97"/>
        <v>0.15</v>
      </c>
      <c r="FK14" s="128">
        <f t="shared" si="66"/>
        <v>17.849999999999998</v>
      </c>
      <c r="FL14" s="133">
        <f t="shared" si="25"/>
        <v>1.5</v>
      </c>
      <c r="FM14" s="128">
        <f t="shared" si="67"/>
        <v>26.774999999999999</v>
      </c>
      <c r="FN14" s="134">
        <f t="shared" si="68"/>
        <v>1</v>
      </c>
      <c r="FO14" s="127">
        <f t="shared" si="26"/>
        <v>26.774999999999999</v>
      </c>
      <c r="FQ14" s="132">
        <f t="shared" si="69"/>
        <v>119</v>
      </c>
      <c r="FR14" s="133">
        <f t="shared" si="27"/>
        <v>0.16</v>
      </c>
      <c r="FS14" s="128">
        <f t="shared" si="70"/>
        <v>19.04</v>
      </c>
      <c r="FT14" s="133">
        <f t="shared" si="28"/>
        <v>1.5</v>
      </c>
      <c r="FU14" s="128">
        <f t="shared" si="71"/>
        <v>28.56</v>
      </c>
      <c r="FV14" s="134">
        <f t="shared" si="72"/>
        <v>1</v>
      </c>
      <c r="FW14" s="127">
        <f t="shared" si="29"/>
        <v>28.56</v>
      </c>
      <c r="FY14" s="132">
        <f t="shared" si="73"/>
        <v>119</v>
      </c>
      <c r="FZ14" s="133">
        <f t="shared" si="30"/>
        <v>0.17</v>
      </c>
      <c r="GA14" s="128">
        <f t="shared" si="74"/>
        <v>20.23</v>
      </c>
      <c r="GB14" s="133">
        <f t="shared" si="31"/>
        <v>1.5</v>
      </c>
      <c r="GC14" s="128">
        <f t="shared" si="75"/>
        <v>30.344999999999999</v>
      </c>
      <c r="GD14" s="134">
        <f t="shared" si="76"/>
        <v>1</v>
      </c>
      <c r="GE14" s="127">
        <f t="shared" si="32"/>
        <v>30.344999999999999</v>
      </c>
      <c r="GG14" s="132">
        <f t="shared" si="77"/>
        <v>119</v>
      </c>
      <c r="GH14" s="133">
        <f t="shared" si="33"/>
        <v>0.18</v>
      </c>
      <c r="GI14" s="128">
        <f t="shared" si="78"/>
        <v>21.419999999999998</v>
      </c>
      <c r="GJ14" s="133">
        <f t="shared" si="34"/>
        <v>1.5</v>
      </c>
      <c r="GK14" s="128">
        <f t="shared" si="79"/>
        <v>32.129999999999995</v>
      </c>
      <c r="GL14" s="134">
        <f t="shared" si="80"/>
        <v>1</v>
      </c>
      <c r="GM14" s="127">
        <f t="shared" si="35"/>
        <v>32.129999999999995</v>
      </c>
    </row>
    <row r="15" spans="1:236" ht="21" x14ac:dyDescent="0.3">
      <c r="D15" t="s">
        <v>116</v>
      </c>
      <c r="E15">
        <v>22</v>
      </c>
      <c r="G15" s="24"/>
      <c r="H15" s="24"/>
      <c r="I15" s="24"/>
      <c r="J15" s="24"/>
      <c r="K15" s="24"/>
      <c r="L15" t="s">
        <v>8</v>
      </c>
      <c r="N15" s="8"/>
      <c r="O15" s="29"/>
      <c r="P15" s="8"/>
      <c r="Q15" s="8"/>
      <c r="R15" s="8"/>
      <c r="T15" s="136">
        <v>0.16</v>
      </c>
      <c r="U15" s="136"/>
      <c r="V15" s="137">
        <f>FR1</f>
        <v>454.53750000000002</v>
      </c>
      <c r="W15" s="187"/>
      <c r="X15" s="2"/>
      <c r="Y15" s="122"/>
      <c r="Z15" s="119"/>
      <c r="AA15" s="118"/>
      <c r="AC15" s="118"/>
      <c r="AD15" s="118"/>
      <c r="AE15" s="118"/>
      <c r="AF15" s="118"/>
      <c r="AG15" s="118"/>
      <c r="AH15" s="118"/>
      <c r="AI15" s="229" t="s">
        <v>8</v>
      </c>
      <c r="AK15" s="47">
        <f t="shared" si="81"/>
        <v>2.262</v>
      </c>
      <c r="AL15" s="46">
        <f t="shared" si="38"/>
        <v>1.131</v>
      </c>
      <c r="AM15" s="49">
        <f t="shared" si="38"/>
        <v>0.754</v>
      </c>
      <c r="AN15" s="111">
        <f t="shared" si="39"/>
        <v>0.5655</v>
      </c>
      <c r="AO15" s="50">
        <f t="shared" si="38"/>
        <v>1.218</v>
      </c>
      <c r="AP15" s="48">
        <f t="shared" si="38"/>
        <v>2.4359999999999999</v>
      </c>
      <c r="AQ15" s="51">
        <f t="shared" si="38"/>
        <v>3.6539999999999999</v>
      </c>
      <c r="AR15" s="52">
        <f t="shared" si="38"/>
        <v>2.3242049999999996</v>
      </c>
      <c r="AS15" s="45">
        <f t="shared" si="40"/>
        <v>4.6484099999999993</v>
      </c>
      <c r="AT15" s="161">
        <f t="shared" si="40"/>
        <v>6.9726149999999993</v>
      </c>
      <c r="AU15" s="163">
        <f t="shared" si="40"/>
        <v>1.1000000000000001</v>
      </c>
      <c r="AV15" s="78" t="str">
        <f t="shared" si="82"/>
        <v>5X7</v>
      </c>
      <c r="AW15" s="78">
        <f t="shared" si="82"/>
        <v>35</v>
      </c>
      <c r="AX15" s="35">
        <f t="shared" si="82"/>
        <v>0.97977000000000003</v>
      </c>
      <c r="AY15" s="36">
        <f t="shared" si="82"/>
        <v>1.9595400000000001</v>
      </c>
      <c r="AZ15" s="58">
        <f t="shared" si="82"/>
        <v>2.9393099999999999</v>
      </c>
      <c r="BB15" s="31" t="str">
        <f t="shared" si="83"/>
        <v>4.5X10</v>
      </c>
      <c r="BC15" s="78">
        <f t="shared" si="83"/>
        <v>45</v>
      </c>
      <c r="BD15" s="35">
        <f t="shared" si="83"/>
        <v>1.23838</v>
      </c>
      <c r="BE15" s="36">
        <f t="shared" si="83"/>
        <v>2.4767600000000001</v>
      </c>
      <c r="BF15" s="58">
        <f t="shared" si="83"/>
        <v>3.7151399999999999</v>
      </c>
      <c r="BH15" s="31" t="str">
        <f t="shared" si="84"/>
        <v>4.5X17</v>
      </c>
      <c r="BI15" s="78">
        <f t="shared" si="84"/>
        <v>76.5</v>
      </c>
      <c r="BJ15" s="35">
        <f t="shared" si="84"/>
        <v>1.9836300000000002</v>
      </c>
      <c r="BK15" s="36">
        <f t="shared" si="84"/>
        <v>3.9672600000000005</v>
      </c>
      <c r="BL15" s="58">
        <f t="shared" si="84"/>
        <v>5.9508900000000011</v>
      </c>
      <c r="BN15" s="31" t="str">
        <f t="shared" si="85"/>
        <v>8X10</v>
      </c>
      <c r="BO15" s="78">
        <f t="shared" si="85"/>
        <v>80</v>
      </c>
      <c r="BP15" s="35">
        <f t="shared" si="85"/>
        <v>2.0702000000000003</v>
      </c>
      <c r="BQ15" s="36">
        <f t="shared" si="85"/>
        <v>4.1404000000000005</v>
      </c>
      <c r="BR15" s="58">
        <f t="shared" si="85"/>
        <v>6.2106000000000012</v>
      </c>
      <c r="BT15" s="31" t="str">
        <f t="shared" si="86"/>
        <v>7X17</v>
      </c>
      <c r="BU15" s="78">
        <f t="shared" si="86"/>
        <v>119</v>
      </c>
      <c r="BV15" s="35">
        <f t="shared" si="86"/>
        <v>3.0300600000000002</v>
      </c>
      <c r="BW15" s="36">
        <f t="shared" si="86"/>
        <v>6.0601200000000004</v>
      </c>
      <c r="BX15" s="58">
        <f t="shared" si="86"/>
        <v>9.0901800000000001</v>
      </c>
      <c r="BZ15" s="31" t="str">
        <f t="shared" si="87"/>
        <v>10X12</v>
      </c>
      <c r="CA15" s="78">
        <f t="shared" si="87"/>
        <v>120</v>
      </c>
      <c r="CB15" s="35">
        <f t="shared" si="87"/>
        <v>3.0453500000000004</v>
      </c>
      <c r="CC15" s="36">
        <f t="shared" si="87"/>
        <v>6.0907000000000009</v>
      </c>
      <c r="CD15" s="58">
        <f t="shared" si="87"/>
        <v>9.1360500000000009</v>
      </c>
      <c r="CF15" s="31" t="str">
        <f t="shared" si="88"/>
        <v>11X14</v>
      </c>
      <c r="CG15" s="78">
        <f t="shared" si="88"/>
        <v>154</v>
      </c>
      <c r="CH15" s="35">
        <f t="shared" si="88"/>
        <v>3.8582500000000004</v>
      </c>
      <c r="CI15" s="36">
        <f t="shared" si="88"/>
        <v>7.7165000000000008</v>
      </c>
      <c r="CJ15" s="58">
        <f t="shared" si="88"/>
        <v>11.574750000000002</v>
      </c>
      <c r="CL15" s="31" t="str">
        <f t="shared" si="89"/>
        <v>14X17</v>
      </c>
      <c r="CM15" s="78">
        <f t="shared" si="89"/>
        <v>238</v>
      </c>
      <c r="CN15" s="35">
        <f t="shared" si="89"/>
        <v>5.9076599999999999</v>
      </c>
      <c r="CO15" s="36">
        <f t="shared" si="89"/>
        <v>11.81532</v>
      </c>
      <c r="CP15" s="58">
        <f t="shared" si="89"/>
        <v>17.72298</v>
      </c>
      <c r="CR15" s="208"/>
      <c r="CS15" s="230">
        <v>12</v>
      </c>
      <c r="CT15" s="217">
        <v>2</v>
      </c>
      <c r="CU15" s="232">
        <v>1</v>
      </c>
      <c r="CV15" s="208"/>
      <c r="CW15" s="253">
        <v>119</v>
      </c>
      <c r="CX15" s="208"/>
      <c r="CY15" s="251">
        <f t="shared" si="90"/>
        <v>1</v>
      </c>
      <c r="CZ15" s="250">
        <f t="shared" si="91"/>
        <v>1</v>
      </c>
      <c r="DA15" s="248">
        <f t="shared" si="92"/>
        <v>2</v>
      </c>
      <c r="DB15" s="248">
        <f t="shared" si="93"/>
        <v>1</v>
      </c>
      <c r="DC15" s="264"/>
      <c r="DD15" s="259"/>
      <c r="DE15" s="201"/>
      <c r="DF15" s="202"/>
      <c r="DG15" s="195">
        <f t="shared" si="6"/>
        <v>4.524</v>
      </c>
      <c r="DH15" s="81">
        <f t="shared" si="7"/>
        <v>2.262</v>
      </c>
      <c r="DI15" s="81">
        <f t="shared" si="8"/>
        <v>2.4359999999999999</v>
      </c>
      <c r="DJ15" s="81">
        <f t="shared" si="9"/>
        <v>4.6484099999999993</v>
      </c>
      <c r="DK15" s="82">
        <f t="shared" si="42"/>
        <v>13.87041</v>
      </c>
      <c r="DM15" s="83">
        <f t="shared" si="10"/>
        <v>3.0300600000000002</v>
      </c>
      <c r="DN15" s="84">
        <f t="shared" si="11"/>
        <v>6.0601200000000004</v>
      </c>
      <c r="DO15" s="84">
        <f t="shared" si="12"/>
        <v>9.0901800000000001</v>
      </c>
      <c r="DP15" s="104"/>
      <c r="DQ15" s="85">
        <f t="shared" si="13"/>
        <v>6.0601200000000004</v>
      </c>
      <c r="DR15" s="108">
        <f t="shared" si="14"/>
        <v>6.0601200000000004</v>
      </c>
      <c r="DS15" s="244">
        <f>DR15+DK15</f>
        <v>19.930530000000001</v>
      </c>
      <c r="DT15" s="113"/>
      <c r="DU15" s="132">
        <f t="shared" si="15"/>
        <v>119</v>
      </c>
      <c r="DV15" s="133">
        <f t="shared" si="16"/>
        <v>8.5000000000000006E-2</v>
      </c>
      <c r="DW15" s="128">
        <f t="shared" si="44"/>
        <v>10.115</v>
      </c>
      <c r="DX15" s="133">
        <f t="shared" si="45"/>
        <v>1.5</v>
      </c>
      <c r="DY15" s="128">
        <f t="shared" si="46"/>
        <v>15.172499999999999</v>
      </c>
      <c r="DZ15" s="126">
        <f t="shared" si="17"/>
        <v>1</v>
      </c>
      <c r="EA15" s="127">
        <f t="shared" si="47"/>
        <v>15.172499999999999</v>
      </c>
      <c r="EB15" s="126" t="s">
        <v>8</v>
      </c>
      <c r="EC15" s="132">
        <f t="shared" si="48"/>
        <v>119</v>
      </c>
      <c r="ED15" s="133">
        <v>0.115</v>
      </c>
      <c r="EE15" s="128">
        <f t="shared" si="49"/>
        <v>13.685</v>
      </c>
      <c r="EF15" s="133">
        <f t="shared" si="18"/>
        <v>1.5</v>
      </c>
      <c r="EG15" s="128">
        <f t="shared" si="50"/>
        <v>20.5275</v>
      </c>
      <c r="EH15" s="134">
        <f t="shared" si="51"/>
        <v>1</v>
      </c>
      <c r="EI15" s="127">
        <f t="shared" si="52"/>
        <v>20.5275</v>
      </c>
      <c r="EK15" s="132">
        <f t="shared" si="53"/>
        <v>119</v>
      </c>
      <c r="EL15" s="133">
        <f t="shared" si="94"/>
        <v>0.125</v>
      </c>
      <c r="EM15" s="128">
        <f t="shared" si="54"/>
        <v>14.875</v>
      </c>
      <c r="EN15" s="133">
        <f t="shared" si="19"/>
        <v>1.5</v>
      </c>
      <c r="EO15" s="128">
        <f t="shared" si="55"/>
        <v>22.3125</v>
      </c>
      <c r="EP15" s="134">
        <f t="shared" si="56"/>
        <v>1</v>
      </c>
      <c r="EQ15" s="127">
        <f t="shared" si="20"/>
        <v>22.3125</v>
      </c>
      <c r="ER15" s="127"/>
      <c r="ES15" s="132">
        <f t="shared" si="57"/>
        <v>119</v>
      </c>
      <c r="ET15" s="133">
        <f t="shared" si="95"/>
        <v>0.13</v>
      </c>
      <c r="EU15" s="128">
        <f t="shared" si="58"/>
        <v>15.47</v>
      </c>
      <c r="EV15" s="133">
        <f t="shared" si="21"/>
        <v>1.5</v>
      </c>
      <c r="EW15" s="128">
        <f t="shared" si="59"/>
        <v>23.205000000000002</v>
      </c>
      <c r="EX15" s="134">
        <f t="shared" si="60"/>
        <v>1</v>
      </c>
      <c r="EY15" s="127">
        <f t="shared" si="22"/>
        <v>23.205000000000002</v>
      </c>
      <c r="FA15" s="132">
        <f t="shared" si="61"/>
        <v>119</v>
      </c>
      <c r="FB15" s="133">
        <f t="shared" si="96"/>
        <v>0.14000000000000001</v>
      </c>
      <c r="FC15" s="128">
        <f t="shared" si="62"/>
        <v>16.66</v>
      </c>
      <c r="FD15" s="133">
        <f t="shared" si="23"/>
        <v>1.5</v>
      </c>
      <c r="FE15" s="128">
        <f t="shared" si="63"/>
        <v>24.990000000000002</v>
      </c>
      <c r="FF15" s="134">
        <f t="shared" si="64"/>
        <v>1</v>
      </c>
      <c r="FG15" s="127">
        <f t="shared" si="24"/>
        <v>24.990000000000002</v>
      </c>
      <c r="FI15" s="132">
        <f t="shared" si="65"/>
        <v>119</v>
      </c>
      <c r="FJ15" s="133">
        <f t="shared" si="97"/>
        <v>0.15</v>
      </c>
      <c r="FK15" s="128">
        <f t="shared" si="66"/>
        <v>17.849999999999998</v>
      </c>
      <c r="FL15" s="133">
        <f t="shared" si="25"/>
        <v>1.5</v>
      </c>
      <c r="FM15" s="128">
        <f t="shared" si="67"/>
        <v>26.774999999999999</v>
      </c>
      <c r="FN15" s="134">
        <f t="shared" si="68"/>
        <v>1</v>
      </c>
      <c r="FO15" s="127">
        <f t="shared" si="26"/>
        <v>26.774999999999999</v>
      </c>
      <c r="FQ15" s="132">
        <f t="shared" si="69"/>
        <v>119</v>
      </c>
      <c r="FR15" s="133">
        <f t="shared" si="27"/>
        <v>0.16</v>
      </c>
      <c r="FS15" s="128">
        <f t="shared" si="70"/>
        <v>19.04</v>
      </c>
      <c r="FT15" s="133">
        <f t="shared" si="28"/>
        <v>1.5</v>
      </c>
      <c r="FU15" s="128">
        <f t="shared" si="71"/>
        <v>28.56</v>
      </c>
      <c r="FV15" s="134">
        <f t="shared" si="72"/>
        <v>1</v>
      </c>
      <c r="FW15" s="127">
        <f t="shared" si="29"/>
        <v>28.56</v>
      </c>
      <c r="FY15" s="132">
        <f t="shared" si="73"/>
        <v>119</v>
      </c>
      <c r="FZ15" s="133">
        <f t="shared" si="30"/>
        <v>0.17</v>
      </c>
      <c r="GA15" s="128">
        <f t="shared" si="74"/>
        <v>20.23</v>
      </c>
      <c r="GB15" s="133">
        <f t="shared" si="31"/>
        <v>1.5</v>
      </c>
      <c r="GC15" s="128">
        <f t="shared" si="75"/>
        <v>30.344999999999999</v>
      </c>
      <c r="GD15" s="134">
        <f t="shared" si="76"/>
        <v>1</v>
      </c>
      <c r="GE15" s="127">
        <f t="shared" si="32"/>
        <v>30.344999999999999</v>
      </c>
      <c r="GG15" s="132">
        <f t="shared" si="77"/>
        <v>119</v>
      </c>
      <c r="GH15" s="133">
        <f t="shared" si="33"/>
        <v>0.18</v>
      </c>
      <c r="GI15" s="128">
        <f t="shared" si="78"/>
        <v>21.419999999999998</v>
      </c>
      <c r="GJ15" s="133">
        <f t="shared" si="34"/>
        <v>1.5</v>
      </c>
      <c r="GK15" s="128">
        <f t="shared" si="79"/>
        <v>32.129999999999995</v>
      </c>
      <c r="GL15" s="134">
        <f t="shared" si="80"/>
        <v>1</v>
      </c>
      <c r="GM15" s="127">
        <f t="shared" si="35"/>
        <v>32.129999999999995</v>
      </c>
    </row>
    <row r="16" spans="1:236" ht="20.25" customHeight="1" x14ac:dyDescent="0.35">
      <c r="B16" t="s">
        <v>8</v>
      </c>
      <c r="D16" s="211" t="s">
        <v>117</v>
      </c>
      <c r="E16" s="211">
        <v>0</v>
      </c>
      <c r="G16" s="24"/>
      <c r="H16" s="24"/>
      <c r="I16" s="24"/>
      <c r="J16" s="24"/>
      <c r="K16" s="24"/>
      <c r="L16" t="s">
        <v>8</v>
      </c>
      <c r="N16" s="8"/>
      <c r="O16" s="29"/>
      <c r="P16" s="8"/>
      <c r="Q16" s="8"/>
      <c r="R16" s="8"/>
      <c r="T16" s="136">
        <v>1.7000000000000001E-2</v>
      </c>
      <c r="U16" s="136"/>
      <c r="V16" s="212">
        <f>FZ1</f>
        <v>482.8425000000002</v>
      </c>
      <c r="W16" s="210"/>
      <c r="X16" s="2"/>
      <c r="Y16" s="122"/>
      <c r="Z16" s="139" t="s">
        <v>8</v>
      </c>
      <c r="AA16" s="118"/>
      <c r="AC16" s="118"/>
      <c r="AD16" s="118"/>
      <c r="AE16" s="118"/>
      <c r="AF16" s="118"/>
      <c r="AG16" s="118"/>
      <c r="AH16" s="118"/>
      <c r="AK16" s="47">
        <f t="shared" si="81"/>
        <v>2.262</v>
      </c>
      <c r="AL16" s="46">
        <f t="shared" si="38"/>
        <v>1.131</v>
      </c>
      <c r="AM16" s="49">
        <f t="shared" si="38"/>
        <v>0.754</v>
      </c>
      <c r="AN16" s="111">
        <f t="shared" si="39"/>
        <v>0.5655</v>
      </c>
      <c r="AO16" s="50">
        <f t="shared" si="38"/>
        <v>1.218</v>
      </c>
      <c r="AP16" s="48">
        <f t="shared" si="38"/>
        <v>2.4359999999999999</v>
      </c>
      <c r="AQ16" s="51">
        <f t="shared" si="38"/>
        <v>3.6539999999999999</v>
      </c>
      <c r="AR16" s="52">
        <f t="shared" si="38"/>
        <v>2.3242049999999996</v>
      </c>
      <c r="AS16" s="45">
        <f t="shared" si="40"/>
        <v>4.6484099999999993</v>
      </c>
      <c r="AT16" s="161">
        <f t="shared" si="40"/>
        <v>6.9726149999999993</v>
      </c>
      <c r="AU16" s="163">
        <f t="shared" si="40"/>
        <v>1.1000000000000001</v>
      </c>
      <c r="AV16" s="78" t="str">
        <f t="shared" si="82"/>
        <v>5X7</v>
      </c>
      <c r="AW16" s="78">
        <f t="shared" si="82"/>
        <v>35</v>
      </c>
      <c r="AX16" s="35">
        <f t="shared" si="82"/>
        <v>0.97977000000000003</v>
      </c>
      <c r="AY16" s="36">
        <f t="shared" si="82"/>
        <v>1.9595400000000001</v>
      </c>
      <c r="AZ16" s="58">
        <f t="shared" si="82"/>
        <v>2.9393099999999999</v>
      </c>
      <c r="BB16" s="31" t="str">
        <f t="shared" si="83"/>
        <v>4.5X10</v>
      </c>
      <c r="BC16" s="78">
        <f t="shared" si="83"/>
        <v>45</v>
      </c>
      <c r="BD16" s="35">
        <f t="shared" si="83"/>
        <v>1.23838</v>
      </c>
      <c r="BE16" s="36">
        <f t="shared" si="83"/>
        <v>2.4767600000000001</v>
      </c>
      <c r="BF16" s="58">
        <f t="shared" si="83"/>
        <v>3.7151399999999999</v>
      </c>
      <c r="BH16" s="31" t="str">
        <f t="shared" si="84"/>
        <v>4.5X17</v>
      </c>
      <c r="BI16" s="78">
        <f t="shared" si="84"/>
        <v>76.5</v>
      </c>
      <c r="BJ16" s="35">
        <f t="shared" si="84"/>
        <v>1.9836300000000002</v>
      </c>
      <c r="BK16" s="36">
        <f t="shared" si="84"/>
        <v>3.9672600000000005</v>
      </c>
      <c r="BL16" s="58">
        <f t="shared" si="84"/>
        <v>5.9508900000000011</v>
      </c>
      <c r="BN16" s="31" t="str">
        <f t="shared" si="85"/>
        <v>8X10</v>
      </c>
      <c r="BO16" s="78">
        <f t="shared" si="85"/>
        <v>80</v>
      </c>
      <c r="BP16" s="35">
        <f t="shared" si="85"/>
        <v>2.0702000000000003</v>
      </c>
      <c r="BQ16" s="36">
        <f t="shared" si="85"/>
        <v>4.1404000000000005</v>
      </c>
      <c r="BR16" s="58">
        <f t="shared" si="85"/>
        <v>6.2106000000000012</v>
      </c>
      <c r="BT16" s="31" t="str">
        <f t="shared" si="86"/>
        <v>7X17</v>
      </c>
      <c r="BU16" s="78">
        <f t="shared" si="86"/>
        <v>119</v>
      </c>
      <c r="BV16" s="35">
        <f t="shared" si="86"/>
        <v>3.0300600000000002</v>
      </c>
      <c r="BW16" s="36">
        <f t="shared" si="86"/>
        <v>6.0601200000000004</v>
      </c>
      <c r="BX16" s="58">
        <f t="shared" si="86"/>
        <v>9.0901800000000001</v>
      </c>
      <c r="BZ16" s="31" t="str">
        <f t="shared" si="87"/>
        <v>10X12</v>
      </c>
      <c r="CA16" s="78">
        <f t="shared" si="87"/>
        <v>120</v>
      </c>
      <c r="CB16" s="35">
        <f t="shared" si="87"/>
        <v>3.0453500000000004</v>
      </c>
      <c r="CC16" s="36">
        <f t="shared" si="87"/>
        <v>6.0907000000000009</v>
      </c>
      <c r="CD16" s="58">
        <f t="shared" si="87"/>
        <v>9.1360500000000009</v>
      </c>
      <c r="CF16" s="31" t="str">
        <f t="shared" si="88"/>
        <v>11X14</v>
      </c>
      <c r="CG16" s="78">
        <f t="shared" si="88"/>
        <v>154</v>
      </c>
      <c r="CH16" s="35">
        <f t="shared" si="88"/>
        <v>3.8582500000000004</v>
      </c>
      <c r="CI16" s="36">
        <f t="shared" si="88"/>
        <v>7.7165000000000008</v>
      </c>
      <c r="CJ16" s="58">
        <f t="shared" si="88"/>
        <v>11.574750000000002</v>
      </c>
      <c r="CL16" s="31" t="str">
        <f t="shared" si="89"/>
        <v>14X17</v>
      </c>
      <c r="CM16" s="78">
        <f t="shared" si="89"/>
        <v>238</v>
      </c>
      <c r="CN16" s="35">
        <f t="shared" si="89"/>
        <v>5.9076599999999999</v>
      </c>
      <c r="CO16" s="36">
        <f t="shared" si="89"/>
        <v>11.81532</v>
      </c>
      <c r="CP16" s="58">
        <f t="shared" si="89"/>
        <v>17.72298</v>
      </c>
      <c r="CR16" s="208"/>
      <c r="CS16" s="230">
        <v>13</v>
      </c>
      <c r="CT16" s="217">
        <v>2</v>
      </c>
      <c r="CU16" s="232">
        <v>1</v>
      </c>
      <c r="CV16" s="208"/>
      <c r="CW16" s="253">
        <v>119</v>
      </c>
      <c r="CX16" s="208"/>
      <c r="CY16" s="251">
        <f t="shared" si="90"/>
        <v>1</v>
      </c>
      <c r="CZ16" s="250">
        <f t="shared" si="91"/>
        <v>1</v>
      </c>
      <c r="DA16" s="248">
        <f t="shared" si="92"/>
        <v>2</v>
      </c>
      <c r="DB16" s="248">
        <f t="shared" si="93"/>
        <v>1</v>
      </c>
      <c r="DC16" s="264"/>
      <c r="DD16" s="258"/>
      <c r="DE16" s="196"/>
      <c r="DF16" s="203" t="s">
        <v>8</v>
      </c>
      <c r="DG16" s="195">
        <f t="shared" si="6"/>
        <v>4.524</v>
      </c>
      <c r="DH16" s="81">
        <f t="shared" si="7"/>
        <v>2.262</v>
      </c>
      <c r="DI16" s="81">
        <f t="shared" si="8"/>
        <v>2.4359999999999999</v>
      </c>
      <c r="DJ16" s="81">
        <f t="shared" si="9"/>
        <v>4.6484099999999993</v>
      </c>
      <c r="DK16" s="82">
        <f t="shared" si="42"/>
        <v>13.87041</v>
      </c>
      <c r="DM16" s="83">
        <f t="shared" si="10"/>
        <v>3.0300600000000002</v>
      </c>
      <c r="DN16" s="84">
        <f t="shared" si="11"/>
        <v>6.0601200000000004</v>
      </c>
      <c r="DO16" s="84">
        <f t="shared" si="12"/>
        <v>9.0901800000000001</v>
      </c>
      <c r="DP16" s="104"/>
      <c r="DQ16" s="85">
        <f t="shared" si="13"/>
        <v>6.0601200000000004</v>
      </c>
      <c r="DR16" s="108">
        <f t="shared" si="14"/>
        <v>6.0601200000000004</v>
      </c>
      <c r="DS16" s="244">
        <f t="shared" si="43"/>
        <v>19.930530000000001</v>
      </c>
      <c r="DT16" s="113"/>
      <c r="DU16" s="132">
        <f t="shared" si="15"/>
        <v>119</v>
      </c>
      <c r="DV16" s="133">
        <f t="shared" si="16"/>
        <v>8.5000000000000006E-2</v>
      </c>
      <c r="DW16" s="128">
        <f t="shared" si="44"/>
        <v>10.115</v>
      </c>
      <c r="DX16" s="133">
        <f t="shared" si="45"/>
        <v>1.5</v>
      </c>
      <c r="DY16" s="128">
        <f t="shared" si="46"/>
        <v>15.172499999999999</v>
      </c>
      <c r="DZ16" s="126">
        <f t="shared" si="17"/>
        <v>1</v>
      </c>
      <c r="EA16" s="127">
        <f t="shared" si="47"/>
        <v>15.172499999999999</v>
      </c>
      <c r="EB16" s="126" t="s">
        <v>8</v>
      </c>
      <c r="EC16" s="132">
        <f t="shared" si="48"/>
        <v>119</v>
      </c>
      <c r="ED16" s="133">
        <v>0.115</v>
      </c>
      <c r="EE16" s="128">
        <f t="shared" si="49"/>
        <v>13.685</v>
      </c>
      <c r="EF16" s="133">
        <f t="shared" si="18"/>
        <v>1.5</v>
      </c>
      <c r="EG16" s="128">
        <f t="shared" si="50"/>
        <v>20.5275</v>
      </c>
      <c r="EH16" s="134">
        <f t="shared" si="51"/>
        <v>1</v>
      </c>
      <c r="EI16" s="127">
        <f t="shared" si="52"/>
        <v>20.5275</v>
      </c>
      <c r="EK16" s="132">
        <f t="shared" si="53"/>
        <v>119</v>
      </c>
      <c r="EL16" s="133">
        <f t="shared" si="94"/>
        <v>0.125</v>
      </c>
      <c r="EM16" s="128">
        <f t="shared" si="54"/>
        <v>14.875</v>
      </c>
      <c r="EN16" s="133">
        <f t="shared" si="19"/>
        <v>1.5</v>
      </c>
      <c r="EO16" s="128">
        <f t="shared" si="55"/>
        <v>22.3125</v>
      </c>
      <c r="EP16" s="134">
        <f t="shared" si="56"/>
        <v>1</v>
      </c>
      <c r="EQ16" s="127">
        <f t="shared" si="20"/>
        <v>22.3125</v>
      </c>
      <c r="ER16" s="127"/>
      <c r="ES16" s="132">
        <f t="shared" si="57"/>
        <v>119</v>
      </c>
      <c r="ET16" s="133">
        <f t="shared" si="95"/>
        <v>0.13</v>
      </c>
      <c r="EU16" s="128">
        <f t="shared" si="58"/>
        <v>15.47</v>
      </c>
      <c r="EV16" s="133">
        <f t="shared" si="21"/>
        <v>1.5</v>
      </c>
      <c r="EW16" s="128">
        <f t="shared" si="59"/>
        <v>23.205000000000002</v>
      </c>
      <c r="EX16" s="134">
        <f t="shared" si="60"/>
        <v>1</v>
      </c>
      <c r="EY16" s="127">
        <f t="shared" si="22"/>
        <v>23.205000000000002</v>
      </c>
      <c r="FA16" s="132">
        <f t="shared" si="61"/>
        <v>119</v>
      </c>
      <c r="FB16" s="133">
        <f t="shared" si="96"/>
        <v>0.14000000000000001</v>
      </c>
      <c r="FC16" s="128">
        <f t="shared" si="62"/>
        <v>16.66</v>
      </c>
      <c r="FD16" s="133">
        <f t="shared" si="23"/>
        <v>1.5</v>
      </c>
      <c r="FE16" s="128">
        <f t="shared" si="63"/>
        <v>24.990000000000002</v>
      </c>
      <c r="FF16" s="134">
        <f t="shared" si="64"/>
        <v>1</v>
      </c>
      <c r="FG16" s="127">
        <f t="shared" si="24"/>
        <v>24.990000000000002</v>
      </c>
      <c r="FI16" s="132">
        <f t="shared" si="65"/>
        <v>119</v>
      </c>
      <c r="FJ16" s="133">
        <f t="shared" si="97"/>
        <v>0.15</v>
      </c>
      <c r="FK16" s="128">
        <f t="shared" si="66"/>
        <v>17.849999999999998</v>
      </c>
      <c r="FL16" s="133">
        <f t="shared" si="25"/>
        <v>1.5</v>
      </c>
      <c r="FM16" s="128">
        <f t="shared" si="67"/>
        <v>26.774999999999999</v>
      </c>
      <c r="FN16" s="134">
        <f t="shared" si="68"/>
        <v>1</v>
      </c>
      <c r="FO16" s="127">
        <f t="shared" si="26"/>
        <v>26.774999999999999</v>
      </c>
      <c r="FQ16" s="132">
        <f t="shared" si="69"/>
        <v>119</v>
      </c>
      <c r="FR16" s="133">
        <f t="shared" si="27"/>
        <v>0.16</v>
      </c>
      <c r="FS16" s="128">
        <f t="shared" si="70"/>
        <v>19.04</v>
      </c>
      <c r="FT16" s="133">
        <f t="shared" si="28"/>
        <v>1.5</v>
      </c>
      <c r="FU16" s="128">
        <f t="shared" si="71"/>
        <v>28.56</v>
      </c>
      <c r="FV16" s="134">
        <f t="shared" si="72"/>
        <v>1</v>
      </c>
      <c r="FW16" s="127">
        <f t="shared" si="29"/>
        <v>28.56</v>
      </c>
      <c r="FY16" s="132">
        <f t="shared" si="73"/>
        <v>119</v>
      </c>
      <c r="FZ16" s="133">
        <f t="shared" si="30"/>
        <v>0.17</v>
      </c>
      <c r="GA16" s="128">
        <f t="shared" si="74"/>
        <v>20.23</v>
      </c>
      <c r="GB16" s="133">
        <f t="shared" si="31"/>
        <v>1.5</v>
      </c>
      <c r="GC16" s="128">
        <f t="shared" si="75"/>
        <v>30.344999999999999</v>
      </c>
      <c r="GD16" s="134">
        <f t="shared" si="76"/>
        <v>1</v>
      </c>
      <c r="GE16" s="127">
        <f t="shared" si="32"/>
        <v>30.344999999999999</v>
      </c>
      <c r="GG16" s="132">
        <f t="shared" si="77"/>
        <v>119</v>
      </c>
      <c r="GH16" s="133">
        <f t="shared" si="33"/>
        <v>0.18</v>
      </c>
      <c r="GI16" s="128">
        <f t="shared" si="78"/>
        <v>21.419999999999998</v>
      </c>
      <c r="GJ16" s="133">
        <f t="shared" si="34"/>
        <v>1.5</v>
      </c>
      <c r="GK16" s="128">
        <f t="shared" si="79"/>
        <v>32.129999999999995</v>
      </c>
      <c r="GL16" s="134">
        <f t="shared" si="80"/>
        <v>1</v>
      </c>
      <c r="GM16" s="127">
        <f t="shared" si="35"/>
        <v>32.129999999999995</v>
      </c>
    </row>
    <row r="17" spans="4:195" ht="21" x14ac:dyDescent="0.35">
      <c r="D17" s="211" t="s">
        <v>118</v>
      </c>
      <c r="E17" s="211">
        <v>0</v>
      </c>
      <c r="G17" s="24"/>
      <c r="H17" s="24"/>
      <c r="I17" s="24"/>
      <c r="J17" s="24"/>
      <c r="K17" s="24"/>
      <c r="L17" t="s">
        <v>8</v>
      </c>
      <c r="N17" s="8"/>
      <c r="O17" s="29"/>
      <c r="P17" s="8"/>
      <c r="Q17" s="8"/>
      <c r="R17" s="8"/>
      <c r="T17" s="136">
        <v>1.7999999999999999E-2</v>
      </c>
      <c r="U17" s="136"/>
      <c r="V17" s="212">
        <f>GH1</f>
        <v>511.14749999999992</v>
      </c>
      <c r="W17" s="210"/>
      <c r="Y17" s="116"/>
      <c r="AK17" s="47">
        <f t="shared" si="81"/>
        <v>2.262</v>
      </c>
      <c r="AL17" s="46">
        <f t="shared" si="38"/>
        <v>1.131</v>
      </c>
      <c r="AM17" s="49">
        <f t="shared" si="38"/>
        <v>0.754</v>
      </c>
      <c r="AN17" s="111">
        <f t="shared" si="39"/>
        <v>0.5655</v>
      </c>
      <c r="AO17" s="50">
        <f t="shared" si="38"/>
        <v>1.218</v>
      </c>
      <c r="AP17" s="48">
        <f t="shared" si="38"/>
        <v>2.4359999999999999</v>
      </c>
      <c r="AQ17" s="51">
        <f t="shared" si="38"/>
        <v>3.6539999999999999</v>
      </c>
      <c r="AR17" s="52">
        <f t="shared" si="38"/>
        <v>2.3242049999999996</v>
      </c>
      <c r="AS17" s="45">
        <f t="shared" si="40"/>
        <v>4.6484099999999993</v>
      </c>
      <c r="AT17" s="161">
        <f t="shared" si="40"/>
        <v>6.9726149999999993</v>
      </c>
      <c r="AU17" s="163">
        <f t="shared" si="40"/>
        <v>1.1000000000000001</v>
      </c>
      <c r="AV17" s="78" t="str">
        <f t="shared" si="82"/>
        <v>5X7</v>
      </c>
      <c r="AW17" s="78">
        <f t="shared" si="82"/>
        <v>35</v>
      </c>
      <c r="AX17" s="35">
        <f t="shared" si="82"/>
        <v>0.97977000000000003</v>
      </c>
      <c r="AY17" s="36">
        <f t="shared" si="82"/>
        <v>1.9595400000000001</v>
      </c>
      <c r="AZ17" s="58">
        <f t="shared" si="82"/>
        <v>2.9393099999999999</v>
      </c>
      <c r="BB17" s="31" t="str">
        <f t="shared" si="83"/>
        <v>4.5X10</v>
      </c>
      <c r="BC17" s="78">
        <f t="shared" si="83"/>
        <v>45</v>
      </c>
      <c r="BD17" s="35">
        <f t="shared" si="83"/>
        <v>1.23838</v>
      </c>
      <c r="BE17" s="36">
        <f t="shared" si="83"/>
        <v>2.4767600000000001</v>
      </c>
      <c r="BF17" s="58">
        <f t="shared" si="83"/>
        <v>3.7151399999999999</v>
      </c>
      <c r="BH17" s="31" t="str">
        <f t="shared" si="84"/>
        <v>4.5X17</v>
      </c>
      <c r="BI17" s="78">
        <f t="shared" si="84"/>
        <v>76.5</v>
      </c>
      <c r="BJ17" s="35">
        <f t="shared" si="84"/>
        <v>1.9836300000000002</v>
      </c>
      <c r="BK17" s="36">
        <f t="shared" si="84"/>
        <v>3.9672600000000005</v>
      </c>
      <c r="BL17" s="58">
        <f t="shared" si="84"/>
        <v>5.9508900000000011</v>
      </c>
      <c r="BN17" s="31" t="str">
        <f t="shared" si="85"/>
        <v>8X10</v>
      </c>
      <c r="BO17" s="78">
        <f t="shared" si="85"/>
        <v>80</v>
      </c>
      <c r="BP17" s="35">
        <f t="shared" si="85"/>
        <v>2.0702000000000003</v>
      </c>
      <c r="BQ17" s="36">
        <f t="shared" si="85"/>
        <v>4.1404000000000005</v>
      </c>
      <c r="BR17" s="58">
        <f t="shared" si="85"/>
        <v>6.2106000000000012</v>
      </c>
      <c r="BT17" s="31" t="str">
        <f t="shared" si="86"/>
        <v>7X17</v>
      </c>
      <c r="BU17" s="78">
        <f t="shared" si="86"/>
        <v>119</v>
      </c>
      <c r="BV17" s="35">
        <f t="shared" si="86"/>
        <v>3.0300600000000002</v>
      </c>
      <c r="BW17" s="36">
        <f t="shared" si="86"/>
        <v>6.0601200000000004</v>
      </c>
      <c r="BX17" s="58">
        <f t="shared" si="86"/>
        <v>9.0901800000000001</v>
      </c>
      <c r="BZ17" s="31" t="str">
        <f t="shared" si="87"/>
        <v>10X12</v>
      </c>
      <c r="CA17" s="78">
        <f t="shared" si="87"/>
        <v>120</v>
      </c>
      <c r="CB17" s="35">
        <f t="shared" si="87"/>
        <v>3.0453500000000004</v>
      </c>
      <c r="CC17" s="36">
        <f t="shared" si="87"/>
        <v>6.0907000000000009</v>
      </c>
      <c r="CD17" s="58">
        <f t="shared" si="87"/>
        <v>9.1360500000000009</v>
      </c>
      <c r="CF17" s="31" t="str">
        <f t="shared" si="88"/>
        <v>11X14</v>
      </c>
      <c r="CG17" s="78">
        <f t="shared" si="88"/>
        <v>154</v>
      </c>
      <c r="CH17" s="35">
        <f t="shared" si="88"/>
        <v>3.8582500000000004</v>
      </c>
      <c r="CI17" s="36">
        <f t="shared" si="88"/>
        <v>7.7165000000000008</v>
      </c>
      <c r="CJ17" s="58">
        <f t="shared" si="88"/>
        <v>11.574750000000002</v>
      </c>
      <c r="CL17" s="31" t="str">
        <f t="shared" si="89"/>
        <v>14X17</v>
      </c>
      <c r="CM17" s="78">
        <f t="shared" si="89"/>
        <v>238</v>
      </c>
      <c r="CN17" s="35">
        <f t="shared" si="89"/>
        <v>5.9076599999999999</v>
      </c>
      <c r="CO17" s="36">
        <f t="shared" si="89"/>
        <v>11.81532</v>
      </c>
      <c r="CP17" s="58">
        <f t="shared" si="89"/>
        <v>17.72298</v>
      </c>
      <c r="CR17" s="208"/>
      <c r="CS17" s="230">
        <v>14</v>
      </c>
      <c r="CT17" s="217">
        <v>2</v>
      </c>
      <c r="CU17" s="232">
        <v>1</v>
      </c>
      <c r="CV17" s="208"/>
      <c r="CW17" s="253">
        <v>119</v>
      </c>
      <c r="CX17" s="208"/>
      <c r="CY17" s="251">
        <f t="shared" si="90"/>
        <v>1</v>
      </c>
      <c r="CZ17" s="250">
        <f t="shared" si="91"/>
        <v>1</v>
      </c>
      <c r="DA17" s="248">
        <f t="shared" si="92"/>
        <v>2</v>
      </c>
      <c r="DB17" s="248">
        <f t="shared" si="93"/>
        <v>1</v>
      </c>
      <c r="DC17" s="264"/>
      <c r="DD17" s="258"/>
      <c r="DE17" s="196"/>
      <c r="DF17" s="203" t="s">
        <v>8</v>
      </c>
      <c r="DG17" s="195">
        <f t="shared" si="6"/>
        <v>4.524</v>
      </c>
      <c r="DH17" s="81">
        <f t="shared" si="7"/>
        <v>2.262</v>
      </c>
      <c r="DI17" s="81">
        <f t="shared" si="8"/>
        <v>2.4359999999999999</v>
      </c>
      <c r="DJ17" s="81">
        <f t="shared" si="9"/>
        <v>4.6484099999999993</v>
      </c>
      <c r="DK17" s="82">
        <f t="shared" si="42"/>
        <v>13.87041</v>
      </c>
      <c r="DM17" s="83">
        <f t="shared" si="10"/>
        <v>3.0300600000000002</v>
      </c>
      <c r="DN17" s="84">
        <f t="shared" si="11"/>
        <v>6.0601200000000004</v>
      </c>
      <c r="DO17" s="84">
        <f t="shared" si="12"/>
        <v>9.0901800000000001</v>
      </c>
      <c r="DP17" s="104"/>
      <c r="DQ17" s="85">
        <f t="shared" si="13"/>
        <v>6.0601200000000004</v>
      </c>
      <c r="DR17" s="108">
        <f t="shared" si="14"/>
        <v>6.0601200000000004</v>
      </c>
      <c r="DS17" s="244">
        <f t="shared" si="43"/>
        <v>19.930530000000001</v>
      </c>
      <c r="DT17" s="113"/>
      <c r="DU17" s="132">
        <f t="shared" si="15"/>
        <v>119</v>
      </c>
      <c r="DV17" s="133">
        <f t="shared" si="16"/>
        <v>8.5000000000000006E-2</v>
      </c>
      <c r="DW17" s="128">
        <f t="shared" si="44"/>
        <v>10.115</v>
      </c>
      <c r="DX17" s="133">
        <f t="shared" si="45"/>
        <v>1.5</v>
      </c>
      <c r="DY17" s="128">
        <f t="shared" si="46"/>
        <v>15.172499999999999</v>
      </c>
      <c r="DZ17" s="126">
        <f t="shared" si="17"/>
        <v>1</v>
      </c>
      <c r="EA17" s="127">
        <f t="shared" si="47"/>
        <v>15.172499999999999</v>
      </c>
      <c r="EB17" s="126" t="s">
        <v>8</v>
      </c>
      <c r="EC17" s="132">
        <f t="shared" si="48"/>
        <v>119</v>
      </c>
      <c r="ED17" s="133">
        <v>0.115</v>
      </c>
      <c r="EE17" s="128">
        <f t="shared" si="49"/>
        <v>13.685</v>
      </c>
      <c r="EF17" s="133">
        <f t="shared" si="18"/>
        <v>1.5</v>
      </c>
      <c r="EG17" s="128">
        <f t="shared" si="50"/>
        <v>20.5275</v>
      </c>
      <c r="EH17" s="134">
        <f t="shared" si="51"/>
        <v>1</v>
      </c>
      <c r="EI17" s="127">
        <f t="shared" si="52"/>
        <v>20.5275</v>
      </c>
      <c r="EK17" s="132">
        <f t="shared" si="53"/>
        <v>119</v>
      </c>
      <c r="EL17" s="133">
        <f t="shared" si="94"/>
        <v>0.125</v>
      </c>
      <c r="EM17" s="128">
        <f t="shared" si="54"/>
        <v>14.875</v>
      </c>
      <c r="EN17" s="133">
        <f t="shared" si="19"/>
        <v>1.5</v>
      </c>
      <c r="EO17" s="128">
        <f t="shared" si="55"/>
        <v>22.3125</v>
      </c>
      <c r="EP17" s="134">
        <f t="shared" si="56"/>
        <v>1</v>
      </c>
      <c r="EQ17" s="127">
        <f t="shared" si="20"/>
        <v>22.3125</v>
      </c>
      <c r="ER17" s="127"/>
      <c r="ES17" s="132">
        <f t="shared" si="57"/>
        <v>119</v>
      </c>
      <c r="ET17" s="133">
        <f t="shared" si="95"/>
        <v>0.13</v>
      </c>
      <c r="EU17" s="128">
        <f t="shared" si="58"/>
        <v>15.47</v>
      </c>
      <c r="EV17" s="133">
        <f t="shared" si="21"/>
        <v>1.5</v>
      </c>
      <c r="EW17" s="128">
        <f t="shared" si="59"/>
        <v>23.205000000000002</v>
      </c>
      <c r="EX17" s="134">
        <f t="shared" si="60"/>
        <v>1</v>
      </c>
      <c r="EY17" s="127">
        <f t="shared" si="22"/>
        <v>23.205000000000002</v>
      </c>
      <c r="FA17" s="132">
        <f t="shared" si="61"/>
        <v>119</v>
      </c>
      <c r="FB17" s="133">
        <f t="shared" si="96"/>
        <v>0.14000000000000001</v>
      </c>
      <c r="FC17" s="128">
        <f t="shared" si="62"/>
        <v>16.66</v>
      </c>
      <c r="FD17" s="133">
        <f t="shared" si="23"/>
        <v>1.5</v>
      </c>
      <c r="FE17" s="128">
        <f t="shared" si="63"/>
        <v>24.990000000000002</v>
      </c>
      <c r="FF17" s="134">
        <f t="shared" si="64"/>
        <v>1</v>
      </c>
      <c r="FG17" s="127">
        <f t="shared" si="24"/>
        <v>24.990000000000002</v>
      </c>
      <c r="FI17" s="132">
        <f t="shared" si="65"/>
        <v>119</v>
      </c>
      <c r="FJ17" s="133">
        <f t="shared" si="97"/>
        <v>0.15</v>
      </c>
      <c r="FK17" s="128">
        <f t="shared" si="66"/>
        <v>17.849999999999998</v>
      </c>
      <c r="FL17" s="133">
        <f t="shared" si="25"/>
        <v>1.5</v>
      </c>
      <c r="FM17" s="128">
        <f t="shared" si="67"/>
        <v>26.774999999999999</v>
      </c>
      <c r="FN17" s="134">
        <f t="shared" si="68"/>
        <v>1</v>
      </c>
      <c r="FO17" s="127">
        <f t="shared" si="26"/>
        <v>26.774999999999999</v>
      </c>
      <c r="FQ17" s="132">
        <f t="shared" si="69"/>
        <v>119</v>
      </c>
      <c r="FR17" s="133">
        <f t="shared" si="27"/>
        <v>0.16</v>
      </c>
      <c r="FS17" s="128">
        <f t="shared" si="70"/>
        <v>19.04</v>
      </c>
      <c r="FT17" s="133">
        <f t="shared" si="28"/>
        <v>1.5</v>
      </c>
      <c r="FU17" s="128">
        <f t="shared" si="71"/>
        <v>28.56</v>
      </c>
      <c r="FV17" s="134">
        <f t="shared" si="72"/>
        <v>1</v>
      </c>
      <c r="FW17" s="127">
        <f t="shared" si="29"/>
        <v>28.56</v>
      </c>
      <c r="FY17" s="132">
        <f t="shared" si="73"/>
        <v>119</v>
      </c>
      <c r="FZ17" s="133">
        <f t="shared" si="30"/>
        <v>0.17</v>
      </c>
      <c r="GA17" s="128">
        <f t="shared" si="74"/>
        <v>20.23</v>
      </c>
      <c r="GB17" s="133">
        <f t="shared" si="31"/>
        <v>1.5</v>
      </c>
      <c r="GC17" s="128">
        <f t="shared" si="75"/>
        <v>30.344999999999999</v>
      </c>
      <c r="GD17" s="134">
        <f t="shared" si="76"/>
        <v>1</v>
      </c>
      <c r="GE17" s="127">
        <f t="shared" si="32"/>
        <v>30.344999999999999</v>
      </c>
      <c r="GG17" s="132">
        <f t="shared" si="77"/>
        <v>119</v>
      </c>
      <c r="GH17" s="133">
        <f t="shared" si="33"/>
        <v>0.18</v>
      </c>
      <c r="GI17" s="128">
        <f t="shared" si="78"/>
        <v>21.419999999999998</v>
      </c>
      <c r="GJ17" s="133">
        <f t="shared" si="34"/>
        <v>1.5</v>
      </c>
      <c r="GK17" s="128">
        <f t="shared" si="79"/>
        <v>32.129999999999995</v>
      </c>
      <c r="GL17" s="134">
        <f t="shared" si="80"/>
        <v>1</v>
      </c>
      <c r="GM17" s="127">
        <f t="shared" si="35"/>
        <v>32.129999999999995</v>
      </c>
    </row>
    <row r="18" spans="4:195" ht="18.75" x14ac:dyDescent="0.3">
      <c r="D18" s="211" t="s">
        <v>119</v>
      </c>
      <c r="E18" s="211">
        <v>30</v>
      </c>
      <c r="N18" s="8"/>
      <c r="O18" s="29"/>
      <c r="P18" s="8"/>
      <c r="Q18" s="8"/>
      <c r="R18" s="8"/>
      <c r="Y18" s="116"/>
      <c r="AI18" t="s">
        <v>8</v>
      </c>
      <c r="AK18" s="47">
        <f t="shared" si="81"/>
        <v>2.262</v>
      </c>
      <c r="AL18" s="46">
        <f t="shared" si="38"/>
        <v>1.131</v>
      </c>
      <c r="AM18" s="49">
        <f t="shared" si="38"/>
        <v>0.754</v>
      </c>
      <c r="AN18" s="111">
        <f t="shared" si="39"/>
        <v>0.5655</v>
      </c>
      <c r="AO18" s="50">
        <f t="shared" si="38"/>
        <v>1.218</v>
      </c>
      <c r="AP18" s="48">
        <f t="shared" si="38"/>
        <v>2.4359999999999999</v>
      </c>
      <c r="AQ18" s="51">
        <f t="shared" si="38"/>
        <v>3.6539999999999999</v>
      </c>
      <c r="AR18" s="52">
        <f t="shared" si="38"/>
        <v>2.3242049999999996</v>
      </c>
      <c r="AS18" s="45">
        <f t="shared" si="40"/>
        <v>4.6484099999999993</v>
      </c>
      <c r="AT18" s="161">
        <f t="shared" si="40"/>
        <v>6.9726149999999993</v>
      </c>
      <c r="AU18" s="163">
        <f t="shared" si="40"/>
        <v>1.1000000000000001</v>
      </c>
      <c r="AV18" s="78" t="str">
        <f t="shared" si="82"/>
        <v>5X7</v>
      </c>
      <c r="AW18" s="78">
        <f t="shared" si="82"/>
        <v>35</v>
      </c>
      <c r="AX18" s="35">
        <f t="shared" si="82"/>
        <v>0.97977000000000003</v>
      </c>
      <c r="AY18" s="36">
        <f t="shared" si="82"/>
        <v>1.9595400000000001</v>
      </c>
      <c r="AZ18" s="58">
        <f t="shared" si="82"/>
        <v>2.9393099999999999</v>
      </c>
      <c r="BB18" s="31" t="str">
        <f t="shared" si="83"/>
        <v>4.5X10</v>
      </c>
      <c r="BC18" s="78">
        <f t="shared" si="83"/>
        <v>45</v>
      </c>
      <c r="BD18" s="35">
        <f t="shared" si="83"/>
        <v>1.23838</v>
      </c>
      <c r="BE18" s="36">
        <f t="shared" si="83"/>
        <v>2.4767600000000001</v>
      </c>
      <c r="BF18" s="58">
        <f t="shared" si="83"/>
        <v>3.7151399999999999</v>
      </c>
      <c r="BH18" s="31" t="str">
        <f t="shared" si="84"/>
        <v>4.5X17</v>
      </c>
      <c r="BI18" s="78">
        <f t="shared" si="84"/>
        <v>76.5</v>
      </c>
      <c r="BJ18" s="35">
        <f t="shared" si="84"/>
        <v>1.9836300000000002</v>
      </c>
      <c r="BK18" s="36">
        <f t="shared" si="84"/>
        <v>3.9672600000000005</v>
      </c>
      <c r="BL18" s="58">
        <f t="shared" si="84"/>
        <v>5.9508900000000011</v>
      </c>
      <c r="BN18" s="31" t="str">
        <f t="shared" si="85"/>
        <v>8X10</v>
      </c>
      <c r="BO18" s="78">
        <f t="shared" si="85"/>
        <v>80</v>
      </c>
      <c r="BP18" s="35">
        <f t="shared" si="85"/>
        <v>2.0702000000000003</v>
      </c>
      <c r="BQ18" s="36">
        <f t="shared" si="85"/>
        <v>4.1404000000000005</v>
      </c>
      <c r="BR18" s="58">
        <f t="shared" si="85"/>
        <v>6.2106000000000012</v>
      </c>
      <c r="BT18" s="31" t="str">
        <f t="shared" si="86"/>
        <v>7X17</v>
      </c>
      <c r="BU18" s="78">
        <f t="shared" si="86"/>
        <v>119</v>
      </c>
      <c r="BV18" s="35">
        <f t="shared" si="86"/>
        <v>3.0300600000000002</v>
      </c>
      <c r="BW18" s="36">
        <f t="shared" si="86"/>
        <v>6.0601200000000004</v>
      </c>
      <c r="BX18" s="58">
        <f t="shared" si="86"/>
        <v>9.0901800000000001</v>
      </c>
      <c r="BZ18" s="31" t="str">
        <f t="shared" si="87"/>
        <v>10X12</v>
      </c>
      <c r="CA18" s="78">
        <f t="shared" si="87"/>
        <v>120</v>
      </c>
      <c r="CB18" s="35">
        <f t="shared" si="87"/>
        <v>3.0453500000000004</v>
      </c>
      <c r="CC18" s="36">
        <f t="shared" si="87"/>
        <v>6.0907000000000009</v>
      </c>
      <c r="CD18" s="58">
        <f t="shared" si="87"/>
        <v>9.1360500000000009</v>
      </c>
      <c r="CF18" s="31" t="str">
        <f t="shared" si="88"/>
        <v>11X14</v>
      </c>
      <c r="CG18" s="78">
        <f t="shared" si="88"/>
        <v>154</v>
      </c>
      <c r="CH18" s="35">
        <f t="shared" si="88"/>
        <v>3.8582500000000004</v>
      </c>
      <c r="CI18" s="36">
        <f t="shared" si="88"/>
        <v>7.7165000000000008</v>
      </c>
      <c r="CJ18" s="58">
        <f t="shared" si="88"/>
        <v>11.574750000000002</v>
      </c>
      <c r="CL18" s="31" t="str">
        <f t="shared" si="89"/>
        <v>14X17</v>
      </c>
      <c r="CM18" s="78">
        <f t="shared" si="89"/>
        <v>238</v>
      </c>
      <c r="CN18" s="35">
        <f t="shared" si="89"/>
        <v>5.9076599999999999</v>
      </c>
      <c r="CO18" s="36">
        <f t="shared" si="89"/>
        <v>11.81532</v>
      </c>
      <c r="CP18" s="58">
        <f t="shared" si="89"/>
        <v>17.72298</v>
      </c>
      <c r="CR18" s="208"/>
      <c r="CS18" s="230">
        <v>15</v>
      </c>
      <c r="CT18" s="217">
        <v>2</v>
      </c>
      <c r="CU18" s="232">
        <v>1</v>
      </c>
      <c r="CV18" s="208"/>
      <c r="CW18" s="253">
        <v>119</v>
      </c>
      <c r="CX18" s="208"/>
      <c r="CY18" s="251">
        <f t="shared" si="90"/>
        <v>1</v>
      </c>
      <c r="CZ18" s="250">
        <f t="shared" si="91"/>
        <v>1</v>
      </c>
      <c r="DA18" s="248">
        <f t="shared" si="92"/>
        <v>2</v>
      </c>
      <c r="DB18" s="248">
        <f t="shared" si="93"/>
        <v>1</v>
      </c>
      <c r="DC18" s="264"/>
      <c r="DD18" s="258"/>
      <c r="DE18" s="196"/>
      <c r="DF18" s="203" t="s">
        <v>8</v>
      </c>
      <c r="DG18" s="195">
        <f t="shared" si="6"/>
        <v>4.524</v>
      </c>
      <c r="DH18" s="81">
        <f t="shared" si="7"/>
        <v>2.262</v>
      </c>
      <c r="DI18" s="81">
        <f t="shared" si="8"/>
        <v>2.4359999999999999</v>
      </c>
      <c r="DJ18" s="81">
        <f t="shared" si="9"/>
        <v>4.6484099999999993</v>
      </c>
      <c r="DK18" s="82">
        <f t="shared" si="42"/>
        <v>13.87041</v>
      </c>
      <c r="DM18" s="83">
        <f t="shared" si="10"/>
        <v>3.0300600000000002</v>
      </c>
      <c r="DN18" s="84">
        <f t="shared" si="11"/>
        <v>6.0601200000000004</v>
      </c>
      <c r="DO18" s="84">
        <f t="shared" si="12"/>
        <v>9.0901800000000001</v>
      </c>
      <c r="DP18" s="104"/>
      <c r="DQ18" s="85">
        <f t="shared" si="13"/>
        <v>6.0601200000000004</v>
      </c>
      <c r="DR18" s="108">
        <f t="shared" si="14"/>
        <v>6.0601200000000004</v>
      </c>
      <c r="DS18" s="244">
        <f t="shared" si="43"/>
        <v>19.930530000000001</v>
      </c>
      <c r="DT18" s="113"/>
      <c r="DU18" s="132">
        <f t="shared" si="15"/>
        <v>119</v>
      </c>
      <c r="DV18" s="133">
        <f t="shared" si="16"/>
        <v>8.5000000000000006E-2</v>
      </c>
      <c r="DW18" s="128">
        <f t="shared" si="44"/>
        <v>10.115</v>
      </c>
      <c r="DX18" s="133">
        <f t="shared" si="45"/>
        <v>1.5</v>
      </c>
      <c r="DY18" s="128">
        <f t="shared" si="46"/>
        <v>15.172499999999999</v>
      </c>
      <c r="DZ18" s="126">
        <f t="shared" si="17"/>
        <v>1</v>
      </c>
      <c r="EA18" s="127">
        <f t="shared" si="47"/>
        <v>15.172499999999999</v>
      </c>
      <c r="EC18" s="132">
        <f t="shared" si="48"/>
        <v>119</v>
      </c>
      <c r="ED18" s="133">
        <v>0.115</v>
      </c>
      <c r="EE18" s="128">
        <f t="shared" si="49"/>
        <v>13.685</v>
      </c>
      <c r="EF18" s="133">
        <f t="shared" si="18"/>
        <v>1.5</v>
      </c>
      <c r="EG18" s="128">
        <f t="shared" si="50"/>
        <v>20.5275</v>
      </c>
      <c r="EH18" s="134">
        <f t="shared" si="51"/>
        <v>1</v>
      </c>
      <c r="EI18" s="127">
        <f t="shared" si="52"/>
        <v>20.5275</v>
      </c>
      <c r="EK18" s="132">
        <f t="shared" si="53"/>
        <v>119</v>
      </c>
      <c r="EL18" s="133">
        <f t="shared" si="94"/>
        <v>0.125</v>
      </c>
      <c r="EM18" s="128">
        <f t="shared" si="54"/>
        <v>14.875</v>
      </c>
      <c r="EN18" s="133">
        <f t="shared" si="19"/>
        <v>1.5</v>
      </c>
      <c r="EO18" s="128">
        <f t="shared" si="55"/>
        <v>22.3125</v>
      </c>
      <c r="EP18" s="134">
        <f t="shared" si="56"/>
        <v>1</v>
      </c>
      <c r="EQ18" s="127">
        <f t="shared" si="20"/>
        <v>22.3125</v>
      </c>
      <c r="ER18" s="127"/>
      <c r="ES18" s="132">
        <f t="shared" si="57"/>
        <v>119</v>
      </c>
      <c r="ET18" s="133">
        <f t="shared" si="95"/>
        <v>0.13</v>
      </c>
      <c r="EU18" s="128">
        <f t="shared" si="58"/>
        <v>15.47</v>
      </c>
      <c r="EV18" s="133">
        <f t="shared" si="21"/>
        <v>1.5</v>
      </c>
      <c r="EW18" s="128">
        <f t="shared" si="59"/>
        <v>23.205000000000002</v>
      </c>
      <c r="EX18" s="134">
        <f t="shared" si="60"/>
        <v>1</v>
      </c>
      <c r="EY18" s="127">
        <f t="shared" si="22"/>
        <v>23.205000000000002</v>
      </c>
      <c r="FA18" s="132">
        <f t="shared" si="61"/>
        <v>119</v>
      </c>
      <c r="FB18" s="133">
        <f t="shared" si="96"/>
        <v>0.14000000000000001</v>
      </c>
      <c r="FC18" s="128">
        <f t="shared" si="62"/>
        <v>16.66</v>
      </c>
      <c r="FD18" s="133">
        <f t="shared" si="23"/>
        <v>1.5</v>
      </c>
      <c r="FE18" s="128">
        <f t="shared" si="63"/>
        <v>24.990000000000002</v>
      </c>
      <c r="FF18" s="134">
        <f t="shared" si="64"/>
        <v>1</v>
      </c>
      <c r="FG18" s="127">
        <f t="shared" si="24"/>
        <v>24.990000000000002</v>
      </c>
      <c r="FI18" s="132">
        <f t="shared" si="65"/>
        <v>119</v>
      </c>
      <c r="FJ18" s="133">
        <f t="shared" si="97"/>
        <v>0.15</v>
      </c>
      <c r="FK18" s="128">
        <f t="shared" si="66"/>
        <v>17.849999999999998</v>
      </c>
      <c r="FL18" s="133">
        <f t="shared" si="25"/>
        <v>1.5</v>
      </c>
      <c r="FM18" s="128">
        <f t="shared" si="67"/>
        <v>26.774999999999999</v>
      </c>
      <c r="FN18" s="134">
        <f t="shared" si="68"/>
        <v>1</v>
      </c>
      <c r="FO18" s="127">
        <f t="shared" si="26"/>
        <v>26.774999999999999</v>
      </c>
      <c r="FQ18" s="132">
        <f t="shared" si="69"/>
        <v>119</v>
      </c>
      <c r="FR18" s="133">
        <f t="shared" si="27"/>
        <v>0.16</v>
      </c>
      <c r="FS18" s="128">
        <f t="shared" si="70"/>
        <v>19.04</v>
      </c>
      <c r="FT18" s="133">
        <f t="shared" si="28"/>
        <v>1.5</v>
      </c>
      <c r="FU18" s="128">
        <f t="shared" si="71"/>
        <v>28.56</v>
      </c>
      <c r="FV18" s="134">
        <f t="shared" si="72"/>
        <v>1</v>
      </c>
      <c r="FW18" s="127">
        <f t="shared" si="29"/>
        <v>28.56</v>
      </c>
      <c r="FY18" s="132">
        <f t="shared" si="73"/>
        <v>119</v>
      </c>
      <c r="FZ18" s="133">
        <f t="shared" si="30"/>
        <v>0.17</v>
      </c>
      <c r="GA18" s="128">
        <f t="shared" si="74"/>
        <v>20.23</v>
      </c>
      <c r="GB18" s="133">
        <f t="shared" si="31"/>
        <v>1.5</v>
      </c>
      <c r="GC18" s="128">
        <f t="shared" si="75"/>
        <v>30.344999999999999</v>
      </c>
      <c r="GD18" s="134">
        <f t="shared" si="76"/>
        <v>1</v>
      </c>
      <c r="GE18" s="127">
        <f t="shared" si="32"/>
        <v>30.344999999999999</v>
      </c>
      <c r="GG18" s="132">
        <f t="shared" si="77"/>
        <v>119</v>
      </c>
      <c r="GH18" s="133">
        <f t="shared" si="33"/>
        <v>0.18</v>
      </c>
      <c r="GI18" s="128">
        <f t="shared" si="78"/>
        <v>21.419999999999998</v>
      </c>
      <c r="GJ18" s="133">
        <f t="shared" si="34"/>
        <v>1.5</v>
      </c>
      <c r="GK18" s="128">
        <f t="shared" si="79"/>
        <v>32.129999999999995</v>
      </c>
      <c r="GL18" s="134">
        <f t="shared" si="80"/>
        <v>1</v>
      </c>
      <c r="GM18" s="127">
        <f t="shared" si="35"/>
        <v>32.129999999999995</v>
      </c>
    </row>
    <row r="19" spans="4:195" ht="18.75" x14ac:dyDescent="0.3">
      <c r="D19" s="211" t="s">
        <v>120</v>
      </c>
      <c r="E19" s="211">
        <v>37</v>
      </c>
      <c r="N19" s="8"/>
      <c r="O19" s="29"/>
      <c r="P19" s="8"/>
      <c r="Q19" s="8"/>
      <c r="R19" s="8"/>
      <c r="Y19" s="2"/>
      <c r="AI19" t="s">
        <v>8</v>
      </c>
      <c r="AK19" s="47">
        <f t="shared" si="81"/>
        <v>2.262</v>
      </c>
      <c r="AL19" s="46">
        <f>AL18</f>
        <v>1.131</v>
      </c>
      <c r="AM19" s="49">
        <f>AM18</f>
        <v>0.754</v>
      </c>
      <c r="AN19" s="111">
        <f t="shared" si="39"/>
        <v>0.5655</v>
      </c>
      <c r="AO19" s="50">
        <f t="shared" ref="AO19:AU19" si="101">AO18</f>
        <v>1.218</v>
      </c>
      <c r="AP19" s="48">
        <f t="shared" si="101"/>
        <v>2.4359999999999999</v>
      </c>
      <c r="AQ19" s="51">
        <f t="shared" si="101"/>
        <v>3.6539999999999999</v>
      </c>
      <c r="AR19" s="52">
        <f t="shared" si="101"/>
        <v>2.3242049999999996</v>
      </c>
      <c r="AS19" s="45">
        <f t="shared" si="101"/>
        <v>4.6484099999999993</v>
      </c>
      <c r="AT19" s="161">
        <f t="shared" si="101"/>
        <v>6.9726149999999993</v>
      </c>
      <c r="AU19" s="163">
        <f t="shared" si="101"/>
        <v>1.1000000000000001</v>
      </c>
      <c r="AV19" s="78" t="str">
        <f t="shared" ref="AV19:AZ19" si="102">AV18</f>
        <v>5X7</v>
      </c>
      <c r="AW19" s="78">
        <f t="shared" si="102"/>
        <v>35</v>
      </c>
      <c r="AX19" s="35">
        <f t="shared" si="102"/>
        <v>0.97977000000000003</v>
      </c>
      <c r="AY19" s="36">
        <f t="shared" si="102"/>
        <v>1.9595400000000001</v>
      </c>
      <c r="AZ19" s="58">
        <f t="shared" si="102"/>
        <v>2.9393099999999999</v>
      </c>
      <c r="BB19" s="31" t="str">
        <f>BB18</f>
        <v>4.5X10</v>
      </c>
      <c r="BC19" s="78">
        <f>BC18</f>
        <v>45</v>
      </c>
      <c r="BD19" s="35">
        <f>BD18</f>
        <v>1.23838</v>
      </c>
      <c r="BE19" s="36">
        <f>BE18</f>
        <v>2.4767600000000001</v>
      </c>
      <c r="BF19" s="58">
        <f>BF18</f>
        <v>3.7151399999999999</v>
      </c>
      <c r="BH19" s="31" t="str">
        <f>BH18</f>
        <v>4.5X17</v>
      </c>
      <c r="BI19" s="78">
        <f>BI18</f>
        <v>76.5</v>
      </c>
      <c r="BJ19" s="35">
        <f>BJ18</f>
        <v>1.9836300000000002</v>
      </c>
      <c r="BK19" s="36">
        <f>BK18</f>
        <v>3.9672600000000005</v>
      </c>
      <c r="BL19" s="58">
        <f>BL18</f>
        <v>5.9508900000000011</v>
      </c>
      <c r="BN19" s="31" t="str">
        <f>BN18</f>
        <v>8X10</v>
      </c>
      <c r="BO19" s="78">
        <f>BO18</f>
        <v>80</v>
      </c>
      <c r="BP19" s="35">
        <f>BP18</f>
        <v>2.0702000000000003</v>
      </c>
      <c r="BQ19" s="36">
        <f>BQ18</f>
        <v>4.1404000000000005</v>
      </c>
      <c r="BR19" s="58">
        <f>BR18</f>
        <v>6.2106000000000012</v>
      </c>
      <c r="BT19" s="31" t="str">
        <f>BT18</f>
        <v>7X17</v>
      </c>
      <c r="BU19" s="78">
        <f>BU18</f>
        <v>119</v>
      </c>
      <c r="BV19" s="35">
        <f>BV18</f>
        <v>3.0300600000000002</v>
      </c>
      <c r="BW19" s="36">
        <f>BW18</f>
        <v>6.0601200000000004</v>
      </c>
      <c r="BX19" s="58">
        <f>BX18</f>
        <v>9.0901800000000001</v>
      </c>
      <c r="BZ19" s="31" t="str">
        <f>BZ18</f>
        <v>10X12</v>
      </c>
      <c r="CA19" s="78">
        <f>CA18</f>
        <v>120</v>
      </c>
      <c r="CB19" s="35">
        <f>CB18</f>
        <v>3.0453500000000004</v>
      </c>
      <c r="CC19" s="36">
        <f>CC18</f>
        <v>6.0907000000000009</v>
      </c>
      <c r="CD19" s="58">
        <f>CD18</f>
        <v>9.1360500000000009</v>
      </c>
      <c r="CF19" s="31" t="str">
        <f>CF18</f>
        <v>11X14</v>
      </c>
      <c r="CG19" s="78">
        <f>CG18</f>
        <v>154</v>
      </c>
      <c r="CH19" s="35">
        <f>CH18</f>
        <v>3.8582500000000004</v>
      </c>
      <c r="CI19" s="36">
        <f>CI18</f>
        <v>7.7165000000000008</v>
      </c>
      <c r="CJ19" s="58">
        <f>CJ18</f>
        <v>11.574750000000002</v>
      </c>
      <c r="CL19" s="31" t="str">
        <f>CL18</f>
        <v>14X17</v>
      </c>
      <c r="CM19" s="78">
        <f>CM18</f>
        <v>238</v>
      </c>
      <c r="CN19" s="35">
        <f>CN18</f>
        <v>5.9076599999999999</v>
      </c>
      <c r="CO19" s="36">
        <f>CO18</f>
        <v>11.81532</v>
      </c>
      <c r="CP19" s="58">
        <f>CP18</f>
        <v>17.72298</v>
      </c>
      <c r="CR19" s="208"/>
      <c r="CS19" s="230">
        <v>16</v>
      </c>
      <c r="CT19" s="217">
        <v>2</v>
      </c>
      <c r="CU19" s="232">
        <v>1</v>
      </c>
      <c r="CV19" s="208"/>
      <c r="CW19" s="253">
        <v>119</v>
      </c>
      <c r="CX19" s="208"/>
      <c r="CY19" s="251">
        <f t="shared" ref="CY19:CY52" si="103">CY18</f>
        <v>1</v>
      </c>
      <c r="CZ19" s="250">
        <f>CZ18</f>
        <v>1</v>
      </c>
      <c r="DA19" s="248">
        <f t="shared" si="92"/>
        <v>2</v>
      </c>
      <c r="DB19" s="248">
        <f t="shared" si="93"/>
        <v>1</v>
      </c>
      <c r="DC19" s="264"/>
      <c r="DD19" s="258"/>
      <c r="DE19" s="196"/>
      <c r="DF19" s="203" t="s">
        <v>8</v>
      </c>
      <c r="DG19" s="195">
        <f t="shared" si="6"/>
        <v>4.524</v>
      </c>
      <c r="DH19" s="81">
        <f t="shared" si="7"/>
        <v>2.262</v>
      </c>
      <c r="DI19" s="81">
        <f t="shared" si="8"/>
        <v>2.4359999999999999</v>
      </c>
      <c r="DJ19" s="81">
        <f t="shared" si="9"/>
        <v>4.6484099999999993</v>
      </c>
      <c r="DK19" s="82">
        <f t="shared" si="42"/>
        <v>13.87041</v>
      </c>
      <c r="DM19" s="83">
        <f t="shared" si="10"/>
        <v>3.0300600000000002</v>
      </c>
      <c r="DN19" s="84">
        <f t="shared" si="11"/>
        <v>6.0601200000000004</v>
      </c>
      <c r="DO19" s="84">
        <f t="shared" si="12"/>
        <v>9.0901800000000001</v>
      </c>
      <c r="DP19" s="104"/>
      <c r="DQ19" s="85">
        <f t="shared" si="13"/>
        <v>6.0601200000000004</v>
      </c>
      <c r="DR19" s="108">
        <f t="shared" si="14"/>
        <v>6.0601200000000004</v>
      </c>
      <c r="DS19" s="244">
        <f t="shared" si="43"/>
        <v>19.930530000000001</v>
      </c>
      <c r="DT19" s="113"/>
      <c r="DU19" s="132">
        <f t="shared" si="15"/>
        <v>119</v>
      </c>
      <c r="DV19" s="133">
        <f t="shared" si="16"/>
        <v>8.5000000000000006E-2</v>
      </c>
      <c r="DW19" s="128">
        <f t="shared" si="44"/>
        <v>10.115</v>
      </c>
      <c r="DX19" s="133">
        <f t="shared" si="45"/>
        <v>1.5</v>
      </c>
      <c r="DY19" s="128">
        <f t="shared" si="46"/>
        <v>15.172499999999999</v>
      </c>
      <c r="DZ19" s="126">
        <f t="shared" si="17"/>
        <v>1</v>
      </c>
      <c r="EA19" s="127">
        <f t="shared" si="47"/>
        <v>15.172499999999999</v>
      </c>
      <c r="EC19" s="132">
        <f t="shared" si="48"/>
        <v>119</v>
      </c>
      <c r="ED19" s="133">
        <v>0.115</v>
      </c>
      <c r="EE19" s="128">
        <f t="shared" si="49"/>
        <v>13.685</v>
      </c>
      <c r="EF19" s="133">
        <f t="shared" si="18"/>
        <v>1.5</v>
      </c>
      <c r="EG19" s="128">
        <f t="shared" si="50"/>
        <v>20.5275</v>
      </c>
      <c r="EH19" s="134">
        <f t="shared" si="51"/>
        <v>1</v>
      </c>
      <c r="EI19" s="127">
        <f t="shared" si="52"/>
        <v>20.5275</v>
      </c>
      <c r="EK19" s="132">
        <f t="shared" si="53"/>
        <v>119</v>
      </c>
      <c r="EL19" s="133">
        <f t="shared" si="94"/>
        <v>0.125</v>
      </c>
      <c r="EM19" s="128">
        <f t="shared" si="54"/>
        <v>14.875</v>
      </c>
      <c r="EN19" s="133">
        <f t="shared" si="19"/>
        <v>1.5</v>
      </c>
      <c r="EO19" s="128">
        <f t="shared" si="55"/>
        <v>22.3125</v>
      </c>
      <c r="EP19" s="134">
        <f t="shared" si="56"/>
        <v>1</v>
      </c>
      <c r="EQ19" s="127">
        <f t="shared" si="20"/>
        <v>22.3125</v>
      </c>
      <c r="ER19" s="127"/>
      <c r="ES19" s="132">
        <f t="shared" si="57"/>
        <v>119</v>
      </c>
      <c r="ET19" s="133">
        <f t="shared" si="95"/>
        <v>0.13</v>
      </c>
      <c r="EU19" s="128">
        <f t="shared" si="58"/>
        <v>15.47</v>
      </c>
      <c r="EV19" s="133">
        <f t="shared" si="21"/>
        <v>1.5</v>
      </c>
      <c r="EW19" s="128">
        <f t="shared" si="59"/>
        <v>23.205000000000002</v>
      </c>
      <c r="EX19" s="134">
        <f t="shared" si="60"/>
        <v>1</v>
      </c>
      <c r="EY19" s="127">
        <f t="shared" si="22"/>
        <v>23.205000000000002</v>
      </c>
      <c r="FA19" s="132">
        <f t="shared" si="61"/>
        <v>119</v>
      </c>
      <c r="FB19" s="133">
        <f t="shared" si="96"/>
        <v>0.14000000000000001</v>
      </c>
      <c r="FC19" s="128">
        <f t="shared" si="62"/>
        <v>16.66</v>
      </c>
      <c r="FD19" s="133">
        <f t="shared" si="23"/>
        <v>1.5</v>
      </c>
      <c r="FE19" s="128">
        <f t="shared" si="63"/>
        <v>24.990000000000002</v>
      </c>
      <c r="FF19" s="134">
        <f t="shared" si="64"/>
        <v>1</v>
      </c>
      <c r="FG19" s="127">
        <f t="shared" si="24"/>
        <v>24.990000000000002</v>
      </c>
      <c r="FI19" s="132">
        <f t="shared" si="65"/>
        <v>119</v>
      </c>
      <c r="FJ19" s="133">
        <f t="shared" si="97"/>
        <v>0.15</v>
      </c>
      <c r="FK19" s="128">
        <f t="shared" si="66"/>
        <v>17.849999999999998</v>
      </c>
      <c r="FL19" s="133">
        <f t="shared" si="25"/>
        <v>1.5</v>
      </c>
      <c r="FM19" s="128">
        <f t="shared" si="67"/>
        <v>26.774999999999999</v>
      </c>
      <c r="FN19" s="134">
        <f t="shared" si="68"/>
        <v>1</v>
      </c>
      <c r="FO19" s="127">
        <f t="shared" si="26"/>
        <v>26.774999999999999</v>
      </c>
      <c r="FQ19" s="132">
        <f t="shared" si="69"/>
        <v>119</v>
      </c>
      <c r="FR19" s="133">
        <f t="shared" si="27"/>
        <v>0.16</v>
      </c>
      <c r="FS19" s="128">
        <f t="shared" si="70"/>
        <v>19.04</v>
      </c>
      <c r="FT19" s="133">
        <f t="shared" si="28"/>
        <v>1.5</v>
      </c>
      <c r="FU19" s="128">
        <f t="shared" si="71"/>
        <v>28.56</v>
      </c>
      <c r="FV19" s="134">
        <f t="shared" si="72"/>
        <v>1</v>
      </c>
      <c r="FW19" s="127">
        <f t="shared" si="29"/>
        <v>28.56</v>
      </c>
      <c r="FY19" s="132">
        <f t="shared" si="73"/>
        <v>119</v>
      </c>
      <c r="FZ19" s="133">
        <f t="shared" si="30"/>
        <v>0.17</v>
      </c>
      <c r="GA19" s="128">
        <f t="shared" si="74"/>
        <v>20.23</v>
      </c>
      <c r="GB19" s="133">
        <f t="shared" si="31"/>
        <v>1.5</v>
      </c>
      <c r="GC19" s="128">
        <f t="shared" si="75"/>
        <v>30.344999999999999</v>
      </c>
      <c r="GD19" s="134">
        <f t="shared" si="76"/>
        <v>1</v>
      </c>
      <c r="GE19" s="127">
        <f t="shared" si="32"/>
        <v>30.344999999999999</v>
      </c>
      <c r="GG19" s="132">
        <f t="shared" si="77"/>
        <v>119</v>
      </c>
      <c r="GH19" s="133">
        <f t="shared" si="33"/>
        <v>0.18</v>
      </c>
      <c r="GI19" s="128">
        <f t="shared" si="78"/>
        <v>21.419999999999998</v>
      </c>
      <c r="GJ19" s="133">
        <f t="shared" si="34"/>
        <v>1.5</v>
      </c>
      <c r="GK19" s="128">
        <f t="shared" si="79"/>
        <v>32.129999999999995</v>
      </c>
      <c r="GL19" s="134">
        <f t="shared" si="80"/>
        <v>1</v>
      </c>
      <c r="GM19" s="127">
        <f t="shared" si="35"/>
        <v>32.129999999999995</v>
      </c>
    </row>
    <row r="20" spans="4:195" ht="18.75" x14ac:dyDescent="0.3">
      <c r="D20" s="211" t="s">
        <v>121</v>
      </c>
      <c r="E20" s="211">
        <v>34</v>
      </c>
      <c r="N20" s="8"/>
      <c r="O20" s="29"/>
      <c r="P20" s="8"/>
      <c r="Q20" s="8"/>
      <c r="R20" s="8"/>
      <c r="W20" s="100"/>
      <c r="Y20" s="2"/>
      <c r="AK20" s="47">
        <f t="shared" si="81"/>
        <v>2.262</v>
      </c>
      <c r="AL20" s="46">
        <f t="shared" si="38"/>
        <v>1.131</v>
      </c>
      <c r="AM20" s="49">
        <f t="shared" si="38"/>
        <v>0.754</v>
      </c>
      <c r="AN20" s="111">
        <f t="shared" si="39"/>
        <v>0.5655</v>
      </c>
      <c r="AO20" s="50">
        <f t="shared" si="38"/>
        <v>1.218</v>
      </c>
      <c r="AP20" s="48">
        <f t="shared" si="38"/>
        <v>2.4359999999999999</v>
      </c>
      <c r="AQ20" s="51">
        <f t="shared" si="38"/>
        <v>3.6539999999999999</v>
      </c>
      <c r="AR20" s="52">
        <f t="shared" si="38"/>
        <v>2.3242049999999996</v>
      </c>
      <c r="AS20" s="45">
        <f t="shared" si="40"/>
        <v>4.6484099999999993</v>
      </c>
      <c r="AT20" s="161">
        <f t="shared" si="40"/>
        <v>6.9726149999999993</v>
      </c>
      <c r="AU20" s="163">
        <f t="shared" si="40"/>
        <v>1.1000000000000001</v>
      </c>
      <c r="AV20" s="78" t="str">
        <f t="shared" si="82"/>
        <v>5X7</v>
      </c>
      <c r="AW20" s="78">
        <f t="shared" si="82"/>
        <v>35</v>
      </c>
      <c r="AX20" s="35">
        <f t="shared" si="82"/>
        <v>0.97977000000000003</v>
      </c>
      <c r="AY20" s="36">
        <f t="shared" si="82"/>
        <v>1.9595400000000001</v>
      </c>
      <c r="AZ20" s="58">
        <f t="shared" si="82"/>
        <v>2.9393099999999999</v>
      </c>
      <c r="BB20" s="31" t="str">
        <f t="shared" si="83"/>
        <v>4.5X10</v>
      </c>
      <c r="BC20" s="78">
        <f t="shared" si="83"/>
        <v>45</v>
      </c>
      <c r="BD20" s="35">
        <f t="shared" si="83"/>
        <v>1.23838</v>
      </c>
      <c r="BE20" s="36">
        <f t="shared" si="83"/>
        <v>2.4767600000000001</v>
      </c>
      <c r="BF20" s="58">
        <f t="shared" si="83"/>
        <v>3.7151399999999999</v>
      </c>
      <c r="BH20" s="31" t="str">
        <f t="shared" si="84"/>
        <v>4.5X17</v>
      </c>
      <c r="BI20" s="78">
        <f t="shared" si="84"/>
        <v>76.5</v>
      </c>
      <c r="BJ20" s="35">
        <f t="shared" si="84"/>
        <v>1.9836300000000002</v>
      </c>
      <c r="BK20" s="36">
        <f t="shared" si="84"/>
        <v>3.9672600000000005</v>
      </c>
      <c r="BL20" s="58">
        <f t="shared" si="84"/>
        <v>5.9508900000000011</v>
      </c>
      <c r="BN20" s="31" t="str">
        <f t="shared" si="85"/>
        <v>8X10</v>
      </c>
      <c r="BO20" s="78">
        <f t="shared" si="85"/>
        <v>80</v>
      </c>
      <c r="BP20" s="35">
        <f t="shared" si="85"/>
        <v>2.0702000000000003</v>
      </c>
      <c r="BQ20" s="36">
        <f t="shared" si="85"/>
        <v>4.1404000000000005</v>
      </c>
      <c r="BR20" s="58">
        <f t="shared" si="85"/>
        <v>6.2106000000000012</v>
      </c>
      <c r="BT20" s="31" t="str">
        <f t="shared" si="86"/>
        <v>7X17</v>
      </c>
      <c r="BU20" s="78">
        <f t="shared" si="86"/>
        <v>119</v>
      </c>
      <c r="BV20" s="35">
        <f t="shared" si="86"/>
        <v>3.0300600000000002</v>
      </c>
      <c r="BW20" s="36">
        <f t="shared" si="86"/>
        <v>6.0601200000000004</v>
      </c>
      <c r="BX20" s="58">
        <f t="shared" si="86"/>
        <v>9.0901800000000001</v>
      </c>
      <c r="BZ20" s="31" t="str">
        <f t="shared" si="87"/>
        <v>10X12</v>
      </c>
      <c r="CA20" s="78">
        <f t="shared" si="87"/>
        <v>120</v>
      </c>
      <c r="CB20" s="35">
        <f t="shared" si="87"/>
        <v>3.0453500000000004</v>
      </c>
      <c r="CC20" s="36">
        <f t="shared" si="87"/>
        <v>6.0907000000000009</v>
      </c>
      <c r="CD20" s="58">
        <f t="shared" si="87"/>
        <v>9.1360500000000009</v>
      </c>
      <c r="CF20" s="31" t="str">
        <f t="shared" si="88"/>
        <v>11X14</v>
      </c>
      <c r="CG20" s="78">
        <f t="shared" si="88"/>
        <v>154</v>
      </c>
      <c r="CH20" s="35">
        <f t="shared" si="88"/>
        <v>3.8582500000000004</v>
      </c>
      <c r="CI20" s="36">
        <f t="shared" si="88"/>
        <v>7.7165000000000008</v>
      </c>
      <c r="CJ20" s="58">
        <f t="shared" si="88"/>
        <v>11.574750000000002</v>
      </c>
      <c r="CL20" s="31" t="str">
        <f t="shared" si="89"/>
        <v>14X17</v>
      </c>
      <c r="CM20" s="78">
        <f t="shared" si="89"/>
        <v>238</v>
      </c>
      <c r="CN20" s="35">
        <f t="shared" si="89"/>
        <v>5.9076599999999999</v>
      </c>
      <c r="CO20" s="36">
        <f t="shared" si="89"/>
        <v>11.81532</v>
      </c>
      <c r="CP20" s="58">
        <f t="shared" si="89"/>
        <v>17.72298</v>
      </c>
      <c r="CR20" s="208"/>
      <c r="CS20" s="230">
        <v>17</v>
      </c>
      <c r="CT20" s="217">
        <v>2</v>
      </c>
      <c r="CU20" s="232">
        <v>1</v>
      </c>
      <c r="CV20" s="208"/>
      <c r="CW20" s="253">
        <v>119</v>
      </c>
      <c r="CX20" s="208"/>
      <c r="CY20" s="251">
        <f t="shared" si="103"/>
        <v>1</v>
      </c>
      <c r="CZ20" s="250">
        <f>CZ19</f>
        <v>1</v>
      </c>
      <c r="DA20" s="248">
        <f t="shared" si="92"/>
        <v>2</v>
      </c>
      <c r="DB20" s="248">
        <f t="shared" si="93"/>
        <v>1</v>
      </c>
      <c r="DC20" s="264"/>
      <c r="DD20" s="258"/>
      <c r="DE20" s="196"/>
      <c r="DF20" s="203" t="s">
        <v>8</v>
      </c>
      <c r="DG20" s="195">
        <f t="shared" si="6"/>
        <v>4.524</v>
      </c>
      <c r="DH20" s="81">
        <f t="shared" si="7"/>
        <v>2.262</v>
      </c>
      <c r="DI20" s="81">
        <f t="shared" si="8"/>
        <v>2.4359999999999999</v>
      </c>
      <c r="DJ20" s="81">
        <f t="shared" si="9"/>
        <v>4.6484099999999993</v>
      </c>
      <c r="DK20" s="82">
        <f t="shared" si="42"/>
        <v>13.87041</v>
      </c>
      <c r="DM20" s="83">
        <f t="shared" si="10"/>
        <v>3.0300600000000002</v>
      </c>
      <c r="DN20" s="84">
        <f t="shared" si="11"/>
        <v>6.0601200000000004</v>
      </c>
      <c r="DO20" s="84">
        <f t="shared" si="12"/>
        <v>9.0901800000000001</v>
      </c>
      <c r="DP20" s="104"/>
      <c r="DQ20" s="85">
        <f t="shared" si="13"/>
        <v>6.0601200000000004</v>
      </c>
      <c r="DR20" s="108">
        <f t="shared" si="14"/>
        <v>6.0601200000000004</v>
      </c>
      <c r="DS20" s="244">
        <f t="shared" si="43"/>
        <v>19.930530000000001</v>
      </c>
      <c r="DT20" s="113"/>
      <c r="DU20" s="132">
        <f t="shared" si="15"/>
        <v>119</v>
      </c>
      <c r="DV20" s="133">
        <f t="shared" si="16"/>
        <v>8.5000000000000006E-2</v>
      </c>
      <c r="DW20" s="128">
        <f t="shared" si="44"/>
        <v>10.115</v>
      </c>
      <c r="DX20" s="133">
        <f t="shared" si="45"/>
        <v>1.5</v>
      </c>
      <c r="DY20" s="128">
        <f t="shared" si="46"/>
        <v>15.172499999999999</v>
      </c>
      <c r="DZ20" s="126">
        <f t="shared" si="17"/>
        <v>1</v>
      </c>
      <c r="EA20" s="127">
        <f t="shared" si="47"/>
        <v>15.172499999999999</v>
      </c>
      <c r="EC20" s="132">
        <f t="shared" si="48"/>
        <v>119</v>
      </c>
      <c r="ED20" s="133">
        <v>0.115</v>
      </c>
      <c r="EE20" s="128">
        <f t="shared" si="49"/>
        <v>13.685</v>
      </c>
      <c r="EF20" s="133">
        <f t="shared" si="18"/>
        <v>1.5</v>
      </c>
      <c r="EG20" s="128">
        <f t="shared" si="50"/>
        <v>20.5275</v>
      </c>
      <c r="EH20" s="134">
        <f t="shared" si="51"/>
        <v>1</v>
      </c>
      <c r="EI20" s="127">
        <f t="shared" si="52"/>
        <v>20.5275</v>
      </c>
      <c r="EK20" s="132">
        <f t="shared" si="53"/>
        <v>119</v>
      </c>
      <c r="EL20" s="133">
        <f t="shared" si="94"/>
        <v>0.125</v>
      </c>
      <c r="EM20" s="128">
        <f t="shared" si="54"/>
        <v>14.875</v>
      </c>
      <c r="EN20" s="133">
        <f t="shared" si="19"/>
        <v>1.5</v>
      </c>
      <c r="EO20" s="128">
        <f t="shared" si="55"/>
        <v>22.3125</v>
      </c>
      <c r="EP20" s="134">
        <f t="shared" si="56"/>
        <v>1</v>
      </c>
      <c r="EQ20" s="127">
        <f t="shared" si="20"/>
        <v>22.3125</v>
      </c>
      <c r="ER20" s="127"/>
      <c r="ES20" s="132">
        <f t="shared" si="57"/>
        <v>119</v>
      </c>
      <c r="ET20" s="133">
        <f t="shared" si="95"/>
        <v>0.13</v>
      </c>
      <c r="EU20" s="128">
        <f t="shared" si="58"/>
        <v>15.47</v>
      </c>
      <c r="EV20" s="133">
        <f t="shared" si="21"/>
        <v>1.5</v>
      </c>
      <c r="EW20" s="128">
        <f t="shared" si="59"/>
        <v>23.205000000000002</v>
      </c>
      <c r="EX20" s="134">
        <f t="shared" si="60"/>
        <v>1</v>
      </c>
      <c r="EY20" s="127">
        <f t="shared" si="22"/>
        <v>23.205000000000002</v>
      </c>
      <c r="FA20" s="132">
        <f t="shared" si="61"/>
        <v>119</v>
      </c>
      <c r="FB20" s="133">
        <f t="shared" si="96"/>
        <v>0.14000000000000001</v>
      </c>
      <c r="FC20" s="128">
        <f t="shared" si="62"/>
        <v>16.66</v>
      </c>
      <c r="FD20" s="133">
        <f t="shared" si="23"/>
        <v>1.5</v>
      </c>
      <c r="FE20" s="128">
        <f t="shared" si="63"/>
        <v>24.990000000000002</v>
      </c>
      <c r="FF20" s="134">
        <f t="shared" si="64"/>
        <v>1</v>
      </c>
      <c r="FG20" s="127">
        <f t="shared" si="24"/>
        <v>24.990000000000002</v>
      </c>
      <c r="FI20" s="132">
        <f t="shared" si="65"/>
        <v>119</v>
      </c>
      <c r="FJ20" s="133">
        <f t="shared" si="97"/>
        <v>0.15</v>
      </c>
      <c r="FK20" s="128">
        <f t="shared" si="66"/>
        <v>17.849999999999998</v>
      </c>
      <c r="FL20" s="133">
        <f t="shared" si="25"/>
        <v>1.5</v>
      </c>
      <c r="FM20" s="128">
        <f t="shared" si="67"/>
        <v>26.774999999999999</v>
      </c>
      <c r="FN20" s="134">
        <f t="shared" si="68"/>
        <v>1</v>
      </c>
      <c r="FO20" s="127">
        <f t="shared" si="26"/>
        <v>26.774999999999999</v>
      </c>
      <c r="FQ20" s="132">
        <f t="shared" si="69"/>
        <v>119</v>
      </c>
      <c r="FR20" s="133">
        <f t="shared" si="27"/>
        <v>0.16</v>
      </c>
      <c r="FS20" s="128">
        <f t="shared" si="70"/>
        <v>19.04</v>
      </c>
      <c r="FT20" s="133">
        <f t="shared" si="28"/>
        <v>1.5</v>
      </c>
      <c r="FU20" s="128">
        <f t="shared" si="71"/>
        <v>28.56</v>
      </c>
      <c r="FV20" s="134">
        <f t="shared" si="72"/>
        <v>1</v>
      </c>
      <c r="FW20" s="127">
        <f t="shared" si="29"/>
        <v>28.56</v>
      </c>
      <c r="FY20" s="132">
        <f t="shared" si="73"/>
        <v>119</v>
      </c>
      <c r="FZ20" s="133">
        <f t="shared" si="30"/>
        <v>0.17</v>
      </c>
      <c r="GA20" s="128">
        <f t="shared" si="74"/>
        <v>20.23</v>
      </c>
      <c r="GB20" s="133">
        <f t="shared" si="31"/>
        <v>1.5</v>
      </c>
      <c r="GC20" s="128">
        <f t="shared" si="75"/>
        <v>30.344999999999999</v>
      </c>
      <c r="GD20" s="134">
        <f t="shared" si="76"/>
        <v>1</v>
      </c>
      <c r="GE20" s="127">
        <f t="shared" si="32"/>
        <v>30.344999999999999</v>
      </c>
      <c r="GG20" s="132">
        <f t="shared" si="77"/>
        <v>119</v>
      </c>
      <c r="GH20" s="133">
        <f t="shared" si="33"/>
        <v>0.18</v>
      </c>
      <c r="GI20" s="128">
        <f t="shared" si="78"/>
        <v>21.419999999999998</v>
      </c>
      <c r="GJ20" s="133">
        <f t="shared" si="34"/>
        <v>1.5</v>
      </c>
      <c r="GK20" s="128">
        <f t="shared" si="79"/>
        <v>32.129999999999995</v>
      </c>
      <c r="GL20" s="134">
        <f t="shared" si="80"/>
        <v>1</v>
      </c>
      <c r="GM20" s="127">
        <f t="shared" si="35"/>
        <v>32.129999999999995</v>
      </c>
    </row>
    <row r="21" spans="4:195" ht="18.75" x14ac:dyDescent="0.3">
      <c r="D21" s="211" t="s">
        <v>122</v>
      </c>
      <c r="E21" s="211">
        <v>34</v>
      </c>
      <c r="N21" s="8"/>
      <c r="O21" s="29"/>
      <c r="P21" s="8"/>
      <c r="Q21" s="8"/>
      <c r="R21" s="8"/>
      <c r="T21" s="304" t="s">
        <v>139</v>
      </c>
      <c r="U21" s="304"/>
      <c r="W21" s="100"/>
      <c r="Y21" s="2"/>
      <c r="AK21" s="47">
        <f t="shared" si="81"/>
        <v>2.262</v>
      </c>
      <c r="AL21" s="46">
        <f t="shared" si="100"/>
        <v>1.131</v>
      </c>
      <c r="AM21" s="49">
        <f t="shared" si="100"/>
        <v>0.754</v>
      </c>
      <c r="AN21" s="111">
        <f t="shared" si="39"/>
        <v>0.5655</v>
      </c>
      <c r="AO21" s="50">
        <f t="shared" si="100"/>
        <v>1.218</v>
      </c>
      <c r="AP21" s="48">
        <f t="shared" si="100"/>
        <v>2.4359999999999999</v>
      </c>
      <c r="AQ21" s="51">
        <f t="shared" si="100"/>
        <v>3.6539999999999999</v>
      </c>
      <c r="AR21" s="52">
        <f t="shared" si="100"/>
        <v>2.3242049999999996</v>
      </c>
      <c r="AS21" s="45">
        <f t="shared" si="100"/>
        <v>4.6484099999999993</v>
      </c>
      <c r="AT21" s="161">
        <f t="shared" si="100"/>
        <v>6.9726149999999993</v>
      </c>
      <c r="AU21" s="163">
        <f t="shared" si="100"/>
        <v>1.1000000000000001</v>
      </c>
      <c r="AV21" s="78" t="str">
        <f t="shared" si="82"/>
        <v>5X7</v>
      </c>
      <c r="AW21" s="78">
        <f t="shared" si="82"/>
        <v>35</v>
      </c>
      <c r="AX21" s="35">
        <f t="shared" si="82"/>
        <v>0.97977000000000003</v>
      </c>
      <c r="AY21" s="36">
        <f t="shared" si="82"/>
        <v>1.9595400000000001</v>
      </c>
      <c r="AZ21" s="58">
        <f t="shared" si="82"/>
        <v>2.9393099999999999</v>
      </c>
      <c r="BB21" s="31" t="str">
        <f t="shared" si="83"/>
        <v>4.5X10</v>
      </c>
      <c r="BC21" s="78">
        <f t="shared" si="83"/>
        <v>45</v>
      </c>
      <c r="BD21" s="35">
        <f t="shared" si="83"/>
        <v>1.23838</v>
      </c>
      <c r="BE21" s="36">
        <f t="shared" si="83"/>
        <v>2.4767600000000001</v>
      </c>
      <c r="BF21" s="58">
        <f t="shared" si="83"/>
        <v>3.7151399999999999</v>
      </c>
      <c r="BH21" s="31" t="str">
        <f t="shared" si="84"/>
        <v>4.5X17</v>
      </c>
      <c r="BI21" s="78">
        <f t="shared" si="84"/>
        <v>76.5</v>
      </c>
      <c r="BJ21" s="35">
        <f t="shared" si="84"/>
        <v>1.9836300000000002</v>
      </c>
      <c r="BK21" s="36">
        <f t="shared" si="84"/>
        <v>3.9672600000000005</v>
      </c>
      <c r="BL21" s="58">
        <f t="shared" si="84"/>
        <v>5.9508900000000011</v>
      </c>
      <c r="BN21" s="31" t="str">
        <f t="shared" si="85"/>
        <v>8X10</v>
      </c>
      <c r="BO21" s="78">
        <f t="shared" si="85"/>
        <v>80</v>
      </c>
      <c r="BP21" s="35">
        <f t="shared" si="85"/>
        <v>2.0702000000000003</v>
      </c>
      <c r="BQ21" s="36">
        <f t="shared" si="85"/>
        <v>4.1404000000000005</v>
      </c>
      <c r="BR21" s="58">
        <f t="shared" si="85"/>
        <v>6.2106000000000012</v>
      </c>
      <c r="BT21" s="31" t="str">
        <f t="shared" si="86"/>
        <v>7X17</v>
      </c>
      <c r="BU21" s="78">
        <f t="shared" si="86"/>
        <v>119</v>
      </c>
      <c r="BV21" s="35">
        <f t="shared" si="86"/>
        <v>3.0300600000000002</v>
      </c>
      <c r="BW21" s="36">
        <f t="shared" si="86"/>
        <v>6.0601200000000004</v>
      </c>
      <c r="BX21" s="58">
        <f t="shared" si="86"/>
        <v>9.0901800000000001</v>
      </c>
      <c r="BZ21" s="31" t="str">
        <f t="shared" si="87"/>
        <v>10X12</v>
      </c>
      <c r="CA21" s="78">
        <f t="shared" si="87"/>
        <v>120</v>
      </c>
      <c r="CB21" s="35">
        <f t="shared" si="87"/>
        <v>3.0453500000000004</v>
      </c>
      <c r="CC21" s="36">
        <f t="shared" si="87"/>
        <v>6.0907000000000009</v>
      </c>
      <c r="CD21" s="58">
        <f t="shared" si="87"/>
        <v>9.1360500000000009</v>
      </c>
      <c r="CF21" s="31" t="str">
        <f t="shared" si="88"/>
        <v>11X14</v>
      </c>
      <c r="CG21" s="78">
        <f t="shared" si="88"/>
        <v>154</v>
      </c>
      <c r="CH21" s="35">
        <f t="shared" si="88"/>
        <v>3.8582500000000004</v>
      </c>
      <c r="CI21" s="36">
        <f t="shared" si="88"/>
        <v>7.7165000000000008</v>
      </c>
      <c r="CJ21" s="58">
        <f t="shared" si="88"/>
        <v>11.574750000000002</v>
      </c>
      <c r="CL21" s="31" t="str">
        <f t="shared" si="89"/>
        <v>14X17</v>
      </c>
      <c r="CM21" s="78">
        <f t="shared" si="89"/>
        <v>238</v>
      </c>
      <c r="CN21" s="35">
        <f t="shared" si="89"/>
        <v>5.9076599999999999</v>
      </c>
      <c r="CO21" s="36">
        <f t="shared" si="89"/>
        <v>11.81532</v>
      </c>
      <c r="CP21" s="58">
        <f t="shared" si="89"/>
        <v>17.72298</v>
      </c>
      <c r="CR21" s="208"/>
      <c r="CS21" s="230">
        <v>18</v>
      </c>
      <c r="CT21" s="217">
        <v>2</v>
      </c>
      <c r="CU21" s="232">
        <v>1</v>
      </c>
      <c r="CV21" s="208"/>
      <c r="CW21" s="253">
        <v>119</v>
      </c>
      <c r="CX21" s="208"/>
      <c r="CY21" s="251">
        <f t="shared" si="103"/>
        <v>1</v>
      </c>
      <c r="CZ21" s="250">
        <f>CZ20</f>
        <v>1</v>
      </c>
      <c r="DA21" s="248">
        <f t="shared" si="92"/>
        <v>2</v>
      </c>
      <c r="DB21" s="248">
        <f t="shared" si="93"/>
        <v>1</v>
      </c>
      <c r="DC21" s="264"/>
      <c r="DD21" s="258"/>
      <c r="DE21" s="196"/>
      <c r="DF21" s="203"/>
      <c r="DG21" s="195">
        <f t="shared" si="6"/>
        <v>4.524</v>
      </c>
      <c r="DH21" s="81">
        <f t="shared" si="7"/>
        <v>2.262</v>
      </c>
      <c r="DI21" s="81">
        <f t="shared" si="8"/>
        <v>2.4359999999999999</v>
      </c>
      <c r="DJ21" s="81">
        <f t="shared" si="9"/>
        <v>4.6484099999999993</v>
      </c>
      <c r="DK21" s="82">
        <f t="shared" si="42"/>
        <v>13.87041</v>
      </c>
      <c r="DM21" s="83">
        <f t="shared" si="10"/>
        <v>3.0300600000000002</v>
      </c>
      <c r="DN21" s="84">
        <f t="shared" si="11"/>
        <v>6.0601200000000004</v>
      </c>
      <c r="DO21" s="84">
        <f t="shared" si="12"/>
        <v>9.0901800000000001</v>
      </c>
      <c r="DP21" s="104"/>
      <c r="DQ21" s="85">
        <f t="shared" si="13"/>
        <v>6.0601200000000004</v>
      </c>
      <c r="DR21" s="108">
        <f t="shared" si="14"/>
        <v>6.0601200000000004</v>
      </c>
      <c r="DS21" s="244">
        <f t="shared" si="43"/>
        <v>19.930530000000001</v>
      </c>
      <c r="DT21" s="113"/>
      <c r="DU21" s="132">
        <f t="shared" si="15"/>
        <v>119</v>
      </c>
      <c r="DV21" s="133">
        <f t="shared" si="16"/>
        <v>8.5000000000000006E-2</v>
      </c>
      <c r="DW21" s="128">
        <f t="shared" si="44"/>
        <v>10.115</v>
      </c>
      <c r="DX21" s="133">
        <f t="shared" si="45"/>
        <v>1.5</v>
      </c>
      <c r="DY21" s="128">
        <f t="shared" si="46"/>
        <v>15.172499999999999</v>
      </c>
      <c r="DZ21" s="126">
        <f t="shared" si="17"/>
        <v>1</v>
      </c>
      <c r="EA21" s="127">
        <f t="shared" si="47"/>
        <v>15.172499999999999</v>
      </c>
      <c r="EC21" s="132">
        <f t="shared" si="48"/>
        <v>119</v>
      </c>
      <c r="ED21" s="133">
        <v>0.115</v>
      </c>
      <c r="EE21" s="128">
        <f t="shared" si="49"/>
        <v>13.685</v>
      </c>
      <c r="EF21" s="133">
        <f t="shared" si="18"/>
        <v>1.5</v>
      </c>
      <c r="EG21" s="128">
        <f t="shared" si="50"/>
        <v>20.5275</v>
      </c>
      <c r="EH21" s="134">
        <f t="shared" si="51"/>
        <v>1</v>
      </c>
      <c r="EI21" s="127">
        <f t="shared" si="52"/>
        <v>20.5275</v>
      </c>
      <c r="EK21" s="132">
        <f t="shared" si="53"/>
        <v>119</v>
      </c>
      <c r="EL21" s="133">
        <f t="shared" si="94"/>
        <v>0.125</v>
      </c>
      <c r="EM21" s="128">
        <f t="shared" si="54"/>
        <v>14.875</v>
      </c>
      <c r="EN21" s="133">
        <f t="shared" si="19"/>
        <v>1.5</v>
      </c>
      <c r="EO21" s="128">
        <f t="shared" si="55"/>
        <v>22.3125</v>
      </c>
      <c r="EP21" s="134">
        <f t="shared" si="56"/>
        <v>1</v>
      </c>
      <c r="EQ21" s="127">
        <f t="shared" si="20"/>
        <v>22.3125</v>
      </c>
      <c r="ER21" s="127"/>
      <c r="ES21" s="132">
        <f t="shared" si="57"/>
        <v>119</v>
      </c>
      <c r="ET21" s="133">
        <f t="shared" si="95"/>
        <v>0.13</v>
      </c>
      <c r="EU21" s="128">
        <f t="shared" si="58"/>
        <v>15.47</v>
      </c>
      <c r="EV21" s="133">
        <f t="shared" si="21"/>
        <v>1.5</v>
      </c>
      <c r="EW21" s="128">
        <f t="shared" si="59"/>
        <v>23.205000000000002</v>
      </c>
      <c r="EX21" s="134">
        <f t="shared" si="60"/>
        <v>1</v>
      </c>
      <c r="EY21" s="127">
        <f t="shared" si="22"/>
        <v>23.205000000000002</v>
      </c>
      <c r="FA21" s="132">
        <f t="shared" si="61"/>
        <v>119</v>
      </c>
      <c r="FB21" s="133">
        <f t="shared" si="96"/>
        <v>0.14000000000000001</v>
      </c>
      <c r="FC21" s="128">
        <f t="shared" si="62"/>
        <v>16.66</v>
      </c>
      <c r="FD21" s="133">
        <f t="shared" si="23"/>
        <v>1.5</v>
      </c>
      <c r="FE21" s="128">
        <f t="shared" si="63"/>
        <v>24.990000000000002</v>
      </c>
      <c r="FF21" s="134">
        <f t="shared" si="64"/>
        <v>1</v>
      </c>
      <c r="FG21" s="127">
        <f t="shared" si="24"/>
        <v>24.990000000000002</v>
      </c>
      <c r="FI21" s="132">
        <f t="shared" si="65"/>
        <v>119</v>
      </c>
      <c r="FJ21" s="133">
        <f t="shared" si="97"/>
        <v>0.15</v>
      </c>
      <c r="FK21" s="128">
        <f t="shared" si="66"/>
        <v>17.849999999999998</v>
      </c>
      <c r="FL21" s="133">
        <f t="shared" si="25"/>
        <v>1.5</v>
      </c>
      <c r="FM21" s="128">
        <f t="shared" si="67"/>
        <v>26.774999999999999</v>
      </c>
      <c r="FN21" s="134">
        <f t="shared" si="68"/>
        <v>1</v>
      </c>
      <c r="FO21" s="127">
        <f t="shared" si="26"/>
        <v>26.774999999999999</v>
      </c>
      <c r="FQ21" s="132">
        <f t="shared" si="69"/>
        <v>119</v>
      </c>
      <c r="FR21" s="133">
        <f t="shared" si="27"/>
        <v>0.16</v>
      </c>
      <c r="FS21" s="128">
        <f t="shared" si="70"/>
        <v>19.04</v>
      </c>
      <c r="FT21" s="133">
        <f t="shared" si="28"/>
        <v>1.5</v>
      </c>
      <c r="FU21" s="128">
        <f t="shared" si="71"/>
        <v>28.56</v>
      </c>
      <c r="FV21" s="134">
        <f t="shared" si="72"/>
        <v>1</v>
      </c>
      <c r="FW21" s="127">
        <f t="shared" si="29"/>
        <v>28.56</v>
      </c>
      <c r="FY21" s="132">
        <f t="shared" si="73"/>
        <v>119</v>
      </c>
      <c r="FZ21" s="133">
        <f t="shared" si="30"/>
        <v>0.17</v>
      </c>
      <c r="GA21" s="128">
        <f t="shared" si="74"/>
        <v>20.23</v>
      </c>
      <c r="GB21" s="133">
        <f t="shared" si="31"/>
        <v>1.5</v>
      </c>
      <c r="GC21" s="128">
        <f t="shared" si="75"/>
        <v>30.344999999999999</v>
      </c>
      <c r="GD21" s="134">
        <f t="shared" si="76"/>
        <v>1</v>
      </c>
      <c r="GE21" s="127">
        <f t="shared" si="32"/>
        <v>30.344999999999999</v>
      </c>
      <c r="GG21" s="132">
        <f t="shared" si="77"/>
        <v>119</v>
      </c>
      <c r="GH21" s="133">
        <f t="shared" si="33"/>
        <v>0.18</v>
      </c>
      <c r="GI21" s="128">
        <f t="shared" si="78"/>
        <v>21.419999999999998</v>
      </c>
      <c r="GJ21" s="133">
        <f t="shared" si="34"/>
        <v>1.5</v>
      </c>
      <c r="GK21" s="128">
        <f t="shared" si="79"/>
        <v>32.129999999999995</v>
      </c>
      <c r="GL21" s="134">
        <f t="shared" si="80"/>
        <v>1</v>
      </c>
      <c r="GM21" s="127">
        <f t="shared" si="35"/>
        <v>32.129999999999995</v>
      </c>
    </row>
    <row r="22" spans="4:195" ht="18.75" x14ac:dyDescent="0.3">
      <c r="D22" s="211" t="s">
        <v>124</v>
      </c>
      <c r="E22" s="211">
        <v>30</v>
      </c>
      <c r="N22" s="8"/>
      <c r="O22" s="29"/>
      <c r="P22" s="8"/>
      <c r="Q22" s="8"/>
      <c r="R22" s="8"/>
      <c r="T22" s="304"/>
      <c r="U22" s="304"/>
      <c r="W22" s="8" t="s">
        <v>8</v>
      </c>
      <c r="Y22" s="29"/>
      <c r="AK22" s="47">
        <f t="shared" si="81"/>
        <v>2.262</v>
      </c>
      <c r="AL22" s="46">
        <f t="shared" ref="AL22:AU37" si="104">AL21</f>
        <v>1.131</v>
      </c>
      <c r="AM22" s="49">
        <f t="shared" si="104"/>
        <v>0.754</v>
      </c>
      <c r="AN22" s="111">
        <f t="shared" si="39"/>
        <v>0.5655</v>
      </c>
      <c r="AO22" s="50">
        <f t="shared" si="104"/>
        <v>1.218</v>
      </c>
      <c r="AP22" s="48">
        <f t="shared" si="104"/>
        <v>2.4359999999999999</v>
      </c>
      <c r="AQ22" s="51">
        <f t="shared" si="104"/>
        <v>3.6539999999999999</v>
      </c>
      <c r="AR22" s="52">
        <f t="shared" si="104"/>
        <v>2.3242049999999996</v>
      </c>
      <c r="AS22" s="45">
        <f t="shared" si="104"/>
        <v>4.6484099999999993</v>
      </c>
      <c r="AT22" s="161">
        <f t="shared" si="104"/>
        <v>6.9726149999999993</v>
      </c>
      <c r="AU22" s="163">
        <f t="shared" si="104"/>
        <v>1.1000000000000001</v>
      </c>
      <c r="AV22" s="78" t="str">
        <f t="shared" ref="AV22:AZ37" si="105">AV21</f>
        <v>5X7</v>
      </c>
      <c r="AW22" s="78">
        <f t="shared" si="105"/>
        <v>35</v>
      </c>
      <c r="AX22" s="35">
        <f t="shared" si="105"/>
        <v>0.97977000000000003</v>
      </c>
      <c r="AY22" s="36">
        <f t="shared" si="105"/>
        <v>1.9595400000000001</v>
      </c>
      <c r="AZ22" s="58">
        <f t="shared" si="105"/>
        <v>2.9393099999999999</v>
      </c>
      <c r="BB22" s="31" t="str">
        <f t="shared" ref="BB22:BF37" si="106">BB21</f>
        <v>4.5X10</v>
      </c>
      <c r="BC22" s="78">
        <f t="shared" si="106"/>
        <v>45</v>
      </c>
      <c r="BD22" s="35">
        <f t="shared" si="106"/>
        <v>1.23838</v>
      </c>
      <c r="BE22" s="36">
        <f t="shared" si="106"/>
        <v>2.4767600000000001</v>
      </c>
      <c r="BF22" s="58">
        <f t="shared" si="106"/>
        <v>3.7151399999999999</v>
      </c>
      <c r="BH22" s="31" t="str">
        <f t="shared" ref="BH22:BL37" si="107">BH21</f>
        <v>4.5X17</v>
      </c>
      <c r="BI22" s="78">
        <f t="shared" si="107"/>
        <v>76.5</v>
      </c>
      <c r="BJ22" s="35">
        <f t="shared" si="107"/>
        <v>1.9836300000000002</v>
      </c>
      <c r="BK22" s="36">
        <f t="shared" si="107"/>
        <v>3.9672600000000005</v>
      </c>
      <c r="BL22" s="58">
        <f t="shared" si="107"/>
        <v>5.9508900000000011</v>
      </c>
      <c r="BN22" s="31" t="str">
        <f t="shared" ref="BN22:BR37" si="108">BN21</f>
        <v>8X10</v>
      </c>
      <c r="BO22" s="78">
        <f t="shared" si="108"/>
        <v>80</v>
      </c>
      <c r="BP22" s="35">
        <f t="shared" si="108"/>
        <v>2.0702000000000003</v>
      </c>
      <c r="BQ22" s="36">
        <f t="shared" si="108"/>
        <v>4.1404000000000005</v>
      </c>
      <c r="BR22" s="58">
        <f t="shared" si="108"/>
        <v>6.2106000000000012</v>
      </c>
      <c r="BT22" s="31" t="str">
        <f t="shared" ref="BT22:BX37" si="109">BT21</f>
        <v>7X17</v>
      </c>
      <c r="BU22" s="78">
        <f t="shared" si="109"/>
        <v>119</v>
      </c>
      <c r="BV22" s="35">
        <f t="shared" si="109"/>
        <v>3.0300600000000002</v>
      </c>
      <c r="BW22" s="36">
        <f t="shared" si="109"/>
        <v>6.0601200000000004</v>
      </c>
      <c r="BX22" s="58">
        <f t="shared" si="109"/>
        <v>9.0901800000000001</v>
      </c>
      <c r="BZ22" s="31" t="str">
        <f t="shared" ref="BZ22:CD37" si="110">BZ21</f>
        <v>10X12</v>
      </c>
      <c r="CA22" s="78">
        <f t="shared" si="110"/>
        <v>120</v>
      </c>
      <c r="CB22" s="35">
        <f t="shared" si="110"/>
        <v>3.0453500000000004</v>
      </c>
      <c r="CC22" s="36">
        <f t="shared" si="110"/>
        <v>6.0907000000000009</v>
      </c>
      <c r="CD22" s="58">
        <f t="shared" si="110"/>
        <v>9.1360500000000009</v>
      </c>
      <c r="CF22" s="31" t="str">
        <f t="shared" ref="CF22:CJ37" si="111">CF21</f>
        <v>11X14</v>
      </c>
      <c r="CG22" s="78">
        <f t="shared" si="111"/>
        <v>154</v>
      </c>
      <c r="CH22" s="35">
        <f t="shared" si="111"/>
        <v>3.8582500000000004</v>
      </c>
      <c r="CI22" s="36">
        <f t="shared" si="111"/>
        <v>7.7165000000000008</v>
      </c>
      <c r="CJ22" s="58">
        <f t="shared" si="111"/>
        <v>11.574750000000002</v>
      </c>
      <c r="CL22" s="31" t="str">
        <f t="shared" ref="CL22:CP37" si="112">CL21</f>
        <v>14X17</v>
      </c>
      <c r="CM22" s="78">
        <f t="shared" si="112"/>
        <v>238</v>
      </c>
      <c r="CN22" s="35">
        <f t="shared" si="112"/>
        <v>5.9076599999999999</v>
      </c>
      <c r="CO22" s="36">
        <f t="shared" si="112"/>
        <v>11.81532</v>
      </c>
      <c r="CP22" s="58">
        <f t="shared" si="112"/>
        <v>17.72298</v>
      </c>
      <c r="CR22" s="208"/>
      <c r="CS22" s="230">
        <v>19</v>
      </c>
      <c r="CT22" s="217">
        <v>2</v>
      </c>
      <c r="CU22" s="232">
        <v>1</v>
      </c>
      <c r="CV22" s="208"/>
      <c r="CW22" s="253">
        <v>119</v>
      </c>
      <c r="CX22" s="208"/>
      <c r="CY22" s="251">
        <f t="shared" si="103"/>
        <v>1</v>
      </c>
      <c r="CZ22" s="250">
        <f t="shared" ref="CZ22:CZ37" si="113">CZ21</f>
        <v>1</v>
      </c>
      <c r="DA22" s="248">
        <f t="shared" si="92"/>
        <v>2</v>
      </c>
      <c r="DB22" s="248">
        <f t="shared" si="93"/>
        <v>1</v>
      </c>
      <c r="DC22" s="264"/>
      <c r="DD22" s="258"/>
      <c r="DE22" s="196"/>
      <c r="DF22" s="203"/>
      <c r="DG22" s="195">
        <f t="shared" si="6"/>
        <v>4.524</v>
      </c>
      <c r="DH22" s="81">
        <f t="shared" si="7"/>
        <v>2.262</v>
      </c>
      <c r="DI22" s="81">
        <f t="shared" si="8"/>
        <v>2.4359999999999999</v>
      </c>
      <c r="DJ22" s="81">
        <f t="shared" si="9"/>
        <v>4.6484099999999993</v>
      </c>
      <c r="DK22" s="82">
        <f t="shared" si="42"/>
        <v>13.87041</v>
      </c>
      <c r="DM22" s="83">
        <f t="shared" si="10"/>
        <v>3.0300600000000002</v>
      </c>
      <c r="DN22" s="84">
        <f t="shared" si="11"/>
        <v>6.0601200000000004</v>
      </c>
      <c r="DO22" s="84">
        <f t="shared" si="12"/>
        <v>9.0901800000000001</v>
      </c>
      <c r="DP22" s="104"/>
      <c r="DQ22" s="85">
        <f t="shared" si="13"/>
        <v>6.0601200000000004</v>
      </c>
      <c r="DR22" s="108">
        <f t="shared" si="14"/>
        <v>6.0601200000000004</v>
      </c>
      <c r="DS22" s="244">
        <f t="shared" si="43"/>
        <v>19.930530000000001</v>
      </c>
      <c r="DT22" s="113"/>
      <c r="DU22" s="132">
        <f t="shared" si="15"/>
        <v>119</v>
      </c>
      <c r="DV22" s="133">
        <f t="shared" si="16"/>
        <v>8.5000000000000006E-2</v>
      </c>
      <c r="DW22" s="128">
        <f t="shared" si="44"/>
        <v>10.115</v>
      </c>
      <c r="DX22" s="133">
        <f t="shared" si="45"/>
        <v>1.5</v>
      </c>
      <c r="DY22" s="128">
        <f t="shared" si="46"/>
        <v>15.172499999999999</v>
      </c>
      <c r="DZ22" s="126">
        <f t="shared" si="17"/>
        <v>1</v>
      </c>
      <c r="EA22" s="127">
        <f t="shared" si="47"/>
        <v>15.172499999999999</v>
      </c>
      <c r="EC22" s="132">
        <f t="shared" si="48"/>
        <v>119</v>
      </c>
      <c r="ED22" s="133">
        <v>0.115</v>
      </c>
      <c r="EE22" s="128">
        <f t="shared" si="49"/>
        <v>13.685</v>
      </c>
      <c r="EF22" s="133">
        <f t="shared" si="18"/>
        <v>1.5</v>
      </c>
      <c r="EG22" s="128">
        <f t="shared" si="50"/>
        <v>20.5275</v>
      </c>
      <c r="EH22" s="134">
        <f t="shared" si="51"/>
        <v>1</v>
      </c>
      <c r="EI22" s="127">
        <f t="shared" si="52"/>
        <v>20.5275</v>
      </c>
      <c r="EK22" s="132">
        <f t="shared" si="53"/>
        <v>119</v>
      </c>
      <c r="EL22" s="133">
        <f t="shared" si="94"/>
        <v>0.125</v>
      </c>
      <c r="EM22" s="128">
        <f t="shared" si="54"/>
        <v>14.875</v>
      </c>
      <c r="EN22" s="133">
        <f t="shared" si="19"/>
        <v>1.5</v>
      </c>
      <c r="EO22" s="128">
        <f t="shared" si="55"/>
        <v>22.3125</v>
      </c>
      <c r="EP22" s="134">
        <f t="shared" si="56"/>
        <v>1</v>
      </c>
      <c r="EQ22" s="127">
        <f t="shared" si="20"/>
        <v>22.3125</v>
      </c>
      <c r="ER22" s="127"/>
      <c r="ES22" s="132">
        <f t="shared" si="57"/>
        <v>119</v>
      </c>
      <c r="ET22" s="133">
        <f t="shared" si="95"/>
        <v>0.13</v>
      </c>
      <c r="EU22" s="128">
        <f t="shared" si="58"/>
        <v>15.47</v>
      </c>
      <c r="EV22" s="133">
        <f t="shared" si="21"/>
        <v>1.5</v>
      </c>
      <c r="EW22" s="128">
        <f t="shared" si="59"/>
        <v>23.205000000000002</v>
      </c>
      <c r="EX22" s="134">
        <f t="shared" si="60"/>
        <v>1</v>
      </c>
      <c r="EY22" s="127">
        <f t="shared" si="22"/>
        <v>23.205000000000002</v>
      </c>
      <c r="FA22" s="132">
        <f t="shared" si="61"/>
        <v>119</v>
      </c>
      <c r="FB22" s="133">
        <f t="shared" si="96"/>
        <v>0.14000000000000001</v>
      </c>
      <c r="FC22" s="128">
        <f t="shared" si="62"/>
        <v>16.66</v>
      </c>
      <c r="FD22" s="133">
        <f t="shared" si="23"/>
        <v>1.5</v>
      </c>
      <c r="FE22" s="128">
        <f t="shared" si="63"/>
        <v>24.990000000000002</v>
      </c>
      <c r="FF22" s="134">
        <f t="shared" si="64"/>
        <v>1</v>
      </c>
      <c r="FG22" s="127">
        <f t="shared" si="24"/>
        <v>24.990000000000002</v>
      </c>
      <c r="FI22" s="132">
        <f t="shared" si="65"/>
        <v>119</v>
      </c>
      <c r="FJ22" s="133">
        <f t="shared" si="97"/>
        <v>0.15</v>
      </c>
      <c r="FK22" s="128">
        <f t="shared" si="66"/>
        <v>17.849999999999998</v>
      </c>
      <c r="FL22" s="133">
        <f t="shared" si="25"/>
        <v>1.5</v>
      </c>
      <c r="FM22" s="128">
        <f t="shared" si="67"/>
        <v>26.774999999999999</v>
      </c>
      <c r="FN22" s="134">
        <f t="shared" si="68"/>
        <v>1</v>
      </c>
      <c r="FO22" s="127">
        <f t="shared" si="26"/>
        <v>26.774999999999999</v>
      </c>
      <c r="FQ22" s="132">
        <f t="shared" si="69"/>
        <v>119</v>
      </c>
      <c r="FR22" s="133">
        <f t="shared" si="27"/>
        <v>0.16</v>
      </c>
      <c r="FS22" s="128">
        <f t="shared" si="70"/>
        <v>19.04</v>
      </c>
      <c r="FT22" s="133">
        <f t="shared" si="28"/>
        <v>1.5</v>
      </c>
      <c r="FU22" s="128">
        <f t="shared" si="71"/>
        <v>28.56</v>
      </c>
      <c r="FV22" s="134">
        <f t="shared" si="72"/>
        <v>1</v>
      </c>
      <c r="FW22" s="127">
        <f t="shared" si="29"/>
        <v>28.56</v>
      </c>
      <c r="FY22" s="132">
        <f t="shared" si="73"/>
        <v>119</v>
      </c>
      <c r="FZ22" s="133">
        <f t="shared" si="30"/>
        <v>0.17</v>
      </c>
      <c r="GA22" s="128">
        <f t="shared" si="74"/>
        <v>20.23</v>
      </c>
      <c r="GB22" s="133">
        <f t="shared" si="31"/>
        <v>1.5</v>
      </c>
      <c r="GC22" s="128">
        <f t="shared" si="75"/>
        <v>30.344999999999999</v>
      </c>
      <c r="GD22" s="134">
        <f t="shared" si="76"/>
        <v>1</v>
      </c>
      <c r="GE22" s="127">
        <f t="shared" si="32"/>
        <v>30.344999999999999</v>
      </c>
      <c r="GG22" s="132">
        <f t="shared" si="77"/>
        <v>119</v>
      </c>
      <c r="GH22" s="133">
        <f t="shared" si="33"/>
        <v>0.18</v>
      </c>
      <c r="GI22" s="128">
        <f t="shared" si="78"/>
        <v>21.419999999999998</v>
      </c>
      <c r="GJ22" s="133">
        <f t="shared" si="34"/>
        <v>1.5</v>
      </c>
      <c r="GK22" s="128">
        <f t="shared" si="79"/>
        <v>32.129999999999995</v>
      </c>
      <c r="GL22" s="134">
        <f t="shared" si="80"/>
        <v>1</v>
      </c>
      <c r="GM22" s="127">
        <f t="shared" si="35"/>
        <v>32.129999999999995</v>
      </c>
    </row>
    <row r="23" spans="4:195" ht="18.75" x14ac:dyDescent="0.3">
      <c r="E23">
        <f>(SUM(E13:E22)*2080)/12</f>
        <v>40040</v>
      </c>
      <c r="G23" s="8">
        <f>F4*160</f>
        <v>12249.6</v>
      </c>
      <c r="N23" s="8"/>
      <c r="O23" s="29"/>
      <c r="P23" s="8"/>
      <c r="Q23" s="8"/>
      <c r="R23" s="8"/>
      <c r="T23" s="304"/>
      <c r="U23" s="304"/>
      <c r="W23" s="8" t="s">
        <v>8</v>
      </c>
      <c r="AK23" s="47">
        <f t="shared" si="81"/>
        <v>2.262</v>
      </c>
      <c r="AL23" s="46">
        <f t="shared" si="104"/>
        <v>1.131</v>
      </c>
      <c r="AM23" s="49">
        <f t="shared" si="104"/>
        <v>0.754</v>
      </c>
      <c r="AN23" s="111">
        <f t="shared" si="39"/>
        <v>0.5655</v>
      </c>
      <c r="AO23" s="50">
        <f t="shared" si="104"/>
        <v>1.218</v>
      </c>
      <c r="AP23" s="48">
        <f t="shared" si="104"/>
        <v>2.4359999999999999</v>
      </c>
      <c r="AQ23" s="51">
        <f t="shared" si="104"/>
        <v>3.6539999999999999</v>
      </c>
      <c r="AR23" s="52">
        <f t="shared" si="104"/>
        <v>2.3242049999999996</v>
      </c>
      <c r="AS23" s="45">
        <f t="shared" si="104"/>
        <v>4.6484099999999993</v>
      </c>
      <c r="AT23" s="161">
        <f t="shared" si="104"/>
        <v>6.9726149999999993</v>
      </c>
      <c r="AU23" s="163">
        <f t="shared" si="104"/>
        <v>1.1000000000000001</v>
      </c>
      <c r="AV23" s="78" t="str">
        <f t="shared" si="105"/>
        <v>5X7</v>
      </c>
      <c r="AW23" s="78">
        <f t="shared" si="105"/>
        <v>35</v>
      </c>
      <c r="AX23" s="35">
        <f t="shared" si="105"/>
        <v>0.97977000000000003</v>
      </c>
      <c r="AY23" s="36">
        <f t="shared" si="105"/>
        <v>1.9595400000000001</v>
      </c>
      <c r="AZ23" s="58">
        <f t="shared" si="105"/>
        <v>2.9393099999999999</v>
      </c>
      <c r="BB23" s="31" t="str">
        <f t="shared" si="106"/>
        <v>4.5X10</v>
      </c>
      <c r="BC23" s="78">
        <f t="shared" si="106"/>
        <v>45</v>
      </c>
      <c r="BD23" s="35">
        <f t="shared" si="106"/>
        <v>1.23838</v>
      </c>
      <c r="BE23" s="36">
        <f t="shared" si="106"/>
        <v>2.4767600000000001</v>
      </c>
      <c r="BF23" s="58">
        <f t="shared" si="106"/>
        <v>3.7151399999999999</v>
      </c>
      <c r="BH23" s="31" t="str">
        <f t="shared" si="107"/>
        <v>4.5X17</v>
      </c>
      <c r="BI23" s="78">
        <f t="shared" si="107"/>
        <v>76.5</v>
      </c>
      <c r="BJ23" s="35">
        <f t="shared" si="107"/>
        <v>1.9836300000000002</v>
      </c>
      <c r="BK23" s="36">
        <f t="shared" si="107"/>
        <v>3.9672600000000005</v>
      </c>
      <c r="BL23" s="58">
        <f t="shared" si="107"/>
        <v>5.9508900000000011</v>
      </c>
      <c r="BN23" s="31" t="str">
        <f t="shared" si="108"/>
        <v>8X10</v>
      </c>
      <c r="BO23" s="78">
        <f t="shared" si="108"/>
        <v>80</v>
      </c>
      <c r="BP23" s="35">
        <f t="shared" si="108"/>
        <v>2.0702000000000003</v>
      </c>
      <c r="BQ23" s="36">
        <f t="shared" si="108"/>
        <v>4.1404000000000005</v>
      </c>
      <c r="BR23" s="58">
        <f t="shared" si="108"/>
        <v>6.2106000000000012</v>
      </c>
      <c r="BT23" s="31" t="str">
        <f t="shared" si="109"/>
        <v>7X17</v>
      </c>
      <c r="BU23" s="78">
        <f t="shared" si="109"/>
        <v>119</v>
      </c>
      <c r="BV23" s="35">
        <f t="shared" si="109"/>
        <v>3.0300600000000002</v>
      </c>
      <c r="BW23" s="36">
        <f t="shared" si="109"/>
        <v>6.0601200000000004</v>
      </c>
      <c r="BX23" s="58">
        <f t="shared" si="109"/>
        <v>9.0901800000000001</v>
      </c>
      <c r="BZ23" s="31" t="str">
        <f t="shared" si="110"/>
        <v>10X12</v>
      </c>
      <c r="CA23" s="78">
        <f t="shared" si="110"/>
        <v>120</v>
      </c>
      <c r="CB23" s="35">
        <f t="shared" si="110"/>
        <v>3.0453500000000004</v>
      </c>
      <c r="CC23" s="36">
        <f t="shared" si="110"/>
        <v>6.0907000000000009</v>
      </c>
      <c r="CD23" s="58">
        <f t="shared" si="110"/>
        <v>9.1360500000000009</v>
      </c>
      <c r="CF23" s="31" t="str">
        <f t="shared" si="111"/>
        <v>11X14</v>
      </c>
      <c r="CG23" s="78">
        <f t="shared" si="111"/>
        <v>154</v>
      </c>
      <c r="CH23" s="35">
        <f t="shared" si="111"/>
        <v>3.8582500000000004</v>
      </c>
      <c r="CI23" s="36">
        <f t="shared" si="111"/>
        <v>7.7165000000000008</v>
      </c>
      <c r="CJ23" s="58">
        <f t="shared" si="111"/>
        <v>11.574750000000002</v>
      </c>
      <c r="CL23" s="31" t="str">
        <f t="shared" si="112"/>
        <v>14X17</v>
      </c>
      <c r="CM23" s="78">
        <f t="shared" si="112"/>
        <v>238</v>
      </c>
      <c r="CN23" s="35">
        <f t="shared" si="112"/>
        <v>5.9076599999999999</v>
      </c>
      <c r="CO23" s="36">
        <f t="shared" si="112"/>
        <v>11.81532</v>
      </c>
      <c r="CP23" s="58">
        <f t="shared" si="112"/>
        <v>17.72298</v>
      </c>
      <c r="CR23" s="208"/>
      <c r="CS23" s="230">
        <v>20</v>
      </c>
      <c r="CT23" s="217">
        <v>2</v>
      </c>
      <c r="CU23" s="232">
        <v>1</v>
      </c>
      <c r="CV23" s="208"/>
      <c r="CW23" s="253">
        <v>119</v>
      </c>
      <c r="CX23" s="208"/>
      <c r="CY23" s="251">
        <f t="shared" si="103"/>
        <v>1</v>
      </c>
      <c r="CZ23" s="250">
        <f t="shared" si="113"/>
        <v>1</v>
      </c>
      <c r="DA23" s="248">
        <f t="shared" si="92"/>
        <v>2</v>
      </c>
      <c r="DB23" s="248">
        <f t="shared" si="93"/>
        <v>1</v>
      </c>
      <c r="DC23" s="264"/>
      <c r="DD23" s="258"/>
      <c r="DE23" s="196"/>
      <c r="DF23" s="203"/>
      <c r="DG23" s="195">
        <f t="shared" si="6"/>
        <v>4.524</v>
      </c>
      <c r="DH23" s="81">
        <f t="shared" si="7"/>
        <v>2.262</v>
      </c>
      <c r="DI23" s="81">
        <f t="shared" si="8"/>
        <v>2.4359999999999999</v>
      </c>
      <c r="DJ23" s="81">
        <f t="shared" si="9"/>
        <v>4.6484099999999993</v>
      </c>
      <c r="DK23" s="82">
        <f t="shared" si="42"/>
        <v>13.87041</v>
      </c>
      <c r="DM23" s="83">
        <f t="shared" si="10"/>
        <v>3.0300600000000002</v>
      </c>
      <c r="DN23" s="84">
        <f t="shared" si="11"/>
        <v>6.0601200000000004</v>
      </c>
      <c r="DO23" s="84">
        <f t="shared" si="12"/>
        <v>9.0901800000000001</v>
      </c>
      <c r="DP23" s="104"/>
      <c r="DQ23" s="85">
        <f t="shared" si="13"/>
        <v>6.0601200000000004</v>
      </c>
      <c r="DR23" s="108">
        <f t="shared" si="14"/>
        <v>6.0601200000000004</v>
      </c>
      <c r="DS23" s="244">
        <f t="shared" si="43"/>
        <v>19.930530000000001</v>
      </c>
      <c r="DT23" s="113"/>
      <c r="DU23" s="132">
        <f t="shared" si="15"/>
        <v>119</v>
      </c>
      <c r="DV23" s="133">
        <f t="shared" si="16"/>
        <v>8.5000000000000006E-2</v>
      </c>
      <c r="DW23" s="128">
        <f t="shared" si="44"/>
        <v>10.115</v>
      </c>
      <c r="DX23" s="133">
        <f t="shared" si="45"/>
        <v>1.5</v>
      </c>
      <c r="DY23" s="128">
        <f t="shared" si="46"/>
        <v>15.172499999999999</v>
      </c>
      <c r="DZ23" s="126">
        <f t="shared" si="17"/>
        <v>1</v>
      </c>
      <c r="EA23" s="127">
        <f t="shared" si="47"/>
        <v>15.172499999999999</v>
      </c>
      <c r="EC23" s="132">
        <f t="shared" si="48"/>
        <v>119</v>
      </c>
      <c r="ED23" s="133">
        <v>0.115</v>
      </c>
      <c r="EE23" s="128">
        <f t="shared" si="49"/>
        <v>13.685</v>
      </c>
      <c r="EF23" s="133">
        <f t="shared" si="18"/>
        <v>1.5</v>
      </c>
      <c r="EG23" s="128">
        <f t="shared" si="50"/>
        <v>20.5275</v>
      </c>
      <c r="EH23" s="134">
        <f t="shared" si="51"/>
        <v>1</v>
      </c>
      <c r="EI23" s="127">
        <f t="shared" si="52"/>
        <v>20.5275</v>
      </c>
      <c r="EK23" s="132">
        <f t="shared" si="53"/>
        <v>119</v>
      </c>
      <c r="EL23" s="133">
        <f t="shared" si="94"/>
        <v>0.125</v>
      </c>
      <c r="EM23" s="128">
        <f t="shared" si="54"/>
        <v>14.875</v>
      </c>
      <c r="EN23" s="133">
        <f t="shared" si="19"/>
        <v>1.5</v>
      </c>
      <c r="EO23" s="128">
        <f t="shared" si="55"/>
        <v>22.3125</v>
      </c>
      <c r="EP23" s="134">
        <f t="shared" si="56"/>
        <v>1</v>
      </c>
      <c r="EQ23" s="127">
        <f t="shared" si="20"/>
        <v>22.3125</v>
      </c>
      <c r="ER23" s="127"/>
      <c r="ES23" s="132">
        <f t="shared" si="57"/>
        <v>119</v>
      </c>
      <c r="ET23" s="133">
        <f t="shared" si="95"/>
        <v>0.13</v>
      </c>
      <c r="EU23" s="128">
        <f t="shared" si="58"/>
        <v>15.47</v>
      </c>
      <c r="EV23" s="133">
        <f t="shared" si="21"/>
        <v>1.5</v>
      </c>
      <c r="EW23" s="128">
        <f t="shared" si="59"/>
        <v>23.205000000000002</v>
      </c>
      <c r="EX23" s="134">
        <f t="shared" si="60"/>
        <v>1</v>
      </c>
      <c r="EY23" s="127">
        <f t="shared" si="22"/>
        <v>23.205000000000002</v>
      </c>
      <c r="FA23" s="132">
        <f t="shared" si="61"/>
        <v>119</v>
      </c>
      <c r="FB23" s="133">
        <f t="shared" si="96"/>
        <v>0.14000000000000001</v>
      </c>
      <c r="FC23" s="128">
        <f t="shared" si="62"/>
        <v>16.66</v>
      </c>
      <c r="FD23" s="133">
        <f t="shared" si="23"/>
        <v>1.5</v>
      </c>
      <c r="FE23" s="128">
        <f t="shared" si="63"/>
        <v>24.990000000000002</v>
      </c>
      <c r="FF23" s="134">
        <f t="shared" si="64"/>
        <v>1</v>
      </c>
      <c r="FG23" s="127">
        <f t="shared" si="24"/>
        <v>24.990000000000002</v>
      </c>
      <c r="FI23" s="132">
        <f t="shared" si="65"/>
        <v>119</v>
      </c>
      <c r="FJ23" s="133">
        <f t="shared" si="97"/>
        <v>0.15</v>
      </c>
      <c r="FK23" s="128">
        <f t="shared" si="66"/>
        <v>17.849999999999998</v>
      </c>
      <c r="FL23" s="133">
        <f t="shared" si="25"/>
        <v>1.5</v>
      </c>
      <c r="FM23" s="128">
        <f t="shared" si="67"/>
        <v>26.774999999999999</v>
      </c>
      <c r="FN23" s="134">
        <f t="shared" si="68"/>
        <v>1</v>
      </c>
      <c r="FO23" s="127">
        <f t="shared" si="26"/>
        <v>26.774999999999999</v>
      </c>
      <c r="FQ23" s="132">
        <f t="shared" si="69"/>
        <v>119</v>
      </c>
      <c r="FR23" s="133">
        <f t="shared" si="27"/>
        <v>0.16</v>
      </c>
      <c r="FS23" s="128">
        <f t="shared" si="70"/>
        <v>19.04</v>
      </c>
      <c r="FT23" s="133">
        <f t="shared" si="28"/>
        <v>1.5</v>
      </c>
      <c r="FU23" s="128">
        <f t="shared" si="71"/>
        <v>28.56</v>
      </c>
      <c r="FV23" s="134">
        <f t="shared" si="72"/>
        <v>1</v>
      </c>
      <c r="FW23" s="127">
        <f t="shared" si="29"/>
        <v>28.56</v>
      </c>
      <c r="FY23" s="132">
        <f t="shared" si="73"/>
        <v>119</v>
      </c>
      <c r="FZ23" s="133">
        <f t="shared" si="30"/>
        <v>0.17</v>
      </c>
      <c r="GA23" s="128">
        <f t="shared" si="74"/>
        <v>20.23</v>
      </c>
      <c r="GB23" s="133">
        <f t="shared" si="31"/>
        <v>1.5</v>
      </c>
      <c r="GC23" s="128">
        <f t="shared" si="75"/>
        <v>30.344999999999999</v>
      </c>
      <c r="GD23" s="134">
        <f t="shared" si="76"/>
        <v>1</v>
      </c>
      <c r="GE23" s="127">
        <f t="shared" si="32"/>
        <v>30.344999999999999</v>
      </c>
      <c r="GG23" s="132">
        <f t="shared" si="77"/>
        <v>119</v>
      </c>
      <c r="GH23" s="133">
        <f t="shared" si="33"/>
        <v>0.18</v>
      </c>
      <c r="GI23" s="128">
        <f t="shared" si="78"/>
        <v>21.419999999999998</v>
      </c>
      <c r="GJ23" s="133">
        <f t="shared" si="34"/>
        <v>1.5</v>
      </c>
      <c r="GK23" s="128">
        <f t="shared" si="79"/>
        <v>32.129999999999995</v>
      </c>
      <c r="GL23" s="134">
        <f t="shared" si="80"/>
        <v>1</v>
      </c>
      <c r="GM23" s="127">
        <f t="shared" si="35"/>
        <v>32.129999999999995</v>
      </c>
    </row>
    <row r="24" spans="4:195" ht="18.75" x14ac:dyDescent="0.3">
      <c r="E24">
        <f>115000/12</f>
        <v>9583.3333333333339</v>
      </c>
      <c r="G24" s="8">
        <f t="shared" ref="G24:G28" si="114">F5*160</f>
        <v>12249.6</v>
      </c>
      <c r="N24" s="8"/>
      <c r="O24" s="29"/>
      <c r="P24" s="8"/>
      <c r="Q24" s="8"/>
      <c r="R24" s="8"/>
      <c r="AK24" s="47">
        <f t="shared" si="81"/>
        <v>2.262</v>
      </c>
      <c r="AL24" s="46">
        <f t="shared" si="104"/>
        <v>1.131</v>
      </c>
      <c r="AM24" s="49">
        <f t="shared" si="104"/>
        <v>0.754</v>
      </c>
      <c r="AN24" s="111">
        <f t="shared" si="39"/>
        <v>0.5655</v>
      </c>
      <c r="AO24" s="50">
        <f t="shared" si="104"/>
        <v>1.218</v>
      </c>
      <c r="AP24" s="48">
        <f t="shared" si="104"/>
        <v>2.4359999999999999</v>
      </c>
      <c r="AQ24" s="51">
        <f t="shared" si="104"/>
        <v>3.6539999999999999</v>
      </c>
      <c r="AR24" s="52">
        <f t="shared" si="104"/>
        <v>2.3242049999999996</v>
      </c>
      <c r="AS24" s="45">
        <f t="shared" si="104"/>
        <v>4.6484099999999993</v>
      </c>
      <c r="AT24" s="161">
        <f t="shared" si="104"/>
        <v>6.9726149999999993</v>
      </c>
      <c r="AU24" s="163">
        <f t="shared" si="104"/>
        <v>1.1000000000000001</v>
      </c>
      <c r="AV24" s="78" t="str">
        <f t="shared" si="105"/>
        <v>5X7</v>
      </c>
      <c r="AW24" s="78">
        <f t="shared" si="105"/>
        <v>35</v>
      </c>
      <c r="AX24" s="35">
        <f t="shared" si="105"/>
        <v>0.97977000000000003</v>
      </c>
      <c r="AY24" s="36">
        <f t="shared" si="105"/>
        <v>1.9595400000000001</v>
      </c>
      <c r="AZ24" s="58">
        <f t="shared" si="105"/>
        <v>2.9393099999999999</v>
      </c>
      <c r="BB24" s="31" t="str">
        <f t="shared" si="106"/>
        <v>4.5X10</v>
      </c>
      <c r="BC24" s="78">
        <f t="shared" si="106"/>
        <v>45</v>
      </c>
      <c r="BD24" s="35">
        <f t="shared" si="106"/>
        <v>1.23838</v>
      </c>
      <c r="BE24" s="36">
        <f t="shared" si="106"/>
        <v>2.4767600000000001</v>
      </c>
      <c r="BF24" s="58">
        <f t="shared" si="106"/>
        <v>3.7151399999999999</v>
      </c>
      <c r="BH24" s="31" t="str">
        <f t="shared" si="107"/>
        <v>4.5X17</v>
      </c>
      <c r="BI24" s="78">
        <f t="shared" si="107"/>
        <v>76.5</v>
      </c>
      <c r="BJ24" s="35">
        <f t="shared" si="107"/>
        <v>1.9836300000000002</v>
      </c>
      <c r="BK24" s="36">
        <f t="shared" si="107"/>
        <v>3.9672600000000005</v>
      </c>
      <c r="BL24" s="58">
        <f t="shared" si="107"/>
        <v>5.9508900000000011</v>
      </c>
      <c r="BN24" s="31" t="str">
        <f t="shared" si="108"/>
        <v>8X10</v>
      </c>
      <c r="BO24" s="78">
        <f t="shared" si="108"/>
        <v>80</v>
      </c>
      <c r="BP24" s="35">
        <f t="shared" si="108"/>
        <v>2.0702000000000003</v>
      </c>
      <c r="BQ24" s="36">
        <f t="shared" si="108"/>
        <v>4.1404000000000005</v>
      </c>
      <c r="BR24" s="58">
        <f t="shared" si="108"/>
        <v>6.2106000000000012</v>
      </c>
      <c r="BT24" s="31" t="str">
        <f t="shared" si="109"/>
        <v>7X17</v>
      </c>
      <c r="BU24" s="78">
        <f t="shared" si="109"/>
        <v>119</v>
      </c>
      <c r="BV24" s="35">
        <f t="shared" si="109"/>
        <v>3.0300600000000002</v>
      </c>
      <c r="BW24" s="36">
        <f t="shared" si="109"/>
        <v>6.0601200000000004</v>
      </c>
      <c r="BX24" s="58">
        <f t="shared" si="109"/>
        <v>9.0901800000000001</v>
      </c>
      <c r="BZ24" s="31" t="str">
        <f t="shared" si="110"/>
        <v>10X12</v>
      </c>
      <c r="CA24" s="78">
        <f t="shared" si="110"/>
        <v>120</v>
      </c>
      <c r="CB24" s="35">
        <f t="shared" si="110"/>
        <v>3.0453500000000004</v>
      </c>
      <c r="CC24" s="36">
        <f t="shared" si="110"/>
        <v>6.0907000000000009</v>
      </c>
      <c r="CD24" s="58">
        <f t="shared" si="110"/>
        <v>9.1360500000000009</v>
      </c>
      <c r="CF24" s="31" t="str">
        <f t="shared" si="111"/>
        <v>11X14</v>
      </c>
      <c r="CG24" s="78">
        <f t="shared" si="111"/>
        <v>154</v>
      </c>
      <c r="CH24" s="35">
        <f t="shared" si="111"/>
        <v>3.8582500000000004</v>
      </c>
      <c r="CI24" s="36">
        <f t="shared" si="111"/>
        <v>7.7165000000000008</v>
      </c>
      <c r="CJ24" s="58">
        <f t="shared" si="111"/>
        <v>11.574750000000002</v>
      </c>
      <c r="CL24" s="31" t="str">
        <f t="shared" si="112"/>
        <v>14X17</v>
      </c>
      <c r="CM24" s="78">
        <f t="shared" si="112"/>
        <v>238</v>
      </c>
      <c r="CN24" s="35">
        <f t="shared" si="112"/>
        <v>5.9076599999999999</v>
      </c>
      <c r="CO24" s="36">
        <f t="shared" si="112"/>
        <v>11.81532</v>
      </c>
      <c r="CP24" s="58">
        <f t="shared" si="112"/>
        <v>17.72298</v>
      </c>
      <c r="CR24" s="208"/>
      <c r="CS24" s="230">
        <v>21</v>
      </c>
      <c r="CT24" s="217">
        <v>2</v>
      </c>
      <c r="CU24" s="232">
        <v>1</v>
      </c>
      <c r="CV24" s="208"/>
      <c r="CW24" s="253">
        <v>119</v>
      </c>
      <c r="CX24" s="208"/>
      <c r="CY24" s="251">
        <f t="shared" si="103"/>
        <v>1</v>
      </c>
      <c r="CZ24" s="250">
        <f t="shared" si="113"/>
        <v>1</v>
      </c>
      <c r="DA24" s="248">
        <f t="shared" si="92"/>
        <v>2</v>
      </c>
      <c r="DB24" s="248">
        <f t="shared" si="93"/>
        <v>1</v>
      </c>
      <c r="DC24" s="264"/>
      <c r="DD24" s="258"/>
      <c r="DE24" s="196"/>
      <c r="DF24" s="203"/>
      <c r="DG24" s="195">
        <f t="shared" si="6"/>
        <v>4.524</v>
      </c>
      <c r="DH24" s="81">
        <f t="shared" si="7"/>
        <v>2.262</v>
      </c>
      <c r="DI24" s="81">
        <f t="shared" si="8"/>
        <v>2.4359999999999999</v>
      </c>
      <c r="DJ24" s="81">
        <f t="shared" si="9"/>
        <v>4.6484099999999993</v>
      </c>
      <c r="DK24" s="82">
        <f t="shared" si="42"/>
        <v>13.87041</v>
      </c>
      <c r="DM24" s="83">
        <f t="shared" si="10"/>
        <v>3.0300600000000002</v>
      </c>
      <c r="DN24" s="84">
        <f t="shared" si="11"/>
        <v>6.0601200000000004</v>
      </c>
      <c r="DO24" s="84">
        <f t="shared" si="12"/>
        <v>9.0901800000000001</v>
      </c>
      <c r="DP24" s="104"/>
      <c r="DQ24" s="85">
        <f t="shared" si="13"/>
        <v>6.0601200000000004</v>
      </c>
      <c r="DR24" s="108">
        <f t="shared" si="14"/>
        <v>6.0601200000000004</v>
      </c>
      <c r="DS24" s="244">
        <f t="shared" si="43"/>
        <v>19.930530000000001</v>
      </c>
      <c r="DT24" s="113"/>
      <c r="DU24" s="132">
        <f t="shared" si="15"/>
        <v>119</v>
      </c>
      <c r="DV24" s="133">
        <f t="shared" si="16"/>
        <v>8.5000000000000006E-2</v>
      </c>
      <c r="DW24" s="128">
        <f t="shared" si="44"/>
        <v>10.115</v>
      </c>
      <c r="DX24" s="133">
        <f t="shared" si="45"/>
        <v>1.5</v>
      </c>
      <c r="DY24" s="128">
        <f t="shared" si="46"/>
        <v>15.172499999999999</v>
      </c>
      <c r="DZ24" s="126">
        <f t="shared" si="17"/>
        <v>1</v>
      </c>
      <c r="EA24" s="127">
        <f t="shared" si="47"/>
        <v>15.172499999999999</v>
      </c>
      <c r="EC24" s="132">
        <f t="shared" si="48"/>
        <v>119</v>
      </c>
      <c r="ED24" s="133">
        <v>0.115</v>
      </c>
      <c r="EE24" s="128">
        <f t="shared" si="49"/>
        <v>13.685</v>
      </c>
      <c r="EF24" s="133">
        <f t="shared" si="18"/>
        <v>1.5</v>
      </c>
      <c r="EG24" s="128">
        <f t="shared" si="50"/>
        <v>20.5275</v>
      </c>
      <c r="EH24" s="134">
        <f t="shared" si="51"/>
        <v>1</v>
      </c>
      <c r="EI24" s="127">
        <f t="shared" si="52"/>
        <v>20.5275</v>
      </c>
      <c r="EK24" s="132">
        <f t="shared" si="53"/>
        <v>119</v>
      </c>
      <c r="EL24" s="133">
        <f t="shared" si="94"/>
        <v>0.125</v>
      </c>
      <c r="EM24" s="128">
        <f t="shared" si="54"/>
        <v>14.875</v>
      </c>
      <c r="EN24" s="133">
        <f t="shared" si="19"/>
        <v>1.5</v>
      </c>
      <c r="EO24" s="128">
        <f t="shared" si="55"/>
        <v>22.3125</v>
      </c>
      <c r="EP24" s="134">
        <f t="shared" si="56"/>
        <v>1</v>
      </c>
      <c r="EQ24" s="127">
        <f t="shared" si="20"/>
        <v>22.3125</v>
      </c>
      <c r="ER24" s="127"/>
      <c r="ES24" s="132">
        <f t="shared" si="57"/>
        <v>119</v>
      </c>
      <c r="ET24" s="133">
        <f t="shared" si="95"/>
        <v>0.13</v>
      </c>
      <c r="EU24" s="128">
        <f t="shared" si="58"/>
        <v>15.47</v>
      </c>
      <c r="EV24" s="133">
        <f t="shared" si="21"/>
        <v>1.5</v>
      </c>
      <c r="EW24" s="128">
        <f t="shared" si="59"/>
        <v>23.205000000000002</v>
      </c>
      <c r="EX24" s="134">
        <f t="shared" si="60"/>
        <v>1</v>
      </c>
      <c r="EY24" s="127">
        <f t="shared" si="22"/>
        <v>23.205000000000002</v>
      </c>
      <c r="FA24" s="132">
        <f t="shared" si="61"/>
        <v>119</v>
      </c>
      <c r="FB24" s="133">
        <f t="shared" si="96"/>
        <v>0.14000000000000001</v>
      </c>
      <c r="FC24" s="128">
        <f t="shared" si="62"/>
        <v>16.66</v>
      </c>
      <c r="FD24" s="133">
        <f t="shared" si="23"/>
        <v>1.5</v>
      </c>
      <c r="FE24" s="128">
        <f t="shared" si="63"/>
        <v>24.990000000000002</v>
      </c>
      <c r="FF24" s="134">
        <f t="shared" si="64"/>
        <v>1</v>
      </c>
      <c r="FG24" s="127">
        <f t="shared" si="24"/>
        <v>24.990000000000002</v>
      </c>
      <c r="FI24" s="132">
        <f t="shared" si="65"/>
        <v>119</v>
      </c>
      <c r="FJ24" s="133">
        <f t="shared" si="97"/>
        <v>0.15</v>
      </c>
      <c r="FK24" s="128">
        <f t="shared" si="66"/>
        <v>17.849999999999998</v>
      </c>
      <c r="FL24" s="133">
        <f t="shared" si="25"/>
        <v>1.5</v>
      </c>
      <c r="FM24" s="128">
        <f t="shared" si="67"/>
        <v>26.774999999999999</v>
      </c>
      <c r="FN24" s="134">
        <f t="shared" si="68"/>
        <v>1</v>
      </c>
      <c r="FO24" s="127">
        <f t="shared" si="26"/>
        <v>26.774999999999999</v>
      </c>
      <c r="FQ24" s="132">
        <f t="shared" si="69"/>
        <v>119</v>
      </c>
      <c r="FR24" s="133">
        <f t="shared" si="27"/>
        <v>0.16</v>
      </c>
      <c r="FS24" s="128">
        <f t="shared" si="70"/>
        <v>19.04</v>
      </c>
      <c r="FT24" s="133">
        <f t="shared" si="28"/>
        <v>1.5</v>
      </c>
      <c r="FU24" s="128">
        <f t="shared" si="71"/>
        <v>28.56</v>
      </c>
      <c r="FV24" s="134">
        <f t="shared" si="72"/>
        <v>1</v>
      </c>
      <c r="FW24" s="127">
        <f t="shared" si="29"/>
        <v>28.56</v>
      </c>
      <c r="FY24" s="132">
        <f t="shared" si="73"/>
        <v>119</v>
      </c>
      <c r="FZ24" s="133">
        <f t="shared" si="30"/>
        <v>0.17</v>
      </c>
      <c r="GA24" s="128">
        <f t="shared" si="74"/>
        <v>20.23</v>
      </c>
      <c r="GB24" s="133">
        <f t="shared" si="31"/>
        <v>1.5</v>
      </c>
      <c r="GC24" s="128">
        <f t="shared" si="75"/>
        <v>30.344999999999999</v>
      </c>
      <c r="GD24" s="134">
        <f t="shared" si="76"/>
        <v>1</v>
      </c>
      <c r="GE24" s="127">
        <f t="shared" si="32"/>
        <v>30.344999999999999</v>
      </c>
      <c r="GG24" s="132">
        <f t="shared" si="77"/>
        <v>119</v>
      </c>
      <c r="GH24" s="133">
        <f t="shared" si="33"/>
        <v>0.18</v>
      </c>
      <c r="GI24" s="128">
        <f t="shared" si="78"/>
        <v>21.419999999999998</v>
      </c>
      <c r="GJ24" s="133">
        <f t="shared" si="34"/>
        <v>1.5</v>
      </c>
      <c r="GK24" s="128">
        <f t="shared" si="79"/>
        <v>32.129999999999995</v>
      </c>
      <c r="GL24" s="134">
        <f t="shared" si="80"/>
        <v>1</v>
      </c>
      <c r="GM24" s="127">
        <f t="shared" si="35"/>
        <v>32.129999999999995</v>
      </c>
    </row>
    <row r="25" spans="4:195" ht="19.5" thickBot="1" x14ac:dyDescent="0.35">
      <c r="E25">
        <f>E23+E24</f>
        <v>49623.333333333336</v>
      </c>
      <c r="G25" s="8">
        <f t="shared" si="114"/>
        <v>12249.6</v>
      </c>
      <c r="N25" s="8"/>
      <c r="O25" s="29"/>
      <c r="P25" s="8"/>
      <c r="Q25" s="8"/>
      <c r="R25" s="8"/>
      <c r="T25" s="305" t="s">
        <v>140</v>
      </c>
      <c r="U25" s="305"/>
      <c r="AK25" s="47">
        <f t="shared" si="81"/>
        <v>2.262</v>
      </c>
      <c r="AL25" s="46">
        <f t="shared" si="104"/>
        <v>1.131</v>
      </c>
      <c r="AM25" s="49">
        <f t="shared" si="104"/>
        <v>0.754</v>
      </c>
      <c r="AN25" s="111">
        <f t="shared" si="39"/>
        <v>0.5655</v>
      </c>
      <c r="AO25" s="50">
        <f t="shared" si="104"/>
        <v>1.218</v>
      </c>
      <c r="AP25" s="48">
        <f t="shared" si="104"/>
        <v>2.4359999999999999</v>
      </c>
      <c r="AQ25" s="51">
        <f t="shared" si="104"/>
        <v>3.6539999999999999</v>
      </c>
      <c r="AR25" s="52">
        <f t="shared" si="104"/>
        <v>2.3242049999999996</v>
      </c>
      <c r="AS25" s="45">
        <f t="shared" si="104"/>
        <v>4.6484099999999993</v>
      </c>
      <c r="AT25" s="161">
        <f t="shared" si="104"/>
        <v>6.9726149999999993</v>
      </c>
      <c r="AU25" s="163">
        <f t="shared" si="104"/>
        <v>1.1000000000000001</v>
      </c>
      <c r="AV25" s="78" t="str">
        <f t="shared" si="105"/>
        <v>5X7</v>
      </c>
      <c r="AW25" s="78">
        <f t="shared" si="105"/>
        <v>35</v>
      </c>
      <c r="AX25" s="35">
        <f t="shared" si="105"/>
        <v>0.97977000000000003</v>
      </c>
      <c r="AY25" s="36">
        <f t="shared" si="105"/>
        <v>1.9595400000000001</v>
      </c>
      <c r="AZ25" s="58">
        <f t="shared" si="105"/>
        <v>2.9393099999999999</v>
      </c>
      <c r="BB25" s="31" t="str">
        <f t="shared" si="106"/>
        <v>4.5X10</v>
      </c>
      <c r="BC25" s="78">
        <f t="shared" si="106"/>
        <v>45</v>
      </c>
      <c r="BD25" s="35">
        <f t="shared" si="106"/>
        <v>1.23838</v>
      </c>
      <c r="BE25" s="36">
        <f t="shared" si="106"/>
        <v>2.4767600000000001</v>
      </c>
      <c r="BF25" s="58">
        <f t="shared" si="106"/>
        <v>3.7151399999999999</v>
      </c>
      <c r="BH25" s="31" t="str">
        <f t="shared" si="107"/>
        <v>4.5X17</v>
      </c>
      <c r="BI25" s="78">
        <f t="shared" si="107"/>
        <v>76.5</v>
      </c>
      <c r="BJ25" s="35">
        <f t="shared" si="107"/>
        <v>1.9836300000000002</v>
      </c>
      <c r="BK25" s="36">
        <f t="shared" si="107"/>
        <v>3.9672600000000005</v>
      </c>
      <c r="BL25" s="58">
        <f t="shared" si="107"/>
        <v>5.9508900000000011</v>
      </c>
      <c r="BN25" s="31" t="str">
        <f t="shared" si="108"/>
        <v>8X10</v>
      </c>
      <c r="BO25" s="78">
        <f t="shared" si="108"/>
        <v>80</v>
      </c>
      <c r="BP25" s="35">
        <f t="shared" si="108"/>
        <v>2.0702000000000003</v>
      </c>
      <c r="BQ25" s="36">
        <f t="shared" si="108"/>
        <v>4.1404000000000005</v>
      </c>
      <c r="BR25" s="58">
        <f t="shared" si="108"/>
        <v>6.2106000000000012</v>
      </c>
      <c r="BT25" s="31" t="str">
        <f t="shared" si="109"/>
        <v>7X17</v>
      </c>
      <c r="BU25" s="78">
        <f t="shared" si="109"/>
        <v>119</v>
      </c>
      <c r="BV25" s="35">
        <f t="shared" si="109"/>
        <v>3.0300600000000002</v>
      </c>
      <c r="BW25" s="36">
        <f t="shared" si="109"/>
        <v>6.0601200000000004</v>
      </c>
      <c r="BX25" s="58">
        <f t="shared" si="109"/>
        <v>9.0901800000000001</v>
      </c>
      <c r="BZ25" s="31" t="str">
        <f t="shared" si="110"/>
        <v>10X12</v>
      </c>
      <c r="CA25" s="78">
        <f t="shared" si="110"/>
        <v>120</v>
      </c>
      <c r="CB25" s="35">
        <f t="shared" si="110"/>
        <v>3.0453500000000004</v>
      </c>
      <c r="CC25" s="36">
        <f t="shared" si="110"/>
        <v>6.0907000000000009</v>
      </c>
      <c r="CD25" s="58">
        <f t="shared" si="110"/>
        <v>9.1360500000000009</v>
      </c>
      <c r="CF25" s="31" t="str">
        <f t="shared" si="111"/>
        <v>11X14</v>
      </c>
      <c r="CG25" s="78">
        <f t="shared" si="111"/>
        <v>154</v>
      </c>
      <c r="CH25" s="35">
        <f t="shared" si="111"/>
        <v>3.8582500000000004</v>
      </c>
      <c r="CI25" s="36">
        <f t="shared" si="111"/>
        <v>7.7165000000000008</v>
      </c>
      <c r="CJ25" s="58">
        <f t="shared" si="111"/>
        <v>11.574750000000002</v>
      </c>
      <c r="CL25" s="31" t="str">
        <f t="shared" si="112"/>
        <v>14X17</v>
      </c>
      <c r="CM25" s="78">
        <f t="shared" si="112"/>
        <v>238</v>
      </c>
      <c r="CN25" s="35">
        <f t="shared" si="112"/>
        <v>5.9076599999999999</v>
      </c>
      <c r="CO25" s="36">
        <f t="shared" si="112"/>
        <v>11.81532</v>
      </c>
      <c r="CP25" s="58">
        <f t="shared" si="112"/>
        <v>17.72298</v>
      </c>
      <c r="CR25" s="208"/>
      <c r="CS25" s="230"/>
      <c r="CT25" s="217"/>
      <c r="CU25" s="232"/>
      <c r="CV25" s="208"/>
      <c r="CW25" s="253"/>
      <c r="CX25" s="208"/>
      <c r="CY25" s="251">
        <f t="shared" si="103"/>
        <v>1</v>
      </c>
      <c r="CZ25" s="250">
        <f t="shared" si="113"/>
        <v>1</v>
      </c>
      <c r="DA25" s="248">
        <f t="shared" si="92"/>
        <v>2</v>
      </c>
      <c r="DB25" s="248">
        <f t="shared" si="93"/>
        <v>1</v>
      </c>
      <c r="DC25" s="264"/>
      <c r="DD25" s="258"/>
      <c r="DE25" s="196"/>
      <c r="DF25" s="203"/>
      <c r="DG25" s="195">
        <f t="shared" si="6"/>
        <v>0</v>
      </c>
      <c r="DH25" s="81">
        <f t="shared" si="7"/>
        <v>0</v>
      </c>
      <c r="DI25" s="81">
        <f t="shared" si="8"/>
        <v>0</v>
      </c>
      <c r="DJ25" s="81">
        <f t="shared" si="9"/>
        <v>0</v>
      </c>
      <c r="DK25" s="82">
        <f t="shared" si="42"/>
        <v>0</v>
      </c>
      <c r="DM25" s="83">
        <f t="shared" si="10"/>
        <v>0</v>
      </c>
      <c r="DN25" s="84">
        <f t="shared" si="11"/>
        <v>0</v>
      </c>
      <c r="DO25" s="84">
        <f t="shared" si="12"/>
        <v>0</v>
      </c>
      <c r="DP25" s="104"/>
      <c r="DQ25" s="85">
        <f t="shared" si="13"/>
        <v>0</v>
      </c>
      <c r="DR25" s="108">
        <f t="shared" si="14"/>
        <v>0</v>
      </c>
      <c r="DS25" s="244">
        <f t="shared" si="43"/>
        <v>0</v>
      </c>
      <c r="DT25" s="113"/>
      <c r="DU25" s="132">
        <f t="shared" si="15"/>
        <v>0</v>
      </c>
      <c r="DV25" s="133">
        <f t="shared" si="16"/>
        <v>0</v>
      </c>
      <c r="DW25" s="128">
        <f t="shared" si="44"/>
        <v>0</v>
      </c>
      <c r="DX25" s="133">
        <f t="shared" si="45"/>
        <v>0</v>
      </c>
      <c r="DY25" s="128">
        <f t="shared" si="46"/>
        <v>0</v>
      </c>
      <c r="DZ25" s="126">
        <f t="shared" si="17"/>
        <v>0</v>
      </c>
      <c r="EA25" s="127">
        <f t="shared" si="47"/>
        <v>0</v>
      </c>
      <c r="EC25" s="132">
        <f t="shared" si="48"/>
        <v>0</v>
      </c>
      <c r="ED25" s="133">
        <v>0.115</v>
      </c>
      <c r="EE25" s="128">
        <f t="shared" si="49"/>
        <v>0</v>
      </c>
      <c r="EF25" s="133">
        <f t="shared" si="18"/>
        <v>0</v>
      </c>
      <c r="EG25" s="128">
        <f t="shared" si="50"/>
        <v>0</v>
      </c>
      <c r="EH25" s="134">
        <f t="shared" si="51"/>
        <v>0</v>
      </c>
      <c r="EI25" s="127">
        <f t="shared" si="52"/>
        <v>0</v>
      </c>
      <c r="EK25" s="132">
        <f t="shared" si="53"/>
        <v>0</v>
      </c>
      <c r="EL25" s="133">
        <f t="shared" si="94"/>
        <v>0.125</v>
      </c>
      <c r="EM25" s="128">
        <f t="shared" si="54"/>
        <v>0</v>
      </c>
      <c r="EN25" s="133">
        <f t="shared" si="19"/>
        <v>0</v>
      </c>
      <c r="EO25" s="128">
        <f t="shared" si="55"/>
        <v>0</v>
      </c>
      <c r="EP25" s="134">
        <f t="shared" si="56"/>
        <v>0</v>
      </c>
      <c r="EQ25" s="127">
        <f t="shared" si="20"/>
        <v>0</v>
      </c>
      <c r="ER25" s="127"/>
      <c r="ES25" s="132">
        <f t="shared" si="57"/>
        <v>0</v>
      </c>
      <c r="ET25" s="133">
        <f t="shared" si="95"/>
        <v>0.13</v>
      </c>
      <c r="EU25" s="128">
        <f t="shared" si="58"/>
        <v>0</v>
      </c>
      <c r="EV25" s="133">
        <f t="shared" si="21"/>
        <v>0</v>
      </c>
      <c r="EW25" s="128">
        <f t="shared" si="59"/>
        <v>0</v>
      </c>
      <c r="EX25" s="134">
        <f t="shared" si="60"/>
        <v>0</v>
      </c>
      <c r="EY25" s="127">
        <f t="shared" si="22"/>
        <v>0</v>
      </c>
      <c r="FA25" s="132">
        <f t="shared" si="61"/>
        <v>0</v>
      </c>
      <c r="FB25" s="133">
        <f t="shared" si="96"/>
        <v>0</v>
      </c>
      <c r="FC25" s="128">
        <f t="shared" si="62"/>
        <v>0</v>
      </c>
      <c r="FD25" s="133">
        <f t="shared" si="23"/>
        <v>0</v>
      </c>
      <c r="FE25" s="128">
        <f t="shared" si="63"/>
        <v>0</v>
      </c>
      <c r="FF25" s="134">
        <f t="shared" si="64"/>
        <v>0</v>
      </c>
      <c r="FG25" s="127">
        <f t="shared" si="24"/>
        <v>0</v>
      </c>
      <c r="FI25" s="132">
        <f t="shared" si="65"/>
        <v>0</v>
      </c>
      <c r="FJ25" s="133">
        <f t="shared" si="97"/>
        <v>0</v>
      </c>
      <c r="FK25" s="128">
        <f t="shared" si="66"/>
        <v>0</v>
      </c>
      <c r="FL25" s="133">
        <f t="shared" si="25"/>
        <v>0</v>
      </c>
      <c r="FM25" s="128">
        <f t="shared" si="67"/>
        <v>0</v>
      </c>
      <c r="FN25" s="134">
        <f t="shared" si="68"/>
        <v>0</v>
      </c>
      <c r="FO25" s="127">
        <f t="shared" si="26"/>
        <v>0</v>
      </c>
      <c r="FQ25" s="132">
        <f t="shared" si="69"/>
        <v>0</v>
      </c>
      <c r="FR25" s="133">
        <f t="shared" si="27"/>
        <v>0</v>
      </c>
      <c r="FS25" s="128">
        <f t="shared" si="70"/>
        <v>0</v>
      </c>
      <c r="FT25" s="133">
        <f t="shared" si="28"/>
        <v>0</v>
      </c>
      <c r="FU25" s="128">
        <f t="shared" si="71"/>
        <v>0</v>
      </c>
      <c r="FV25" s="134">
        <f t="shared" si="72"/>
        <v>0</v>
      </c>
      <c r="FW25" s="127">
        <f t="shared" si="29"/>
        <v>0</v>
      </c>
      <c r="FY25" s="132">
        <f t="shared" si="73"/>
        <v>0</v>
      </c>
      <c r="FZ25" s="133">
        <f t="shared" si="30"/>
        <v>0</v>
      </c>
      <c r="GA25" s="128">
        <f t="shared" si="74"/>
        <v>0</v>
      </c>
      <c r="GB25" s="133">
        <f t="shared" si="31"/>
        <v>0</v>
      </c>
      <c r="GC25" s="128">
        <f t="shared" si="75"/>
        <v>0</v>
      </c>
      <c r="GD25" s="134">
        <f t="shared" si="76"/>
        <v>0</v>
      </c>
      <c r="GE25" s="127">
        <f t="shared" si="32"/>
        <v>0</v>
      </c>
      <c r="GG25" s="132">
        <f t="shared" si="77"/>
        <v>0</v>
      </c>
      <c r="GH25" s="133">
        <f t="shared" si="33"/>
        <v>0</v>
      </c>
      <c r="GI25" s="128">
        <f t="shared" si="78"/>
        <v>0</v>
      </c>
      <c r="GJ25" s="133">
        <f t="shared" si="34"/>
        <v>0</v>
      </c>
      <c r="GK25" s="128">
        <f t="shared" si="79"/>
        <v>0</v>
      </c>
      <c r="GL25" s="134">
        <f t="shared" si="80"/>
        <v>0</v>
      </c>
      <c r="GM25" s="127">
        <f t="shared" si="35"/>
        <v>0</v>
      </c>
    </row>
    <row r="26" spans="4:195" ht="19.5" thickBot="1" x14ac:dyDescent="0.35">
      <c r="D26" t="s">
        <v>130</v>
      </c>
      <c r="E26" s="222">
        <f>E25*1.18</f>
        <v>58555.533333333333</v>
      </c>
      <c r="G26" s="8">
        <f t="shared" si="114"/>
        <v>16704</v>
      </c>
      <c r="N26" s="8"/>
      <c r="O26" s="29"/>
      <c r="P26" s="8"/>
      <c r="Q26" s="8"/>
      <c r="R26" s="8"/>
      <c r="T26" s="305"/>
      <c r="U26" s="305"/>
      <c r="AK26" s="47">
        <f t="shared" si="81"/>
        <v>2.262</v>
      </c>
      <c r="AL26" s="46">
        <f t="shared" si="104"/>
        <v>1.131</v>
      </c>
      <c r="AM26" s="49">
        <f t="shared" si="104"/>
        <v>0.754</v>
      </c>
      <c r="AN26" s="111">
        <f t="shared" si="39"/>
        <v>0.5655</v>
      </c>
      <c r="AO26" s="50">
        <f t="shared" si="104"/>
        <v>1.218</v>
      </c>
      <c r="AP26" s="48">
        <f t="shared" si="104"/>
        <v>2.4359999999999999</v>
      </c>
      <c r="AQ26" s="51">
        <f t="shared" si="104"/>
        <v>3.6539999999999999</v>
      </c>
      <c r="AR26" s="52">
        <f t="shared" si="104"/>
        <v>2.3242049999999996</v>
      </c>
      <c r="AS26" s="45">
        <f t="shared" si="104"/>
        <v>4.6484099999999993</v>
      </c>
      <c r="AT26" s="161">
        <f t="shared" si="104"/>
        <v>6.9726149999999993</v>
      </c>
      <c r="AU26" s="163">
        <f t="shared" si="104"/>
        <v>1.1000000000000001</v>
      </c>
      <c r="AV26" s="78" t="str">
        <f t="shared" si="105"/>
        <v>5X7</v>
      </c>
      <c r="AW26" s="78">
        <f t="shared" si="105"/>
        <v>35</v>
      </c>
      <c r="AX26" s="35">
        <f t="shared" si="105"/>
        <v>0.97977000000000003</v>
      </c>
      <c r="AY26" s="36">
        <f t="shared" si="105"/>
        <v>1.9595400000000001</v>
      </c>
      <c r="AZ26" s="58">
        <f t="shared" si="105"/>
        <v>2.9393099999999999</v>
      </c>
      <c r="BB26" s="31" t="str">
        <f t="shared" si="106"/>
        <v>4.5X10</v>
      </c>
      <c r="BC26" s="78">
        <f t="shared" si="106"/>
        <v>45</v>
      </c>
      <c r="BD26" s="35">
        <f t="shared" si="106"/>
        <v>1.23838</v>
      </c>
      <c r="BE26" s="36">
        <f t="shared" si="106"/>
        <v>2.4767600000000001</v>
      </c>
      <c r="BF26" s="58">
        <f t="shared" si="106"/>
        <v>3.7151399999999999</v>
      </c>
      <c r="BH26" s="31" t="str">
        <f t="shared" si="107"/>
        <v>4.5X17</v>
      </c>
      <c r="BI26" s="78">
        <f t="shared" si="107"/>
        <v>76.5</v>
      </c>
      <c r="BJ26" s="35">
        <f t="shared" si="107"/>
        <v>1.9836300000000002</v>
      </c>
      <c r="BK26" s="36">
        <f t="shared" si="107"/>
        <v>3.9672600000000005</v>
      </c>
      <c r="BL26" s="58">
        <f t="shared" si="107"/>
        <v>5.9508900000000011</v>
      </c>
      <c r="BN26" s="31" t="str">
        <f t="shared" si="108"/>
        <v>8X10</v>
      </c>
      <c r="BO26" s="78">
        <f t="shared" si="108"/>
        <v>80</v>
      </c>
      <c r="BP26" s="35">
        <f t="shared" si="108"/>
        <v>2.0702000000000003</v>
      </c>
      <c r="BQ26" s="36">
        <f t="shared" si="108"/>
        <v>4.1404000000000005</v>
      </c>
      <c r="BR26" s="58">
        <f t="shared" si="108"/>
        <v>6.2106000000000012</v>
      </c>
      <c r="BT26" s="31" t="str">
        <f t="shared" si="109"/>
        <v>7X17</v>
      </c>
      <c r="BU26" s="78">
        <f t="shared" si="109"/>
        <v>119</v>
      </c>
      <c r="BV26" s="35">
        <f t="shared" si="109"/>
        <v>3.0300600000000002</v>
      </c>
      <c r="BW26" s="36">
        <f t="shared" si="109"/>
        <v>6.0601200000000004</v>
      </c>
      <c r="BX26" s="58">
        <f t="shared" si="109"/>
        <v>9.0901800000000001</v>
      </c>
      <c r="BZ26" s="31" t="str">
        <f t="shared" si="110"/>
        <v>10X12</v>
      </c>
      <c r="CA26" s="78">
        <f t="shared" si="110"/>
        <v>120</v>
      </c>
      <c r="CB26" s="35">
        <f t="shared" si="110"/>
        <v>3.0453500000000004</v>
      </c>
      <c r="CC26" s="36">
        <f t="shared" si="110"/>
        <v>6.0907000000000009</v>
      </c>
      <c r="CD26" s="58">
        <f t="shared" si="110"/>
        <v>9.1360500000000009</v>
      </c>
      <c r="CF26" s="31" t="str">
        <f t="shared" si="111"/>
        <v>11X14</v>
      </c>
      <c r="CG26" s="78">
        <f t="shared" si="111"/>
        <v>154</v>
      </c>
      <c r="CH26" s="35">
        <f t="shared" si="111"/>
        <v>3.8582500000000004</v>
      </c>
      <c r="CI26" s="36">
        <f t="shared" si="111"/>
        <v>7.7165000000000008</v>
      </c>
      <c r="CJ26" s="58">
        <f t="shared" si="111"/>
        <v>11.574750000000002</v>
      </c>
      <c r="CL26" s="31" t="str">
        <f t="shared" si="112"/>
        <v>14X17</v>
      </c>
      <c r="CM26" s="78">
        <f t="shared" si="112"/>
        <v>238</v>
      </c>
      <c r="CN26" s="35">
        <f t="shared" si="112"/>
        <v>5.9076599999999999</v>
      </c>
      <c r="CO26" s="36">
        <f t="shared" si="112"/>
        <v>11.81532</v>
      </c>
      <c r="CP26" s="58">
        <f t="shared" si="112"/>
        <v>17.72298</v>
      </c>
      <c r="CR26" s="208"/>
      <c r="CS26" s="230"/>
      <c r="CT26" s="217"/>
      <c r="CU26" s="232"/>
      <c r="CV26" s="208"/>
      <c r="CW26" s="254"/>
      <c r="CX26" s="208"/>
      <c r="CY26" s="251">
        <f t="shared" si="103"/>
        <v>1</v>
      </c>
      <c r="CZ26" s="250">
        <f t="shared" si="113"/>
        <v>1</v>
      </c>
      <c r="DA26" s="248">
        <f t="shared" si="92"/>
        <v>2</v>
      </c>
      <c r="DB26" s="248">
        <f t="shared" si="93"/>
        <v>1</v>
      </c>
      <c r="DC26" s="264"/>
      <c r="DD26" s="258"/>
      <c r="DE26" s="196"/>
      <c r="DF26" s="203"/>
      <c r="DG26" s="195">
        <f t="shared" si="6"/>
        <v>0</v>
      </c>
      <c r="DH26" s="81">
        <f t="shared" si="7"/>
        <v>0</v>
      </c>
      <c r="DI26" s="81">
        <f t="shared" si="8"/>
        <v>0</v>
      </c>
      <c r="DJ26" s="81">
        <f t="shared" si="9"/>
        <v>0</v>
      </c>
      <c r="DK26" s="82">
        <f t="shared" si="42"/>
        <v>0</v>
      </c>
      <c r="DM26" s="83">
        <f t="shared" si="10"/>
        <v>0</v>
      </c>
      <c r="DN26" s="84">
        <f t="shared" si="11"/>
        <v>0</v>
      </c>
      <c r="DO26" s="84">
        <f t="shared" si="12"/>
        <v>0</v>
      </c>
      <c r="DP26" s="104"/>
      <c r="DQ26" s="85">
        <f t="shared" si="13"/>
        <v>0</v>
      </c>
      <c r="DR26" s="108">
        <f t="shared" si="14"/>
        <v>0</v>
      </c>
      <c r="DS26" s="244">
        <f t="shared" si="43"/>
        <v>0</v>
      </c>
      <c r="DT26" s="113"/>
      <c r="DU26" s="132">
        <f t="shared" si="15"/>
        <v>0</v>
      </c>
      <c r="DV26" s="133">
        <f t="shared" si="16"/>
        <v>0</v>
      </c>
      <c r="DW26" s="128">
        <f t="shared" si="44"/>
        <v>0</v>
      </c>
      <c r="DX26" s="133">
        <f t="shared" si="45"/>
        <v>0</v>
      </c>
      <c r="DY26" s="128">
        <f t="shared" si="46"/>
        <v>0</v>
      </c>
      <c r="DZ26" s="126">
        <f t="shared" si="17"/>
        <v>0</v>
      </c>
      <c r="EA26" s="127">
        <f t="shared" si="47"/>
        <v>0</v>
      </c>
      <c r="EC26" s="132">
        <f t="shared" si="48"/>
        <v>0</v>
      </c>
      <c r="ED26" s="133">
        <v>0.115</v>
      </c>
      <c r="EE26" s="128">
        <f t="shared" si="49"/>
        <v>0</v>
      </c>
      <c r="EF26" s="133">
        <f t="shared" si="18"/>
        <v>0</v>
      </c>
      <c r="EG26" s="128">
        <f t="shared" si="50"/>
        <v>0</v>
      </c>
      <c r="EH26" s="134">
        <f t="shared" si="51"/>
        <v>0</v>
      </c>
      <c r="EI26" s="127">
        <f t="shared" si="52"/>
        <v>0</v>
      </c>
      <c r="EK26" s="132">
        <f t="shared" si="53"/>
        <v>0</v>
      </c>
      <c r="EL26" s="133">
        <f t="shared" si="94"/>
        <v>0.125</v>
      </c>
      <c r="EM26" s="128">
        <f t="shared" si="54"/>
        <v>0</v>
      </c>
      <c r="EN26" s="133">
        <f t="shared" si="19"/>
        <v>0</v>
      </c>
      <c r="EO26" s="128">
        <f t="shared" si="55"/>
        <v>0</v>
      </c>
      <c r="EP26" s="134">
        <f t="shared" si="56"/>
        <v>0</v>
      </c>
      <c r="EQ26" s="127">
        <f t="shared" si="20"/>
        <v>0</v>
      </c>
      <c r="ER26" s="127"/>
      <c r="ES26" s="132">
        <f t="shared" si="57"/>
        <v>0</v>
      </c>
      <c r="ET26" s="133">
        <f t="shared" si="95"/>
        <v>0.13</v>
      </c>
      <c r="EU26" s="128">
        <f t="shared" si="58"/>
        <v>0</v>
      </c>
      <c r="EV26" s="133">
        <f t="shared" si="21"/>
        <v>0</v>
      </c>
      <c r="EW26" s="128">
        <f t="shared" si="59"/>
        <v>0</v>
      </c>
      <c r="EX26" s="134">
        <f t="shared" si="60"/>
        <v>0</v>
      </c>
      <c r="EY26" s="127">
        <f t="shared" si="22"/>
        <v>0</v>
      </c>
      <c r="FA26" s="132">
        <f t="shared" si="61"/>
        <v>0</v>
      </c>
      <c r="FB26" s="133">
        <f t="shared" si="96"/>
        <v>0</v>
      </c>
      <c r="FC26" s="128">
        <f t="shared" si="62"/>
        <v>0</v>
      </c>
      <c r="FD26" s="133">
        <f t="shared" si="23"/>
        <v>0</v>
      </c>
      <c r="FE26" s="128">
        <f t="shared" si="63"/>
        <v>0</v>
      </c>
      <c r="FF26" s="134">
        <f t="shared" si="64"/>
        <v>0</v>
      </c>
      <c r="FG26" s="127">
        <f t="shared" si="24"/>
        <v>0</v>
      </c>
      <c r="FI26" s="132">
        <f t="shared" si="65"/>
        <v>0</v>
      </c>
      <c r="FJ26" s="133">
        <f t="shared" si="97"/>
        <v>0</v>
      </c>
      <c r="FK26" s="128">
        <f t="shared" si="66"/>
        <v>0</v>
      </c>
      <c r="FL26" s="133">
        <f t="shared" si="25"/>
        <v>0</v>
      </c>
      <c r="FM26" s="128">
        <f t="shared" si="67"/>
        <v>0</v>
      </c>
      <c r="FN26" s="134">
        <f t="shared" si="68"/>
        <v>0</v>
      </c>
      <c r="FO26" s="127">
        <f t="shared" si="26"/>
        <v>0</v>
      </c>
      <c r="FQ26" s="132">
        <f t="shared" si="69"/>
        <v>0</v>
      </c>
      <c r="FR26" s="133">
        <f t="shared" si="27"/>
        <v>0</v>
      </c>
      <c r="FS26" s="128">
        <f t="shared" si="70"/>
        <v>0</v>
      </c>
      <c r="FT26" s="133">
        <f t="shared" si="28"/>
        <v>0</v>
      </c>
      <c r="FU26" s="128">
        <f t="shared" si="71"/>
        <v>0</v>
      </c>
      <c r="FV26" s="134">
        <f t="shared" si="72"/>
        <v>0</v>
      </c>
      <c r="FW26" s="127">
        <f t="shared" si="29"/>
        <v>0</v>
      </c>
      <c r="FY26" s="132">
        <f t="shared" si="73"/>
        <v>0</v>
      </c>
      <c r="FZ26" s="133">
        <f t="shared" si="30"/>
        <v>0</v>
      </c>
      <c r="GA26" s="128">
        <f t="shared" si="74"/>
        <v>0</v>
      </c>
      <c r="GB26" s="133">
        <f t="shared" si="31"/>
        <v>0</v>
      </c>
      <c r="GC26" s="128">
        <f t="shared" si="75"/>
        <v>0</v>
      </c>
      <c r="GD26" s="134">
        <f t="shared" si="76"/>
        <v>0</v>
      </c>
      <c r="GE26" s="127">
        <f t="shared" si="32"/>
        <v>0</v>
      </c>
      <c r="GG26" s="132">
        <f t="shared" si="77"/>
        <v>0</v>
      </c>
      <c r="GH26" s="133">
        <f t="shared" si="33"/>
        <v>0</v>
      </c>
      <c r="GI26" s="128">
        <f t="shared" si="78"/>
        <v>0</v>
      </c>
      <c r="GJ26" s="133">
        <f t="shared" si="34"/>
        <v>0</v>
      </c>
      <c r="GK26" s="128">
        <f t="shared" si="79"/>
        <v>0</v>
      </c>
      <c r="GL26" s="134">
        <f t="shared" si="80"/>
        <v>0</v>
      </c>
      <c r="GM26" s="127">
        <f t="shared" si="35"/>
        <v>0</v>
      </c>
    </row>
    <row r="27" spans="4:195" ht="18.75" x14ac:dyDescent="0.3">
      <c r="G27" s="8">
        <f t="shared" si="114"/>
        <v>16704</v>
      </c>
      <c r="N27" s="8"/>
      <c r="O27" s="29"/>
      <c r="P27" s="8"/>
      <c r="Q27" s="8"/>
      <c r="R27" s="8"/>
      <c r="T27" s="305"/>
      <c r="U27" s="305"/>
      <c r="AK27" s="47">
        <f t="shared" si="81"/>
        <v>2.262</v>
      </c>
      <c r="AL27" s="46">
        <f t="shared" si="104"/>
        <v>1.131</v>
      </c>
      <c r="AM27" s="49">
        <f t="shared" si="104"/>
        <v>0.754</v>
      </c>
      <c r="AN27" s="111">
        <f t="shared" si="39"/>
        <v>0.5655</v>
      </c>
      <c r="AO27" s="50">
        <f t="shared" si="104"/>
        <v>1.218</v>
      </c>
      <c r="AP27" s="48">
        <f t="shared" si="104"/>
        <v>2.4359999999999999</v>
      </c>
      <c r="AQ27" s="51">
        <f t="shared" si="104"/>
        <v>3.6539999999999999</v>
      </c>
      <c r="AR27" s="52">
        <f t="shared" si="104"/>
        <v>2.3242049999999996</v>
      </c>
      <c r="AS27" s="45">
        <f t="shared" si="104"/>
        <v>4.6484099999999993</v>
      </c>
      <c r="AT27" s="161">
        <f t="shared" si="104"/>
        <v>6.9726149999999993</v>
      </c>
      <c r="AU27" s="163">
        <f t="shared" si="104"/>
        <v>1.1000000000000001</v>
      </c>
      <c r="AV27" s="78" t="str">
        <f t="shared" si="105"/>
        <v>5X7</v>
      </c>
      <c r="AW27" s="78">
        <f t="shared" si="105"/>
        <v>35</v>
      </c>
      <c r="AX27" s="35">
        <f t="shared" si="105"/>
        <v>0.97977000000000003</v>
      </c>
      <c r="AY27" s="36">
        <f t="shared" si="105"/>
        <v>1.9595400000000001</v>
      </c>
      <c r="AZ27" s="58">
        <f t="shared" si="105"/>
        <v>2.9393099999999999</v>
      </c>
      <c r="BB27" s="31" t="str">
        <f t="shared" si="106"/>
        <v>4.5X10</v>
      </c>
      <c r="BC27" s="78">
        <f t="shared" si="106"/>
        <v>45</v>
      </c>
      <c r="BD27" s="35">
        <f t="shared" si="106"/>
        <v>1.23838</v>
      </c>
      <c r="BE27" s="36">
        <f t="shared" si="106"/>
        <v>2.4767600000000001</v>
      </c>
      <c r="BF27" s="58">
        <f t="shared" si="106"/>
        <v>3.7151399999999999</v>
      </c>
      <c r="BH27" s="31" t="str">
        <f t="shared" si="107"/>
        <v>4.5X17</v>
      </c>
      <c r="BI27" s="78">
        <f t="shared" si="107"/>
        <v>76.5</v>
      </c>
      <c r="BJ27" s="35">
        <f t="shared" si="107"/>
        <v>1.9836300000000002</v>
      </c>
      <c r="BK27" s="36">
        <f t="shared" si="107"/>
        <v>3.9672600000000005</v>
      </c>
      <c r="BL27" s="58">
        <f t="shared" si="107"/>
        <v>5.9508900000000011</v>
      </c>
      <c r="BN27" s="31" t="str">
        <f t="shared" si="108"/>
        <v>8X10</v>
      </c>
      <c r="BO27" s="78">
        <f t="shared" si="108"/>
        <v>80</v>
      </c>
      <c r="BP27" s="35">
        <f t="shared" si="108"/>
        <v>2.0702000000000003</v>
      </c>
      <c r="BQ27" s="36">
        <f t="shared" si="108"/>
        <v>4.1404000000000005</v>
      </c>
      <c r="BR27" s="58">
        <f t="shared" si="108"/>
        <v>6.2106000000000012</v>
      </c>
      <c r="BT27" s="31" t="str">
        <f t="shared" si="109"/>
        <v>7X17</v>
      </c>
      <c r="BU27" s="78">
        <f t="shared" si="109"/>
        <v>119</v>
      </c>
      <c r="BV27" s="35">
        <f t="shared" si="109"/>
        <v>3.0300600000000002</v>
      </c>
      <c r="BW27" s="36">
        <f t="shared" si="109"/>
        <v>6.0601200000000004</v>
      </c>
      <c r="BX27" s="58">
        <f t="shared" si="109"/>
        <v>9.0901800000000001</v>
      </c>
      <c r="BZ27" s="31" t="str">
        <f t="shared" si="110"/>
        <v>10X12</v>
      </c>
      <c r="CA27" s="78">
        <f t="shared" si="110"/>
        <v>120</v>
      </c>
      <c r="CB27" s="35">
        <f t="shared" si="110"/>
        <v>3.0453500000000004</v>
      </c>
      <c r="CC27" s="36">
        <f t="shared" si="110"/>
        <v>6.0907000000000009</v>
      </c>
      <c r="CD27" s="58">
        <f t="shared" si="110"/>
        <v>9.1360500000000009</v>
      </c>
      <c r="CF27" s="31" t="str">
        <f t="shared" si="111"/>
        <v>11X14</v>
      </c>
      <c r="CG27" s="78">
        <f t="shared" si="111"/>
        <v>154</v>
      </c>
      <c r="CH27" s="35">
        <f t="shared" si="111"/>
        <v>3.8582500000000004</v>
      </c>
      <c r="CI27" s="36">
        <f t="shared" si="111"/>
        <v>7.7165000000000008</v>
      </c>
      <c r="CJ27" s="58">
        <f t="shared" si="111"/>
        <v>11.574750000000002</v>
      </c>
      <c r="CL27" s="31" t="str">
        <f t="shared" si="112"/>
        <v>14X17</v>
      </c>
      <c r="CM27" s="78">
        <f t="shared" si="112"/>
        <v>238</v>
      </c>
      <c r="CN27" s="35">
        <f t="shared" si="112"/>
        <v>5.9076599999999999</v>
      </c>
      <c r="CO27" s="36">
        <f t="shared" si="112"/>
        <v>11.81532</v>
      </c>
      <c r="CP27" s="58">
        <f t="shared" si="112"/>
        <v>17.72298</v>
      </c>
      <c r="CR27" s="208"/>
      <c r="CS27" s="230"/>
      <c r="CT27" s="217"/>
      <c r="CU27" s="232"/>
      <c r="CV27" s="208"/>
      <c r="CW27" s="254"/>
      <c r="CX27" s="208"/>
      <c r="CY27" s="251">
        <f t="shared" si="103"/>
        <v>1</v>
      </c>
      <c r="CZ27" s="250">
        <f t="shared" si="113"/>
        <v>1</v>
      </c>
      <c r="DA27" s="248">
        <f t="shared" si="92"/>
        <v>2</v>
      </c>
      <c r="DB27" s="248">
        <f t="shared" si="93"/>
        <v>1</v>
      </c>
      <c r="DC27" s="264"/>
      <c r="DD27" s="258"/>
      <c r="DE27" s="196"/>
      <c r="DF27" s="203"/>
      <c r="DG27" s="195">
        <f t="shared" si="6"/>
        <v>0</v>
      </c>
      <c r="DH27" s="81">
        <f t="shared" si="7"/>
        <v>0</v>
      </c>
      <c r="DI27" s="81">
        <f t="shared" si="8"/>
        <v>0</v>
      </c>
      <c r="DJ27" s="81">
        <f t="shared" si="9"/>
        <v>0</v>
      </c>
      <c r="DK27" s="82">
        <f t="shared" si="42"/>
        <v>0</v>
      </c>
      <c r="DM27" s="83">
        <f t="shared" si="10"/>
        <v>0</v>
      </c>
      <c r="DN27" s="84">
        <f t="shared" si="11"/>
        <v>0</v>
      </c>
      <c r="DO27" s="84">
        <f t="shared" si="12"/>
        <v>0</v>
      </c>
      <c r="DP27" s="104"/>
      <c r="DQ27" s="85">
        <f t="shared" si="13"/>
        <v>0</v>
      </c>
      <c r="DR27" s="108">
        <f t="shared" si="14"/>
        <v>0</v>
      </c>
      <c r="DS27" s="244">
        <f t="shared" si="43"/>
        <v>0</v>
      </c>
      <c r="DT27" s="113"/>
      <c r="DU27" s="132">
        <f t="shared" si="15"/>
        <v>0</v>
      </c>
      <c r="DV27" s="133">
        <f t="shared" si="16"/>
        <v>0</v>
      </c>
      <c r="DW27" s="128">
        <f t="shared" si="44"/>
        <v>0</v>
      </c>
      <c r="DX27" s="133">
        <f t="shared" si="45"/>
        <v>0</v>
      </c>
      <c r="DY27" s="128">
        <f t="shared" si="46"/>
        <v>0</v>
      </c>
      <c r="DZ27" s="126">
        <f t="shared" si="17"/>
        <v>0</v>
      </c>
      <c r="EA27" s="127">
        <f t="shared" si="47"/>
        <v>0</v>
      </c>
      <c r="EC27" s="132">
        <f t="shared" si="48"/>
        <v>0</v>
      </c>
      <c r="ED27" s="133">
        <v>0.115</v>
      </c>
      <c r="EE27" s="128">
        <f t="shared" si="49"/>
        <v>0</v>
      </c>
      <c r="EF27" s="133">
        <f t="shared" si="18"/>
        <v>0</v>
      </c>
      <c r="EG27" s="128">
        <f t="shared" si="50"/>
        <v>0</v>
      </c>
      <c r="EH27" s="134">
        <f t="shared" si="51"/>
        <v>0</v>
      </c>
      <c r="EI27" s="127">
        <f t="shared" si="52"/>
        <v>0</v>
      </c>
      <c r="EK27" s="132">
        <f t="shared" si="53"/>
        <v>0</v>
      </c>
      <c r="EL27" s="133">
        <f t="shared" si="94"/>
        <v>0.125</v>
      </c>
      <c r="EM27" s="128">
        <f t="shared" si="54"/>
        <v>0</v>
      </c>
      <c r="EN27" s="133">
        <f t="shared" si="19"/>
        <v>0</v>
      </c>
      <c r="EO27" s="128">
        <f t="shared" si="55"/>
        <v>0</v>
      </c>
      <c r="EP27" s="134">
        <f t="shared" si="56"/>
        <v>0</v>
      </c>
      <c r="EQ27" s="127">
        <f t="shared" si="20"/>
        <v>0</v>
      </c>
      <c r="ER27" s="127"/>
      <c r="ES27" s="132">
        <f t="shared" si="57"/>
        <v>0</v>
      </c>
      <c r="ET27" s="133">
        <f t="shared" si="95"/>
        <v>0.13</v>
      </c>
      <c r="EU27" s="128">
        <f t="shared" si="58"/>
        <v>0</v>
      </c>
      <c r="EV27" s="133">
        <f t="shared" si="21"/>
        <v>0</v>
      </c>
      <c r="EW27" s="128">
        <f t="shared" si="59"/>
        <v>0</v>
      </c>
      <c r="EX27" s="134">
        <f t="shared" si="60"/>
        <v>0</v>
      </c>
      <c r="EY27" s="127">
        <f t="shared" si="22"/>
        <v>0</v>
      </c>
      <c r="FA27" s="132">
        <f t="shared" si="61"/>
        <v>0</v>
      </c>
      <c r="FB27" s="133">
        <f t="shared" si="96"/>
        <v>0</v>
      </c>
      <c r="FC27" s="128">
        <f t="shared" si="62"/>
        <v>0</v>
      </c>
      <c r="FD27" s="133">
        <f t="shared" si="23"/>
        <v>0</v>
      </c>
      <c r="FE27" s="128">
        <f t="shared" si="63"/>
        <v>0</v>
      </c>
      <c r="FF27" s="134">
        <f t="shared" si="64"/>
        <v>0</v>
      </c>
      <c r="FG27" s="127">
        <f t="shared" si="24"/>
        <v>0</v>
      </c>
      <c r="FI27" s="132">
        <f t="shared" si="65"/>
        <v>0</v>
      </c>
      <c r="FJ27" s="133">
        <f t="shared" si="97"/>
        <v>0</v>
      </c>
      <c r="FK27" s="128">
        <f t="shared" si="66"/>
        <v>0</v>
      </c>
      <c r="FL27" s="133">
        <f t="shared" si="25"/>
        <v>0</v>
      </c>
      <c r="FM27" s="128">
        <f t="shared" si="67"/>
        <v>0</v>
      </c>
      <c r="FN27" s="134">
        <f t="shared" si="68"/>
        <v>0</v>
      </c>
      <c r="FO27" s="127">
        <f t="shared" si="26"/>
        <v>0</v>
      </c>
      <c r="FQ27" s="132">
        <f t="shared" si="69"/>
        <v>0</v>
      </c>
      <c r="FR27" s="133">
        <f t="shared" si="27"/>
        <v>0</v>
      </c>
      <c r="FS27" s="128">
        <f t="shared" si="70"/>
        <v>0</v>
      </c>
      <c r="FT27" s="133">
        <f t="shared" si="28"/>
        <v>0</v>
      </c>
      <c r="FU27" s="128">
        <f t="shared" si="71"/>
        <v>0</v>
      </c>
      <c r="FV27" s="134">
        <f t="shared" si="72"/>
        <v>0</v>
      </c>
      <c r="FW27" s="127">
        <f t="shared" si="29"/>
        <v>0</v>
      </c>
      <c r="FY27" s="132">
        <f t="shared" si="73"/>
        <v>0</v>
      </c>
      <c r="FZ27" s="133">
        <f t="shared" si="30"/>
        <v>0</v>
      </c>
      <c r="GA27" s="128">
        <f t="shared" si="74"/>
        <v>0</v>
      </c>
      <c r="GB27" s="133">
        <f t="shared" si="31"/>
        <v>0</v>
      </c>
      <c r="GC27" s="128">
        <f t="shared" si="75"/>
        <v>0</v>
      </c>
      <c r="GD27" s="134">
        <f t="shared" si="76"/>
        <v>0</v>
      </c>
      <c r="GE27" s="127">
        <f t="shared" si="32"/>
        <v>0</v>
      </c>
      <c r="GG27" s="132">
        <f t="shared" si="77"/>
        <v>0</v>
      </c>
      <c r="GH27" s="133">
        <f t="shared" si="33"/>
        <v>0</v>
      </c>
      <c r="GI27" s="128">
        <f t="shared" si="78"/>
        <v>0</v>
      </c>
      <c r="GJ27" s="133">
        <f t="shared" si="34"/>
        <v>0</v>
      </c>
      <c r="GK27" s="128">
        <f t="shared" si="79"/>
        <v>0</v>
      </c>
      <c r="GL27" s="134">
        <f t="shared" si="80"/>
        <v>0</v>
      </c>
      <c r="GM27" s="127">
        <f t="shared" si="35"/>
        <v>0</v>
      </c>
    </row>
    <row r="28" spans="4:195" ht="18.75" x14ac:dyDescent="0.3">
      <c r="D28">
        <f>250000+225000+115000+113000+100000+75000+65000+60000+60000+45000+60000+60000+48000</f>
        <v>1276000</v>
      </c>
      <c r="G28" s="8">
        <f t="shared" si="114"/>
        <v>16704</v>
      </c>
      <c r="N28" s="8"/>
      <c r="O28" s="29"/>
      <c r="P28" s="8"/>
      <c r="Q28" s="8"/>
      <c r="R28" s="8"/>
      <c r="AK28" s="47">
        <f t="shared" si="81"/>
        <v>2.262</v>
      </c>
      <c r="AL28" s="46">
        <f t="shared" si="104"/>
        <v>1.131</v>
      </c>
      <c r="AM28" s="49">
        <f t="shared" si="104"/>
        <v>0.754</v>
      </c>
      <c r="AN28" s="111">
        <f t="shared" si="39"/>
        <v>0.5655</v>
      </c>
      <c r="AO28" s="50">
        <f t="shared" si="104"/>
        <v>1.218</v>
      </c>
      <c r="AP28" s="48">
        <f t="shared" si="104"/>
        <v>2.4359999999999999</v>
      </c>
      <c r="AQ28" s="51">
        <f t="shared" si="104"/>
        <v>3.6539999999999999</v>
      </c>
      <c r="AR28" s="52">
        <f t="shared" si="104"/>
        <v>2.3242049999999996</v>
      </c>
      <c r="AS28" s="45">
        <f t="shared" si="104"/>
        <v>4.6484099999999993</v>
      </c>
      <c r="AT28" s="161">
        <f t="shared" si="104"/>
        <v>6.9726149999999993</v>
      </c>
      <c r="AU28" s="163">
        <f t="shared" si="104"/>
        <v>1.1000000000000001</v>
      </c>
      <c r="AV28" s="78" t="str">
        <f t="shared" si="105"/>
        <v>5X7</v>
      </c>
      <c r="AW28" s="78">
        <f t="shared" si="105"/>
        <v>35</v>
      </c>
      <c r="AX28" s="35">
        <f t="shared" si="105"/>
        <v>0.97977000000000003</v>
      </c>
      <c r="AY28" s="36">
        <f t="shared" si="105"/>
        <v>1.9595400000000001</v>
      </c>
      <c r="AZ28" s="58">
        <f t="shared" si="105"/>
        <v>2.9393099999999999</v>
      </c>
      <c r="BB28" s="31" t="str">
        <f t="shared" si="106"/>
        <v>4.5X10</v>
      </c>
      <c r="BC28" s="78">
        <f t="shared" si="106"/>
        <v>45</v>
      </c>
      <c r="BD28" s="35">
        <f t="shared" si="106"/>
        <v>1.23838</v>
      </c>
      <c r="BE28" s="36">
        <f t="shared" si="106"/>
        <v>2.4767600000000001</v>
      </c>
      <c r="BF28" s="58">
        <f t="shared" si="106"/>
        <v>3.7151399999999999</v>
      </c>
      <c r="BH28" s="31" t="str">
        <f t="shared" si="107"/>
        <v>4.5X17</v>
      </c>
      <c r="BI28" s="78">
        <f t="shared" si="107"/>
        <v>76.5</v>
      </c>
      <c r="BJ28" s="35">
        <f t="shared" si="107"/>
        <v>1.9836300000000002</v>
      </c>
      <c r="BK28" s="36">
        <f t="shared" si="107"/>
        <v>3.9672600000000005</v>
      </c>
      <c r="BL28" s="58">
        <f t="shared" si="107"/>
        <v>5.9508900000000011</v>
      </c>
      <c r="BN28" s="31" t="str">
        <f t="shared" si="108"/>
        <v>8X10</v>
      </c>
      <c r="BO28" s="78">
        <f t="shared" si="108"/>
        <v>80</v>
      </c>
      <c r="BP28" s="35">
        <f t="shared" si="108"/>
        <v>2.0702000000000003</v>
      </c>
      <c r="BQ28" s="36">
        <f t="shared" si="108"/>
        <v>4.1404000000000005</v>
      </c>
      <c r="BR28" s="58">
        <f t="shared" si="108"/>
        <v>6.2106000000000012</v>
      </c>
      <c r="BT28" s="31" t="str">
        <f t="shared" si="109"/>
        <v>7X17</v>
      </c>
      <c r="BU28" s="78">
        <f t="shared" si="109"/>
        <v>119</v>
      </c>
      <c r="BV28" s="35">
        <f t="shared" si="109"/>
        <v>3.0300600000000002</v>
      </c>
      <c r="BW28" s="36">
        <f t="shared" si="109"/>
        <v>6.0601200000000004</v>
      </c>
      <c r="BX28" s="58">
        <f t="shared" si="109"/>
        <v>9.0901800000000001</v>
      </c>
      <c r="BZ28" s="31" t="str">
        <f t="shared" si="110"/>
        <v>10X12</v>
      </c>
      <c r="CA28" s="78">
        <f t="shared" si="110"/>
        <v>120</v>
      </c>
      <c r="CB28" s="35">
        <f t="shared" si="110"/>
        <v>3.0453500000000004</v>
      </c>
      <c r="CC28" s="36">
        <f t="shared" si="110"/>
        <v>6.0907000000000009</v>
      </c>
      <c r="CD28" s="58">
        <f t="shared" si="110"/>
        <v>9.1360500000000009</v>
      </c>
      <c r="CF28" s="31" t="str">
        <f t="shared" si="111"/>
        <v>11X14</v>
      </c>
      <c r="CG28" s="78">
        <f t="shared" si="111"/>
        <v>154</v>
      </c>
      <c r="CH28" s="35">
        <f t="shared" si="111"/>
        <v>3.8582500000000004</v>
      </c>
      <c r="CI28" s="36">
        <f t="shared" si="111"/>
        <v>7.7165000000000008</v>
      </c>
      <c r="CJ28" s="58">
        <f t="shared" si="111"/>
        <v>11.574750000000002</v>
      </c>
      <c r="CL28" s="31" t="str">
        <f t="shared" si="112"/>
        <v>14X17</v>
      </c>
      <c r="CM28" s="78">
        <f t="shared" si="112"/>
        <v>238</v>
      </c>
      <c r="CN28" s="35">
        <f t="shared" si="112"/>
        <v>5.9076599999999999</v>
      </c>
      <c r="CO28" s="36">
        <f t="shared" si="112"/>
        <v>11.81532</v>
      </c>
      <c r="CP28" s="58">
        <f t="shared" si="112"/>
        <v>17.72298</v>
      </c>
      <c r="CR28" s="208"/>
      <c r="CS28" s="230"/>
      <c r="CT28" s="217"/>
      <c r="CU28" s="232"/>
      <c r="CV28" s="208"/>
      <c r="CW28" s="254"/>
      <c r="CX28" s="208"/>
      <c r="CY28" s="251">
        <f t="shared" si="103"/>
        <v>1</v>
      </c>
      <c r="CZ28" s="250">
        <f t="shared" si="113"/>
        <v>1</v>
      </c>
      <c r="DA28" s="248">
        <f t="shared" si="92"/>
        <v>2</v>
      </c>
      <c r="DB28" s="248">
        <f t="shared" si="93"/>
        <v>1</v>
      </c>
      <c r="DC28" s="264"/>
      <c r="DD28" s="258"/>
      <c r="DE28" s="196"/>
      <c r="DF28" s="203"/>
      <c r="DG28" s="195">
        <f t="shared" si="6"/>
        <v>0</v>
      </c>
      <c r="DH28" s="81">
        <f t="shared" si="7"/>
        <v>0</v>
      </c>
      <c r="DI28" s="81">
        <f t="shared" si="8"/>
        <v>0</v>
      </c>
      <c r="DJ28" s="81">
        <f t="shared" si="9"/>
        <v>0</v>
      </c>
      <c r="DK28" s="82">
        <f t="shared" si="42"/>
        <v>0</v>
      </c>
      <c r="DM28" s="83">
        <f t="shared" si="10"/>
        <v>0</v>
      </c>
      <c r="DN28" s="84">
        <f t="shared" si="11"/>
        <v>0</v>
      </c>
      <c r="DO28" s="84">
        <f t="shared" si="12"/>
        <v>0</v>
      </c>
      <c r="DP28" s="104"/>
      <c r="DQ28" s="85">
        <f t="shared" si="13"/>
        <v>0</v>
      </c>
      <c r="DR28" s="108">
        <f t="shared" si="14"/>
        <v>0</v>
      </c>
      <c r="DS28" s="244">
        <f t="shared" si="43"/>
        <v>0</v>
      </c>
      <c r="DT28" s="113"/>
      <c r="DU28" s="132">
        <f t="shared" si="15"/>
        <v>0</v>
      </c>
      <c r="DV28" s="133">
        <f t="shared" si="16"/>
        <v>0</v>
      </c>
      <c r="DW28" s="128">
        <f t="shared" si="44"/>
        <v>0</v>
      </c>
      <c r="DX28" s="133">
        <f t="shared" si="45"/>
        <v>0</v>
      </c>
      <c r="DY28" s="128">
        <f t="shared" si="46"/>
        <v>0</v>
      </c>
      <c r="DZ28" s="126">
        <f t="shared" si="17"/>
        <v>0</v>
      </c>
      <c r="EA28" s="127">
        <f t="shared" si="47"/>
        <v>0</v>
      </c>
      <c r="EC28" s="132">
        <f t="shared" si="48"/>
        <v>0</v>
      </c>
      <c r="ED28" s="133">
        <v>0.115</v>
      </c>
      <c r="EE28" s="128">
        <f t="shared" si="49"/>
        <v>0</v>
      </c>
      <c r="EF28" s="133">
        <f t="shared" si="18"/>
        <v>0</v>
      </c>
      <c r="EG28" s="128">
        <f t="shared" si="50"/>
        <v>0</v>
      </c>
      <c r="EH28" s="134">
        <f t="shared" si="51"/>
        <v>0</v>
      </c>
      <c r="EI28" s="127">
        <f t="shared" si="52"/>
        <v>0</v>
      </c>
      <c r="EK28" s="132">
        <f t="shared" si="53"/>
        <v>0</v>
      </c>
      <c r="EL28" s="133">
        <f t="shared" si="94"/>
        <v>0.125</v>
      </c>
      <c r="EM28" s="128">
        <f t="shared" si="54"/>
        <v>0</v>
      </c>
      <c r="EN28" s="133">
        <f t="shared" si="19"/>
        <v>0</v>
      </c>
      <c r="EO28" s="128">
        <f t="shared" si="55"/>
        <v>0</v>
      </c>
      <c r="EP28" s="134">
        <f t="shared" si="56"/>
        <v>0</v>
      </c>
      <c r="EQ28" s="127">
        <f t="shared" si="20"/>
        <v>0</v>
      </c>
      <c r="ER28" s="127"/>
      <c r="ES28" s="132">
        <f t="shared" si="57"/>
        <v>0</v>
      </c>
      <c r="ET28" s="133">
        <f t="shared" si="95"/>
        <v>0.13</v>
      </c>
      <c r="EU28" s="128">
        <f t="shared" si="58"/>
        <v>0</v>
      </c>
      <c r="EV28" s="133">
        <f t="shared" si="21"/>
        <v>0</v>
      </c>
      <c r="EW28" s="128">
        <f t="shared" si="59"/>
        <v>0</v>
      </c>
      <c r="EX28" s="134">
        <f t="shared" si="60"/>
        <v>0</v>
      </c>
      <c r="EY28" s="127">
        <f t="shared" si="22"/>
        <v>0</v>
      </c>
      <c r="FA28" s="132">
        <f t="shared" si="61"/>
        <v>0</v>
      </c>
      <c r="FB28" s="133">
        <f t="shared" si="96"/>
        <v>0</v>
      </c>
      <c r="FC28" s="128">
        <f t="shared" si="62"/>
        <v>0</v>
      </c>
      <c r="FD28" s="133">
        <f t="shared" si="23"/>
        <v>0</v>
      </c>
      <c r="FE28" s="128">
        <f t="shared" si="63"/>
        <v>0</v>
      </c>
      <c r="FF28" s="134">
        <f t="shared" si="64"/>
        <v>0</v>
      </c>
      <c r="FG28" s="127">
        <f t="shared" si="24"/>
        <v>0</v>
      </c>
      <c r="FI28" s="132">
        <f t="shared" si="65"/>
        <v>0</v>
      </c>
      <c r="FJ28" s="133">
        <f t="shared" si="97"/>
        <v>0</v>
      </c>
      <c r="FK28" s="128">
        <f t="shared" si="66"/>
        <v>0</v>
      </c>
      <c r="FL28" s="133">
        <f t="shared" si="25"/>
        <v>0</v>
      </c>
      <c r="FM28" s="128">
        <f t="shared" si="67"/>
        <v>0</v>
      </c>
      <c r="FN28" s="134">
        <f t="shared" si="68"/>
        <v>0</v>
      </c>
      <c r="FO28" s="127">
        <f t="shared" si="26"/>
        <v>0</v>
      </c>
      <c r="FQ28" s="132">
        <f t="shared" si="69"/>
        <v>0</v>
      </c>
      <c r="FR28" s="133">
        <f t="shared" si="27"/>
        <v>0</v>
      </c>
      <c r="FS28" s="128">
        <f t="shared" si="70"/>
        <v>0</v>
      </c>
      <c r="FT28" s="133">
        <f t="shared" si="28"/>
        <v>0</v>
      </c>
      <c r="FU28" s="128">
        <f t="shared" si="71"/>
        <v>0</v>
      </c>
      <c r="FV28" s="134">
        <f t="shared" si="72"/>
        <v>0</v>
      </c>
      <c r="FW28" s="127">
        <f t="shared" si="29"/>
        <v>0</v>
      </c>
      <c r="FY28" s="132">
        <f t="shared" si="73"/>
        <v>0</v>
      </c>
      <c r="FZ28" s="133">
        <f t="shared" si="30"/>
        <v>0</v>
      </c>
      <c r="GA28" s="128">
        <f t="shared" si="74"/>
        <v>0</v>
      </c>
      <c r="GB28" s="133">
        <f t="shared" si="31"/>
        <v>0</v>
      </c>
      <c r="GC28" s="128">
        <f t="shared" si="75"/>
        <v>0</v>
      </c>
      <c r="GD28" s="134">
        <f t="shared" si="76"/>
        <v>0</v>
      </c>
      <c r="GE28" s="127">
        <f t="shared" si="32"/>
        <v>0</v>
      </c>
      <c r="GG28" s="132">
        <f t="shared" si="77"/>
        <v>0</v>
      </c>
      <c r="GH28" s="133">
        <f t="shared" si="33"/>
        <v>0</v>
      </c>
      <c r="GI28" s="128">
        <f t="shared" si="78"/>
        <v>0</v>
      </c>
      <c r="GJ28" s="133">
        <f t="shared" si="34"/>
        <v>0</v>
      </c>
      <c r="GK28" s="128">
        <f t="shared" si="79"/>
        <v>0</v>
      </c>
      <c r="GL28" s="134">
        <f t="shared" si="80"/>
        <v>0</v>
      </c>
      <c r="GM28" s="127">
        <f t="shared" si="35"/>
        <v>0</v>
      </c>
    </row>
    <row r="29" spans="4:195" ht="18.75" x14ac:dyDescent="0.3">
      <c r="D29">
        <f>(D28/12)/2</f>
        <v>53166.666666666664</v>
      </c>
      <c r="G29" s="8">
        <f>I4*160</f>
        <v>11136</v>
      </c>
      <c r="N29" s="8"/>
      <c r="O29" s="29"/>
      <c r="P29" s="8"/>
      <c r="Q29" s="8"/>
      <c r="R29" s="8"/>
      <c r="AK29" s="47">
        <f t="shared" si="81"/>
        <v>2.262</v>
      </c>
      <c r="AL29" s="46">
        <f t="shared" si="104"/>
        <v>1.131</v>
      </c>
      <c r="AM29" s="49">
        <f t="shared" si="104"/>
        <v>0.754</v>
      </c>
      <c r="AN29" s="111">
        <f t="shared" si="39"/>
        <v>0.5655</v>
      </c>
      <c r="AO29" s="50">
        <f t="shared" si="104"/>
        <v>1.218</v>
      </c>
      <c r="AP29" s="48">
        <f t="shared" si="104"/>
        <v>2.4359999999999999</v>
      </c>
      <c r="AQ29" s="51">
        <f t="shared" si="104"/>
        <v>3.6539999999999999</v>
      </c>
      <c r="AR29" s="52">
        <f t="shared" si="104"/>
        <v>2.3242049999999996</v>
      </c>
      <c r="AS29" s="45">
        <f t="shared" si="104"/>
        <v>4.6484099999999993</v>
      </c>
      <c r="AT29" s="161">
        <f t="shared" si="104"/>
        <v>6.9726149999999993</v>
      </c>
      <c r="AU29" s="163">
        <f t="shared" si="104"/>
        <v>1.1000000000000001</v>
      </c>
      <c r="AV29" s="78" t="str">
        <f t="shared" si="105"/>
        <v>5X7</v>
      </c>
      <c r="AW29" s="78">
        <f t="shared" si="105"/>
        <v>35</v>
      </c>
      <c r="AX29" s="35">
        <f t="shared" si="105"/>
        <v>0.97977000000000003</v>
      </c>
      <c r="AY29" s="36">
        <f t="shared" si="105"/>
        <v>1.9595400000000001</v>
      </c>
      <c r="AZ29" s="58">
        <f t="shared" si="105"/>
        <v>2.9393099999999999</v>
      </c>
      <c r="BB29" s="31" t="str">
        <f t="shared" si="106"/>
        <v>4.5X10</v>
      </c>
      <c r="BC29" s="78">
        <f t="shared" si="106"/>
        <v>45</v>
      </c>
      <c r="BD29" s="35">
        <f t="shared" si="106"/>
        <v>1.23838</v>
      </c>
      <c r="BE29" s="36">
        <f t="shared" si="106"/>
        <v>2.4767600000000001</v>
      </c>
      <c r="BF29" s="58">
        <f t="shared" si="106"/>
        <v>3.7151399999999999</v>
      </c>
      <c r="BH29" s="31" t="str">
        <f t="shared" si="107"/>
        <v>4.5X17</v>
      </c>
      <c r="BI29" s="78">
        <f t="shared" si="107"/>
        <v>76.5</v>
      </c>
      <c r="BJ29" s="35">
        <f t="shared" si="107"/>
        <v>1.9836300000000002</v>
      </c>
      <c r="BK29" s="36">
        <f t="shared" si="107"/>
        <v>3.9672600000000005</v>
      </c>
      <c r="BL29" s="58">
        <f t="shared" si="107"/>
        <v>5.9508900000000011</v>
      </c>
      <c r="BN29" s="31" t="str">
        <f t="shared" si="108"/>
        <v>8X10</v>
      </c>
      <c r="BO29" s="78">
        <f t="shared" si="108"/>
        <v>80</v>
      </c>
      <c r="BP29" s="35">
        <f t="shared" si="108"/>
        <v>2.0702000000000003</v>
      </c>
      <c r="BQ29" s="36">
        <f t="shared" si="108"/>
        <v>4.1404000000000005</v>
      </c>
      <c r="BR29" s="58">
        <f t="shared" si="108"/>
        <v>6.2106000000000012</v>
      </c>
      <c r="BT29" s="31" t="str">
        <f t="shared" si="109"/>
        <v>7X17</v>
      </c>
      <c r="BU29" s="78">
        <f t="shared" si="109"/>
        <v>119</v>
      </c>
      <c r="BV29" s="35">
        <f t="shared" si="109"/>
        <v>3.0300600000000002</v>
      </c>
      <c r="BW29" s="36">
        <f t="shared" si="109"/>
        <v>6.0601200000000004</v>
      </c>
      <c r="BX29" s="58">
        <f t="shared" si="109"/>
        <v>9.0901800000000001</v>
      </c>
      <c r="BZ29" s="31" t="str">
        <f t="shared" si="110"/>
        <v>10X12</v>
      </c>
      <c r="CA29" s="78">
        <f t="shared" si="110"/>
        <v>120</v>
      </c>
      <c r="CB29" s="35">
        <f t="shared" si="110"/>
        <v>3.0453500000000004</v>
      </c>
      <c r="CC29" s="36">
        <f t="shared" si="110"/>
        <v>6.0907000000000009</v>
      </c>
      <c r="CD29" s="58">
        <f t="shared" si="110"/>
        <v>9.1360500000000009</v>
      </c>
      <c r="CF29" s="31" t="str">
        <f t="shared" si="111"/>
        <v>11X14</v>
      </c>
      <c r="CG29" s="78">
        <f t="shared" si="111"/>
        <v>154</v>
      </c>
      <c r="CH29" s="35">
        <f t="shared" si="111"/>
        <v>3.8582500000000004</v>
      </c>
      <c r="CI29" s="36">
        <f t="shared" si="111"/>
        <v>7.7165000000000008</v>
      </c>
      <c r="CJ29" s="58">
        <f t="shared" si="111"/>
        <v>11.574750000000002</v>
      </c>
      <c r="CL29" s="31" t="str">
        <f t="shared" si="112"/>
        <v>14X17</v>
      </c>
      <c r="CM29" s="78">
        <f t="shared" si="112"/>
        <v>238</v>
      </c>
      <c r="CN29" s="35">
        <f t="shared" si="112"/>
        <v>5.9076599999999999</v>
      </c>
      <c r="CO29" s="36">
        <f t="shared" si="112"/>
        <v>11.81532</v>
      </c>
      <c r="CP29" s="58">
        <f t="shared" si="112"/>
        <v>17.72298</v>
      </c>
      <c r="CR29" s="208"/>
      <c r="CS29" s="230"/>
      <c r="CT29" s="217"/>
      <c r="CU29" s="232"/>
      <c r="CV29" s="208"/>
      <c r="CW29" s="254"/>
      <c r="CX29" s="208"/>
      <c r="CY29" s="251">
        <f t="shared" si="103"/>
        <v>1</v>
      </c>
      <c r="CZ29" s="250">
        <f t="shared" si="113"/>
        <v>1</v>
      </c>
      <c r="DA29" s="248">
        <f t="shared" si="92"/>
        <v>2</v>
      </c>
      <c r="DB29" s="248">
        <f t="shared" si="93"/>
        <v>1</v>
      </c>
      <c r="DC29" s="264"/>
      <c r="DD29" s="258"/>
      <c r="DE29" s="196"/>
      <c r="DF29" s="203"/>
      <c r="DG29" s="195">
        <f t="shared" si="6"/>
        <v>0</v>
      </c>
      <c r="DH29" s="81">
        <f t="shared" si="7"/>
        <v>0</v>
      </c>
      <c r="DI29" s="81">
        <f t="shared" si="8"/>
        <v>0</v>
      </c>
      <c r="DJ29" s="81">
        <f t="shared" si="9"/>
        <v>0</v>
      </c>
      <c r="DK29" s="82">
        <f t="shared" si="42"/>
        <v>0</v>
      </c>
      <c r="DM29" s="83">
        <f t="shared" si="10"/>
        <v>0</v>
      </c>
      <c r="DN29" s="84">
        <f t="shared" si="11"/>
        <v>0</v>
      </c>
      <c r="DO29" s="84">
        <f t="shared" si="12"/>
        <v>0</v>
      </c>
      <c r="DP29" s="104"/>
      <c r="DQ29" s="85">
        <f t="shared" si="13"/>
        <v>0</v>
      </c>
      <c r="DR29" s="108">
        <f t="shared" si="14"/>
        <v>0</v>
      </c>
      <c r="DS29" s="244">
        <f t="shared" si="43"/>
        <v>0</v>
      </c>
      <c r="DT29" s="113"/>
      <c r="DU29" s="132">
        <f t="shared" si="15"/>
        <v>0</v>
      </c>
      <c r="DV29" s="133">
        <f t="shared" si="16"/>
        <v>0</v>
      </c>
      <c r="DW29" s="128">
        <f t="shared" si="44"/>
        <v>0</v>
      </c>
      <c r="DX29" s="133">
        <f t="shared" si="45"/>
        <v>0</v>
      </c>
      <c r="DY29" s="128">
        <f t="shared" si="46"/>
        <v>0</v>
      </c>
      <c r="DZ29" s="126">
        <f t="shared" si="17"/>
        <v>0</v>
      </c>
      <c r="EA29" s="127">
        <f t="shared" si="47"/>
        <v>0</v>
      </c>
      <c r="EC29" s="132">
        <f t="shared" si="48"/>
        <v>0</v>
      </c>
      <c r="ED29" s="133">
        <v>0.115</v>
      </c>
      <c r="EE29" s="128">
        <f t="shared" si="49"/>
        <v>0</v>
      </c>
      <c r="EF29" s="133">
        <f t="shared" si="18"/>
        <v>0</v>
      </c>
      <c r="EG29" s="128">
        <f t="shared" si="50"/>
        <v>0</v>
      </c>
      <c r="EH29" s="134">
        <f t="shared" si="51"/>
        <v>0</v>
      </c>
      <c r="EI29" s="127">
        <f t="shared" si="52"/>
        <v>0</v>
      </c>
      <c r="EK29" s="132">
        <f t="shared" si="53"/>
        <v>0</v>
      </c>
      <c r="EL29" s="133">
        <f t="shared" si="94"/>
        <v>0.125</v>
      </c>
      <c r="EM29" s="128">
        <f t="shared" si="54"/>
        <v>0</v>
      </c>
      <c r="EN29" s="133">
        <f t="shared" si="19"/>
        <v>0</v>
      </c>
      <c r="EO29" s="128">
        <f t="shared" si="55"/>
        <v>0</v>
      </c>
      <c r="EP29" s="134">
        <f t="shared" si="56"/>
        <v>0</v>
      </c>
      <c r="EQ29" s="127">
        <f t="shared" si="20"/>
        <v>0</v>
      </c>
      <c r="ER29" s="127"/>
      <c r="ES29" s="132">
        <f t="shared" si="57"/>
        <v>0</v>
      </c>
      <c r="ET29" s="133">
        <f t="shared" si="95"/>
        <v>0.13</v>
      </c>
      <c r="EU29" s="128">
        <f t="shared" si="58"/>
        <v>0</v>
      </c>
      <c r="EV29" s="133">
        <f t="shared" si="21"/>
        <v>0</v>
      </c>
      <c r="EW29" s="128">
        <f t="shared" si="59"/>
        <v>0</v>
      </c>
      <c r="EX29" s="134">
        <f t="shared" si="60"/>
        <v>0</v>
      </c>
      <c r="EY29" s="127">
        <f t="shared" si="22"/>
        <v>0</v>
      </c>
      <c r="FA29" s="132">
        <f t="shared" si="61"/>
        <v>0</v>
      </c>
      <c r="FB29" s="133">
        <f t="shared" si="96"/>
        <v>0</v>
      </c>
      <c r="FC29" s="128">
        <f t="shared" si="62"/>
        <v>0</v>
      </c>
      <c r="FD29" s="133">
        <f t="shared" si="23"/>
        <v>0</v>
      </c>
      <c r="FE29" s="128">
        <f t="shared" si="63"/>
        <v>0</v>
      </c>
      <c r="FF29" s="134">
        <f t="shared" si="64"/>
        <v>0</v>
      </c>
      <c r="FG29" s="127">
        <f t="shared" si="24"/>
        <v>0</v>
      </c>
      <c r="FI29" s="132">
        <f t="shared" si="65"/>
        <v>0</v>
      </c>
      <c r="FJ29" s="133">
        <f t="shared" si="97"/>
        <v>0</v>
      </c>
      <c r="FK29" s="128">
        <f t="shared" si="66"/>
        <v>0</v>
      </c>
      <c r="FL29" s="133">
        <f t="shared" si="25"/>
        <v>0</v>
      </c>
      <c r="FM29" s="128">
        <f t="shared" si="67"/>
        <v>0</v>
      </c>
      <c r="FN29" s="134">
        <f t="shared" si="68"/>
        <v>0</v>
      </c>
      <c r="FO29" s="127">
        <f t="shared" si="26"/>
        <v>0</v>
      </c>
      <c r="FQ29" s="132">
        <f t="shared" si="69"/>
        <v>0</v>
      </c>
      <c r="FR29" s="133">
        <f t="shared" si="27"/>
        <v>0</v>
      </c>
      <c r="FS29" s="128">
        <f t="shared" si="70"/>
        <v>0</v>
      </c>
      <c r="FT29" s="133">
        <f t="shared" si="28"/>
        <v>0</v>
      </c>
      <c r="FU29" s="128">
        <f t="shared" si="71"/>
        <v>0</v>
      </c>
      <c r="FV29" s="134">
        <f t="shared" si="72"/>
        <v>0</v>
      </c>
      <c r="FW29" s="127">
        <f t="shared" si="29"/>
        <v>0</v>
      </c>
      <c r="FY29" s="132">
        <f t="shared" si="73"/>
        <v>0</v>
      </c>
      <c r="FZ29" s="133">
        <f t="shared" si="30"/>
        <v>0</v>
      </c>
      <c r="GA29" s="128">
        <f t="shared" si="74"/>
        <v>0</v>
      </c>
      <c r="GB29" s="133">
        <f t="shared" si="31"/>
        <v>0</v>
      </c>
      <c r="GC29" s="128">
        <f t="shared" si="75"/>
        <v>0</v>
      </c>
      <c r="GD29" s="134">
        <f t="shared" si="76"/>
        <v>0</v>
      </c>
      <c r="GE29" s="127">
        <f t="shared" si="32"/>
        <v>0</v>
      </c>
      <c r="GG29" s="132">
        <f t="shared" si="77"/>
        <v>0</v>
      </c>
      <c r="GH29" s="133">
        <f t="shared" si="33"/>
        <v>0</v>
      </c>
      <c r="GI29" s="128">
        <f t="shared" si="78"/>
        <v>0</v>
      </c>
      <c r="GJ29" s="133">
        <f t="shared" si="34"/>
        <v>0</v>
      </c>
      <c r="GK29" s="128">
        <f t="shared" si="79"/>
        <v>0</v>
      </c>
      <c r="GL29" s="134">
        <f t="shared" si="80"/>
        <v>0</v>
      </c>
      <c r="GM29" s="127">
        <f t="shared" si="35"/>
        <v>0</v>
      </c>
    </row>
    <row r="30" spans="4:195" ht="18.75" x14ac:dyDescent="0.3">
      <c r="D30">
        <f>D29*1.18</f>
        <v>62736.666666666657</v>
      </c>
      <c r="G30" s="8">
        <f>I5*160</f>
        <v>12249.6</v>
      </c>
      <c r="N30" s="8"/>
      <c r="O30" s="29"/>
      <c r="P30" s="8"/>
      <c r="Q30" s="8"/>
      <c r="R30" s="8"/>
      <c r="T30" s="306" t="s">
        <v>141</v>
      </c>
      <c r="U30" s="306"/>
      <c r="AK30" s="47">
        <f t="shared" si="81"/>
        <v>2.262</v>
      </c>
      <c r="AL30" s="46">
        <f t="shared" ref="AL30:AT30" si="115">AL24</f>
        <v>1.131</v>
      </c>
      <c r="AM30" s="49">
        <f t="shared" si="115"/>
        <v>0.754</v>
      </c>
      <c r="AN30" s="111">
        <f t="shared" si="39"/>
        <v>0.5655</v>
      </c>
      <c r="AO30" s="50">
        <f t="shared" si="115"/>
        <v>1.218</v>
      </c>
      <c r="AP30" s="48">
        <f t="shared" si="115"/>
        <v>2.4359999999999999</v>
      </c>
      <c r="AQ30" s="51">
        <f t="shared" si="115"/>
        <v>3.6539999999999999</v>
      </c>
      <c r="AR30" s="52">
        <f t="shared" si="115"/>
        <v>2.3242049999999996</v>
      </c>
      <c r="AS30" s="45">
        <f t="shared" si="115"/>
        <v>4.6484099999999993</v>
      </c>
      <c r="AT30" s="161">
        <f t="shared" si="115"/>
        <v>6.9726149999999993</v>
      </c>
      <c r="AU30" s="163">
        <f t="shared" ref="AU30:AZ53" si="116">AU29</f>
        <v>1.1000000000000001</v>
      </c>
      <c r="AV30" s="78" t="str">
        <f t="shared" si="105"/>
        <v>5X7</v>
      </c>
      <c r="AW30" s="78">
        <f t="shared" si="105"/>
        <v>35</v>
      </c>
      <c r="AX30" s="35">
        <f t="shared" si="105"/>
        <v>0.97977000000000003</v>
      </c>
      <c r="AY30" s="36">
        <f t="shared" si="105"/>
        <v>1.9595400000000001</v>
      </c>
      <c r="AZ30" s="58">
        <f t="shared" si="105"/>
        <v>2.9393099999999999</v>
      </c>
      <c r="BB30" s="31" t="str">
        <f t="shared" si="106"/>
        <v>4.5X10</v>
      </c>
      <c r="BC30" s="78">
        <f t="shared" si="106"/>
        <v>45</v>
      </c>
      <c r="BD30" s="35">
        <f t="shared" si="106"/>
        <v>1.23838</v>
      </c>
      <c r="BE30" s="36">
        <f t="shared" si="106"/>
        <v>2.4767600000000001</v>
      </c>
      <c r="BF30" s="58">
        <f t="shared" si="106"/>
        <v>3.7151399999999999</v>
      </c>
      <c r="BH30" s="31" t="str">
        <f t="shared" si="107"/>
        <v>4.5X17</v>
      </c>
      <c r="BI30" s="78">
        <f t="shared" si="107"/>
        <v>76.5</v>
      </c>
      <c r="BJ30" s="35">
        <f t="shared" si="107"/>
        <v>1.9836300000000002</v>
      </c>
      <c r="BK30" s="36">
        <f t="shared" si="107"/>
        <v>3.9672600000000005</v>
      </c>
      <c r="BL30" s="58">
        <f t="shared" si="107"/>
        <v>5.9508900000000011</v>
      </c>
      <c r="BN30" s="31" t="str">
        <f t="shared" si="108"/>
        <v>8X10</v>
      </c>
      <c r="BO30" s="78">
        <f t="shared" si="108"/>
        <v>80</v>
      </c>
      <c r="BP30" s="35">
        <f t="shared" si="108"/>
        <v>2.0702000000000003</v>
      </c>
      <c r="BQ30" s="36">
        <f t="shared" si="108"/>
        <v>4.1404000000000005</v>
      </c>
      <c r="BR30" s="58">
        <f t="shared" si="108"/>
        <v>6.2106000000000012</v>
      </c>
      <c r="BT30" s="31" t="str">
        <f t="shared" si="109"/>
        <v>7X17</v>
      </c>
      <c r="BU30" s="78">
        <f t="shared" si="109"/>
        <v>119</v>
      </c>
      <c r="BV30" s="35">
        <f t="shared" si="109"/>
        <v>3.0300600000000002</v>
      </c>
      <c r="BW30" s="36">
        <f t="shared" si="109"/>
        <v>6.0601200000000004</v>
      </c>
      <c r="BX30" s="58">
        <f t="shared" si="109"/>
        <v>9.0901800000000001</v>
      </c>
      <c r="BZ30" s="31" t="str">
        <f t="shared" si="110"/>
        <v>10X12</v>
      </c>
      <c r="CA30" s="78">
        <f t="shared" si="110"/>
        <v>120</v>
      </c>
      <c r="CB30" s="35">
        <f t="shared" si="110"/>
        <v>3.0453500000000004</v>
      </c>
      <c r="CC30" s="36">
        <f t="shared" si="110"/>
        <v>6.0907000000000009</v>
      </c>
      <c r="CD30" s="58">
        <f t="shared" si="110"/>
        <v>9.1360500000000009</v>
      </c>
      <c r="CF30" s="31" t="str">
        <f t="shared" si="111"/>
        <v>11X14</v>
      </c>
      <c r="CG30" s="78">
        <f t="shared" si="111"/>
        <v>154</v>
      </c>
      <c r="CH30" s="35">
        <f t="shared" si="111"/>
        <v>3.8582500000000004</v>
      </c>
      <c r="CI30" s="36">
        <f t="shared" si="111"/>
        <v>7.7165000000000008</v>
      </c>
      <c r="CJ30" s="58">
        <f t="shared" si="111"/>
        <v>11.574750000000002</v>
      </c>
      <c r="CL30" s="31" t="str">
        <f t="shared" si="112"/>
        <v>14X17</v>
      </c>
      <c r="CM30" s="78">
        <f t="shared" si="112"/>
        <v>238</v>
      </c>
      <c r="CN30" s="35">
        <f t="shared" si="112"/>
        <v>5.9076599999999999</v>
      </c>
      <c r="CO30" s="36">
        <f t="shared" si="112"/>
        <v>11.81532</v>
      </c>
      <c r="CP30" s="58">
        <f t="shared" si="112"/>
        <v>17.72298</v>
      </c>
      <c r="CR30" s="208"/>
      <c r="CS30" s="230"/>
      <c r="CT30" s="217"/>
      <c r="CU30" s="232"/>
      <c r="CV30" s="208"/>
      <c r="CW30" s="254"/>
      <c r="CX30" s="208"/>
      <c r="CY30" s="251">
        <f t="shared" si="103"/>
        <v>1</v>
      </c>
      <c r="CZ30" s="250">
        <f t="shared" si="113"/>
        <v>1</v>
      </c>
      <c r="DA30" s="248">
        <f t="shared" si="92"/>
        <v>2</v>
      </c>
      <c r="DB30" s="248">
        <f t="shared" si="93"/>
        <v>1</v>
      </c>
      <c r="DC30" s="264"/>
      <c r="DD30" s="258"/>
      <c r="DE30" s="196"/>
      <c r="DF30" s="203"/>
      <c r="DG30" s="195">
        <f t="shared" si="6"/>
        <v>0</v>
      </c>
      <c r="DH30" s="81">
        <f t="shared" si="7"/>
        <v>0</v>
      </c>
      <c r="DI30" s="81">
        <f t="shared" si="8"/>
        <v>0</v>
      </c>
      <c r="DJ30" s="81">
        <f t="shared" si="9"/>
        <v>0</v>
      </c>
      <c r="DK30" s="82">
        <f t="shared" si="42"/>
        <v>0</v>
      </c>
      <c r="DM30" s="83">
        <f t="shared" si="10"/>
        <v>0</v>
      </c>
      <c r="DN30" s="84">
        <f t="shared" si="11"/>
        <v>0</v>
      </c>
      <c r="DO30" s="84">
        <f t="shared" si="12"/>
        <v>0</v>
      </c>
      <c r="DP30" s="104"/>
      <c r="DQ30" s="85">
        <f t="shared" si="13"/>
        <v>0</v>
      </c>
      <c r="DR30" s="108">
        <f t="shared" si="14"/>
        <v>0</v>
      </c>
      <c r="DS30" s="244">
        <f t="shared" si="43"/>
        <v>0</v>
      </c>
      <c r="DT30" s="113"/>
      <c r="DU30" s="132">
        <f t="shared" si="15"/>
        <v>0</v>
      </c>
      <c r="DV30" s="133">
        <f t="shared" si="16"/>
        <v>0</v>
      </c>
      <c r="DW30" s="128">
        <f t="shared" si="44"/>
        <v>0</v>
      </c>
      <c r="DX30" s="133">
        <f t="shared" si="45"/>
        <v>0</v>
      </c>
      <c r="DY30" s="128">
        <f t="shared" si="46"/>
        <v>0</v>
      </c>
      <c r="DZ30" s="126">
        <f t="shared" si="17"/>
        <v>0</v>
      </c>
      <c r="EA30" s="127">
        <f t="shared" si="47"/>
        <v>0</v>
      </c>
      <c r="EC30" s="132">
        <f t="shared" si="48"/>
        <v>0</v>
      </c>
      <c r="ED30" s="133">
        <v>0.115</v>
      </c>
      <c r="EE30" s="128">
        <f t="shared" si="49"/>
        <v>0</v>
      </c>
      <c r="EF30" s="133">
        <f t="shared" si="18"/>
        <v>0</v>
      </c>
      <c r="EG30" s="128">
        <f t="shared" si="50"/>
        <v>0</v>
      </c>
      <c r="EH30" s="134">
        <f t="shared" si="51"/>
        <v>0</v>
      </c>
      <c r="EI30" s="127">
        <f t="shared" si="52"/>
        <v>0</v>
      </c>
      <c r="EK30" s="132">
        <f t="shared" si="53"/>
        <v>0</v>
      </c>
      <c r="EL30" s="133">
        <f t="shared" si="94"/>
        <v>0.125</v>
      </c>
      <c r="EM30" s="128">
        <f t="shared" si="54"/>
        <v>0</v>
      </c>
      <c r="EN30" s="133">
        <f t="shared" si="19"/>
        <v>0</v>
      </c>
      <c r="EO30" s="128">
        <f t="shared" si="55"/>
        <v>0</v>
      </c>
      <c r="EP30" s="134">
        <f t="shared" si="56"/>
        <v>0</v>
      </c>
      <c r="EQ30" s="127">
        <f t="shared" si="20"/>
        <v>0</v>
      </c>
      <c r="ER30" s="127"/>
      <c r="ES30" s="132">
        <f t="shared" si="57"/>
        <v>0</v>
      </c>
      <c r="ET30" s="133">
        <f t="shared" si="95"/>
        <v>0.13</v>
      </c>
      <c r="EU30" s="128">
        <f t="shared" si="58"/>
        <v>0</v>
      </c>
      <c r="EV30" s="133">
        <f t="shared" si="21"/>
        <v>0</v>
      </c>
      <c r="EW30" s="128">
        <f t="shared" si="59"/>
        <v>0</v>
      </c>
      <c r="EX30" s="134">
        <f t="shared" si="60"/>
        <v>0</v>
      </c>
      <c r="EY30" s="127">
        <f t="shared" si="22"/>
        <v>0</v>
      </c>
      <c r="FA30" s="132">
        <f t="shared" si="61"/>
        <v>0</v>
      </c>
      <c r="FB30" s="133">
        <f t="shared" si="96"/>
        <v>0</v>
      </c>
      <c r="FC30" s="128">
        <f t="shared" si="62"/>
        <v>0</v>
      </c>
      <c r="FD30" s="133">
        <f t="shared" si="23"/>
        <v>0</v>
      </c>
      <c r="FE30" s="128">
        <f t="shared" si="63"/>
        <v>0</v>
      </c>
      <c r="FF30" s="134">
        <f t="shared" si="64"/>
        <v>0</v>
      </c>
      <c r="FG30" s="127">
        <f t="shared" si="24"/>
        <v>0</v>
      </c>
      <c r="FI30" s="132">
        <f t="shared" si="65"/>
        <v>0</v>
      </c>
      <c r="FJ30" s="133">
        <f t="shared" si="97"/>
        <v>0</v>
      </c>
      <c r="FK30" s="128">
        <f t="shared" si="66"/>
        <v>0</v>
      </c>
      <c r="FL30" s="133">
        <f t="shared" si="25"/>
        <v>0</v>
      </c>
      <c r="FM30" s="128">
        <f t="shared" si="67"/>
        <v>0</v>
      </c>
      <c r="FN30" s="134">
        <f t="shared" si="68"/>
        <v>0</v>
      </c>
      <c r="FO30" s="127">
        <f t="shared" si="26"/>
        <v>0</v>
      </c>
      <c r="FQ30" s="132">
        <f t="shared" si="69"/>
        <v>0</v>
      </c>
      <c r="FR30" s="133">
        <f t="shared" si="27"/>
        <v>0</v>
      </c>
      <c r="FS30" s="128">
        <f t="shared" si="70"/>
        <v>0</v>
      </c>
      <c r="FT30" s="133">
        <f t="shared" si="28"/>
        <v>0</v>
      </c>
      <c r="FU30" s="128">
        <f t="shared" si="71"/>
        <v>0</v>
      </c>
      <c r="FV30" s="134">
        <f t="shared" si="72"/>
        <v>0</v>
      </c>
      <c r="FW30" s="127">
        <f t="shared" si="29"/>
        <v>0</v>
      </c>
      <c r="FY30" s="132">
        <f t="shared" si="73"/>
        <v>0</v>
      </c>
      <c r="FZ30" s="133">
        <f t="shared" si="30"/>
        <v>0</v>
      </c>
      <c r="GA30" s="128">
        <f t="shared" si="74"/>
        <v>0</v>
      </c>
      <c r="GB30" s="133">
        <f t="shared" si="31"/>
        <v>0</v>
      </c>
      <c r="GC30" s="128">
        <f t="shared" si="75"/>
        <v>0</v>
      </c>
      <c r="GD30" s="134">
        <f t="shared" si="76"/>
        <v>0</v>
      </c>
      <c r="GE30" s="127">
        <f t="shared" si="32"/>
        <v>0</v>
      </c>
      <c r="GG30" s="132">
        <f t="shared" si="77"/>
        <v>0</v>
      </c>
      <c r="GH30" s="133">
        <f t="shared" si="33"/>
        <v>0</v>
      </c>
      <c r="GI30" s="128">
        <f t="shared" si="78"/>
        <v>0</v>
      </c>
      <c r="GJ30" s="133">
        <f t="shared" si="34"/>
        <v>0</v>
      </c>
      <c r="GK30" s="128">
        <f t="shared" si="79"/>
        <v>0</v>
      </c>
      <c r="GL30" s="134">
        <f t="shared" si="80"/>
        <v>0</v>
      </c>
      <c r="GM30" s="127">
        <f t="shared" si="35"/>
        <v>0</v>
      </c>
    </row>
    <row r="31" spans="4:195" ht="18.75" x14ac:dyDescent="0.3">
      <c r="E31">
        <f>E26+D30</f>
        <v>121292.19999999998</v>
      </c>
      <c r="G31" s="8">
        <f>L4*160</f>
        <v>18931.199999999997</v>
      </c>
      <c r="N31" s="8"/>
      <c r="O31" s="29"/>
      <c r="P31" s="8"/>
      <c r="Q31" s="8"/>
      <c r="R31" s="8"/>
      <c r="T31" s="306"/>
      <c r="U31" s="306"/>
      <c r="AK31" s="47">
        <f t="shared" si="81"/>
        <v>2.262</v>
      </c>
      <c r="AL31" s="46">
        <f t="shared" si="104"/>
        <v>1.131</v>
      </c>
      <c r="AM31" s="49">
        <f t="shared" si="104"/>
        <v>0.754</v>
      </c>
      <c r="AN31" s="111">
        <f t="shared" si="39"/>
        <v>0.5655</v>
      </c>
      <c r="AO31" s="50">
        <f t="shared" si="104"/>
        <v>1.218</v>
      </c>
      <c r="AP31" s="48">
        <f t="shared" si="104"/>
        <v>2.4359999999999999</v>
      </c>
      <c r="AQ31" s="51">
        <f t="shared" si="104"/>
        <v>3.6539999999999999</v>
      </c>
      <c r="AR31" s="52">
        <f t="shared" si="104"/>
        <v>2.3242049999999996</v>
      </c>
      <c r="AS31" s="45">
        <f t="shared" si="104"/>
        <v>4.6484099999999993</v>
      </c>
      <c r="AT31" s="161">
        <f t="shared" si="104"/>
        <v>6.9726149999999993</v>
      </c>
      <c r="AU31" s="163">
        <f t="shared" si="116"/>
        <v>1.1000000000000001</v>
      </c>
      <c r="AV31" s="78" t="str">
        <f t="shared" si="105"/>
        <v>5X7</v>
      </c>
      <c r="AW31" s="78">
        <f t="shared" si="105"/>
        <v>35</v>
      </c>
      <c r="AX31" s="35">
        <f t="shared" si="105"/>
        <v>0.97977000000000003</v>
      </c>
      <c r="AY31" s="36">
        <f t="shared" si="105"/>
        <v>1.9595400000000001</v>
      </c>
      <c r="AZ31" s="58">
        <f t="shared" si="105"/>
        <v>2.9393099999999999</v>
      </c>
      <c r="BB31" s="31" t="str">
        <f t="shared" si="106"/>
        <v>4.5X10</v>
      </c>
      <c r="BC31" s="78">
        <f t="shared" si="106"/>
        <v>45</v>
      </c>
      <c r="BD31" s="35">
        <f t="shared" si="106"/>
        <v>1.23838</v>
      </c>
      <c r="BE31" s="36">
        <f t="shared" si="106"/>
        <v>2.4767600000000001</v>
      </c>
      <c r="BF31" s="58">
        <f t="shared" si="106"/>
        <v>3.7151399999999999</v>
      </c>
      <c r="BH31" s="31" t="str">
        <f t="shared" si="107"/>
        <v>4.5X17</v>
      </c>
      <c r="BI31" s="78">
        <f t="shared" si="107"/>
        <v>76.5</v>
      </c>
      <c r="BJ31" s="35">
        <f t="shared" si="107"/>
        <v>1.9836300000000002</v>
      </c>
      <c r="BK31" s="36">
        <f t="shared" si="107"/>
        <v>3.9672600000000005</v>
      </c>
      <c r="BL31" s="58">
        <f t="shared" si="107"/>
        <v>5.9508900000000011</v>
      </c>
      <c r="BN31" s="31" t="str">
        <f t="shared" si="108"/>
        <v>8X10</v>
      </c>
      <c r="BO31" s="78">
        <f t="shared" si="108"/>
        <v>80</v>
      </c>
      <c r="BP31" s="35">
        <f t="shared" si="108"/>
        <v>2.0702000000000003</v>
      </c>
      <c r="BQ31" s="36">
        <f t="shared" si="108"/>
        <v>4.1404000000000005</v>
      </c>
      <c r="BR31" s="58">
        <f t="shared" si="108"/>
        <v>6.2106000000000012</v>
      </c>
      <c r="BT31" s="31" t="str">
        <f t="shared" si="109"/>
        <v>7X17</v>
      </c>
      <c r="BU31" s="78">
        <f t="shared" si="109"/>
        <v>119</v>
      </c>
      <c r="BV31" s="35">
        <f t="shared" si="109"/>
        <v>3.0300600000000002</v>
      </c>
      <c r="BW31" s="36">
        <f t="shared" si="109"/>
        <v>6.0601200000000004</v>
      </c>
      <c r="BX31" s="58">
        <f t="shared" si="109"/>
        <v>9.0901800000000001</v>
      </c>
      <c r="BZ31" s="31" t="str">
        <f t="shared" si="110"/>
        <v>10X12</v>
      </c>
      <c r="CA31" s="78">
        <f t="shared" si="110"/>
        <v>120</v>
      </c>
      <c r="CB31" s="35">
        <f t="shared" si="110"/>
        <v>3.0453500000000004</v>
      </c>
      <c r="CC31" s="36">
        <f t="shared" si="110"/>
        <v>6.0907000000000009</v>
      </c>
      <c r="CD31" s="58">
        <f t="shared" si="110"/>
        <v>9.1360500000000009</v>
      </c>
      <c r="CF31" s="31" t="str">
        <f t="shared" si="111"/>
        <v>11X14</v>
      </c>
      <c r="CG31" s="78">
        <f t="shared" si="111"/>
        <v>154</v>
      </c>
      <c r="CH31" s="35">
        <f t="shared" si="111"/>
        <v>3.8582500000000004</v>
      </c>
      <c r="CI31" s="36">
        <f t="shared" si="111"/>
        <v>7.7165000000000008</v>
      </c>
      <c r="CJ31" s="58">
        <f t="shared" si="111"/>
        <v>11.574750000000002</v>
      </c>
      <c r="CL31" s="31" t="str">
        <f t="shared" si="112"/>
        <v>14X17</v>
      </c>
      <c r="CM31" s="78">
        <f t="shared" si="112"/>
        <v>238</v>
      </c>
      <c r="CN31" s="35">
        <f t="shared" si="112"/>
        <v>5.9076599999999999</v>
      </c>
      <c r="CO31" s="36">
        <f t="shared" si="112"/>
        <v>11.81532</v>
      </c>
      <c r="CP31" s="58">
        <f t="shared" si="112"/>
        <v>17.72298</v>
      </c>
      <c r="CR31" s="208"/>
      <c r="CS31" s="230"/>
      <c r="CT31" s="217"/>
      <c r="CU31" s="232"/>
      <c r="CV31" s="208"/>
      <c r="CW31" s="254"/>
      <c r="CX31" s="208"/>
      <c r="CY31" s="251">
        <f t="shared" si="103"/>
        <v>1</v>
      </c>
      <c r="CZ31" s="250">
        <f t="shared" si="113"/>
        <v>1</v>
      </c>
      <c r="DA31" s="248">
        <f t="shared" si="92"/>
        <v>2</v>
      </c>
      <c r="DB31" s="248">
        <f t="shared" si="93"/>
        <v>1</v>
      </c>
      <c r="DC31" s="264"/>
      <c r="DD31" s="258"/>
      <c r="DE31" s="196"/>
      <c r="DF31" s="203"/>
      <c r="DG31" s="195">
        <f t="shared" si="6"/>
        <v>0</v>
      </c>
      <c r="DH31" s="81">
        <f t="shared" si="7"/>
        <v>0</v>
      </c>
      <c r="DI31" s="81">
        <f t="shared" si="8"/>
        <v>0</v>
      </c>
      <c r="DJ31" s="81">
        <f t="shared" si="9"/>
        <v>0</v>
      </c>
      <c r="DK31" s="82">
        <f t="shared" si="42"/>
        <v>0</v>
      </c>
      <c r="DM31" s="83">
        <f t="shared" si="10"/>
        <v>0</v>
      </c>
      <c r="DN31" s="84">
        <f t="shared" si="11"/>
        <v>0</v>
      </c>
      <c r="DO31" s="84">
        <f t="shared" si="12"/>
        <v>0</v>
      </c>
      <c r="DP31" s="104"/>
      <c r="DQ31" s="85">
        <f t="shared" si="13"/>
        <v>0</v>
      </c>
      <c r="DR31" s="108">
        <f t="shared" si="14"/>
        <v>0</v>
      </c>
      <c r="DS31" s="244">
        <f t="shared" si="43"/>
        <v>0</v>
      </c>
      <c r="DT31" s="113"/>
      <c r="DU31" s="132">
        <f t="shared" si="15"/>
        <v>0</v>
      </c>
      <c r="DV31" s="133">
        <f t="shared" si="16"/>
        <v>0</v>
      </c>
      <c r="DW31" s="128">
        <f t="shared" si="44"/>
        <v>0</v>
      </c>
      <c r="DX31" s="133">
        <f t="shared" si="45"/>
        <v>0</v>
      </c>
      <c r="DY31" s="128">
        <f t="shared" si="46"/>
        <v>0</v>
      </c>
      <c r="DZ31" s="126">
        <f t="shared" si="17"/>
        <v>0</v>
      </c>
      <c r="EA31" s="127">
        <f t="shared" si="47"/>
        <v>0</v>
      </c>
      <c r="EC31" s="132">
        <f t="shared" si="48"/>
        <v>0</v>
      </c>
      <c r="ED31" s="133">
        <v>0.115</v>
      </c>
      <c r="EE31" s="128">
        <f t="shared" si="49"/>
        <v>0</v>
      </c>
      <c r="EF31" s="133">
        <f t="shared" si="18"/>
        <v>0</v>
      </c>
      <c r="EG31" s="128">
        <f t="shared" si="50"/>
        <v>0</v>
      </c>
      <c r="EH31" s="134">
        <f t="shared" si="51"/>
        <v>0</v>
      </c>
      <c r="EI31" s="127">
        <f t="shared" si="52"/>
        <v>0</v>
      </c>
      <c r="EK31" s="132">
        <f t="shared" si="53"/>
        <v>0</v>
      </c>
      <c r="EL31" s="133">
        <f t="shared" si="94"/>
        <v>0.125</v>
      </c>
      <c r="EM31" s="128">
        <f t="shared" si="54"/>
        <v>0</v>
      </c>
      <c r="EN31" s="133">
        <f t="shared" si="19"/>
        <v>0</v>
      </c>
      <c r="EO31" s="128">
        <f t="shared" si="55"/>
        <v>0</v>
      </c>
      <c r="EP31" s="134">
        <f t="shared" si="56"/>
        <v>0</v>
      </c>
      <c r="EQ31" s="127">
        <f t="shared" si="20"/>
        <v>0</v>
      </c>
      <c r="ER31" s="127"/>
      <c r="ES31" s="132">
        <f t="shared" si="57"/>
        <v>0</v>
      </c>
      <c r="ET31" s="133">
        <f t="shared" si="95"/>
        <v>0.13</v>
      </c>
      <c r="EU31" s="128">
        <f t="shared" si="58"/>
        <v>0</v>
      </c>
      <c r="EV31" s="133">
        <f t="shared" si="21"/>
        <v>0</v>
      </c>
      <c r="EW31" s="128">
        <f t="shared" si="59"/>
        <v>0</v>
      </c>
      <c r="EX31" s="134">
        <f t="shared" si="60"/>
        <v>0</v>
      </c>
      <c r="EY31" s="127">
        <f t="shared" si="22"/>
        <v>0</v>
      </c>
      <c r="FA31" s="132">
        <f t="shared" si="61"/>
        <v>0</v>
      </c>
      <c r="FB31" s="133">
        <f t="shared" si="96"/>
        <v>0</v>
      </c>
      <c r="FC31" s="128">
        <f t="shared" si="62"/>
        <v>0</v>
      </c>
      <c r="FD31" s="133">
        <f t="shared" si="23"/>
        <v>0</v>
      </c>
      <c r="FE31" s="128">
        <f t="shared" si="63"/>
        <v>0</v>
      </c>
      <c r="FF31" s="134">
        <f t="shared" si="64"/>
        <v>0</v>
      </c>
      <c r="FG31" s="127">
        <f t="shared" si="24"/>
        <v>0</v>
      </c>
      <c r="FI31" s="132">
        <f t="shared" si="65"/>
        <v>0</v>
      </c>
      <c r="FJ31" s="133">
        <f t="shared" si="97"/>
        <v>0</v>
      </c>
      <c r="FK31" s="128">
        <f t="shared" si="66"/>
        <v>0</v>
      </c>
      <c r="FL31" s="133">
        <f t="shared" si="25"/>
        <v>0</v>
      </c>
      <c r="FM31" s="128">
        <f t="shared" si="67"/>
        <v>0</v>
      </c>
      <c r="FN31" s="134">
        <f t="shared" si="68"/>
        <v>0</v>
      </c>
      <c r="FO31" s="127">
        <f t="shared" si="26"/>
        <v>0</v>
      </c>
      <c r="FQ31" s="132">
        <f t="shared" si="69"/>
        <v>0</v>
      </c>
      <c r="FR31" s="133">
        <f t="shared" si="27"/>
        <v>0</v>
      </c>
      <c r="FS31" s="128">
        <f t="shared" si="70"/>
        <v>0</v>
      </c>
      <c r="FT31" s="133">
        <f t="shared" si="28"/>
        <v>0</v>
      </c>
      <c r="FU31" s="128">
        <f t="shared" si="71"/>
        <v>0</v>
      </c>
      <c r="FV31" s="134">
        <f t="shared" si="72"/>
        <v>0</v>
      </c>
      <c r="FW31" s="127">
        <f t="shared" si="29"/>
        <v>0</v>
      </c>
      <c r="FY31" s="132">
        <f t="shared" si="73"/>
        <v>0</v>
      </c>
      <c r="FZ31" s="133">
        <f t="shared" si="30"/>
        <v>0</v>
      </c>
      <c r="GA31" s="128">
        <f t="shared" si="74"/>
        <v>0</v>
      </c>
      <c r="GB31" s="133">
        <f t="shared" si="31"/>
        <v>0</v>
      </c>
      <c r="GC31" s="128">
        <f t="shared" si="75"/>
        <v>0</v>
      </c>
      <c r="GD31" s="134">
        <f t="shared" si="76"/>
        <v>0</v>
      </c>
      <c r="GE31" s="127">
        <f t="shared" si="32"/>
        <v>0</v>
      </c>
      <c r="GG31" s="132">
        <f t="shared" si="77"/>
        <v>0</v>
      </c>
      <c r="GH31" s="133">
        <f t="shared" si="33"/>
        <v>0</v>
      </c>
      <c r="GI31" s="128">
        <f t="shared" si="78"/>
        <v>0</v>
      </c>
      <c r="GJ31" s="133">
        <f t="shared" si="34"/>
        <v>0</v>
      </c>
      <c r="GK31" s="128">
        <f t="shared" si="79"/>
        <v>0</v>
      </c>
      <c r="GL31" s="134">
        <f t="shared" si="80"/>
        <v>0</v>
      </c>
      <c r="GM31" s="127">
        <f t="shared" si="35"/>
        <v>0</v>
      </c>
    </row>
    <row r="32" spans="4:195" ht="18.75" x14ac:dyDescent="0.3">
      <c r="G32" s="8">
        <f t="shared" ref="G32:G34" si="117">L5*160</f>
        <v>18931.199999999997</v>
      </c>
      <c r="N32" s="8"/>
      <c r="O32" s="29"/>
      <c r="P32" s="8"/>
      <c r="Q32" s="8"/>
      <c r="R32" s="8"/>
      <c r="T32" s="306"/>
      <c r="U32" s="306"/>
      <c r="AK32" s="47">
        <f t="shared" si="81"/>
        <v>2.262</v>
      </c>
      <c r="AL32" s="46">
        <f>AL31</f>
        <v>1.131</v>
      </c>
      <c r="AM32" s="46">
        <f>AM31</f>
        <v>0.754</v>
      </c>
      <c r="AN32" s="111">
        <f t="shared" si="39"/>
        <v>0.5655</v>
      </c>
      <c r="AO32" s="46">
        <f t="shared" si="104"/>
        <v>1.218</v>
      </c>
      <c r="AP32" s="46">
        <f t="shared" si="104"/>
        <v>2.4359999999999999</v>
      </c>
      <c r="AQ32" s="46">
        <f t="shared" si="104"/>
        <v>3.6539999999999999</v>
      </c>
      <c r="AR32" s="46">
        <f t="shared" si="104"/>
        <v>2.3242049999999996</v>
      </c>
      <c r="AS32" s="46">
        <f t="shared" si="104"/>
        <v>4.6484099999999993</v>
      </c>
      <c r="AT32" s="162">
        <f t="shared" si="104"/>
        <v>6.9726149999999993</v>
      </c>
      <c r="AU32" s="163">
        <f t="shared" si="116"/>
        <v>1.1000000000000001</v>
      </c>
      <c r="AV32" s="78" t="str">
        <f>AV31</f>
        <v>5X7</v>
      </c>
      <c r="AW32" s="78">
        <f>AW31</f>
        <v>35</v>
      </c>
      <c r="AX32" s="35">
        <f t="shared" si="105"/>
        <v>0.97977000000000003</v>
      </c>
      <c r="AY32" s="36">
        <f t="shared" si="105"/>
        <v>1.9595400000000001</v>
      </c>
      <c r="AZ32" s="58">
        <f t="shared" si="105"/>
        <v>2.9393099999999999</v>
      </c>
      <c r="BB32" s="31" t="str">
        <f t="shared" si="106"/>
        <v>4.5X10</v>
      </c>
      <c r="BC32" s="78">
        <f t="shared" si="106"/>
        <v>45</v>
      </c>
      <c r="BD32" s="35">
        <f t="shared" si="106"/>
        <v>1.23838</v>
      </c>
      <c r="BE32" s="36">
        <f t="shared" si="106"/>
        <v>2.4767600000000001</v>
      </c>
      <c r="BF32" s="58">
        <f t="shared" si="106"/>
        <v>3.7151399999999999</v>
      </c>
      <c r="BH32" s="31" t="str">
        <f t="shared" si="107"/>
        <v>4.5X17</v>
      </c>
      <c r="BI32" s="78">
        <f t="shared" si="107"/>
        <v>76.5</v>
      </c>
      <c r="BJ32" s="35">
        <f t="shared" si="107"/>
        <v>1.9836300000000002</v>
      </c>
      <c r="BK32" s="36">
        <f t="shared" si="107"/>
        <v>3.9672600000000005</v>
      </c>
      <c r="BL32" s="58">
        <f t="shared" si="107"/>
        <v>5.9508900000000011</v>
      </c>
      <c r="BN32" s="31" t="str">
        <f t="shared" si="108"/>
        <v>8X10</v>
      </c>
      <c r="BO32" s="78">
        <f t="shared" si="108"/>
        <v>80</v>
      </c>
      <c r="BP32" s="35">
        <f t="shared" si="108"/>
        <v>2.0702000000000003</v>
      </c>
      <c r="BQ32" s="36">
        <f t="shared" si="108"/>
        <v>4.1404000000000005</v>
      </c>
      <c r="BR32" s="58">
        <f t="shared" si="108"/>
        <v>6.2106000000000012</v>
      </c>
      <c r="BT32" s="31" t="str">
        <f t="shared" si="109"/>
        <v>7X17</v>
      </c>
      <c r="BU32" s="78">
        <f t="shared" si="109"/>
        <v>119</v>
      </c>
      <c r="BV32" s="35">
        <f t="shared" si="109"/>
        <v>3.0300600000000002</v>
      </c>
      <c r="BW32" s="36">
        <f t="shared" si="109"/>
        <v>6.0601200000000004</v>
      </c>
      <c r="BX32" s="58">
        <f t="shared" si="109"/>
        <v>9.0901800000000001</v>
      </c>
      <c r="BZ32" s="31" t="str">
        <f t="shared" si="110"/>
        <v>10X12</v>
      </c>
      <c r="CA32" s="78">
        <f t="shared" si="110"/>
        <v>120</v>
      </c>
      <c r="CB32" s="35">
        <f t="shared" si="110"/>
        <v>3.0453500000000004</v>
      </c>
      <c r="CC32" s="36">
        <f t="shared" si="110"/>
        <v>6.0907000000000009</v>
      </c>
      <c r="CD32" s="58">
        <f t="shared" si="110"/>
        <v>9.1360500000000009</v>
      </c>
      <c r="CF32" s="31" t="str">
        <f t="shared" si="111"/>
        <v>11X14</v>
      </c>
      <c r="CG32" s="78">
        <f t="shared" si="111"/>
        <v>154</v>
      </c>
      <c r="CH32" s="35">
        <f t="shared" si="111"/>
        <v>3.8582500000000004</v>
      </c>
      <c r="CI32" s="36">
        <f t="shared" si="111"/>
        <v>7.7165000000000008</v>
      </c>
      <c r="CJ32" s="58">
        <f t="shared" si="111"/>
        <v>11.574750000000002</v>
      </c>
      <c r="CL32" s="31" t="str">
        <f t="shared" si="112"/>
        <v>14X17</v>
      </c>
      <c r="CM32" s="78">
        <f t="shared" si="112"/>
        <v>238</v>
      </c>
      <c r="CN32" s="35">
        <f t="shared" si="112"/>
        <v>5.9076599999999999</v>
      </c>
      <c r="CO32" s="36">
        <f t="shared" si="112"/>
        <v>11.81532</v>
      </c>
      <c r="CP32" s="58">
        <f t="shared" si="112"/>
        <v>17.72298</v>
      </c>
      <c r="CR32" s="208"/>
      <c r="CS32" s="230"/>
      <c r="CT32" s="217"/>
      <c r="CU32" s="232"/>
      <c r="CV32" s="208"/>
      <c r="CW32" s="254"/>
      <c r="CX32" s="208"/>
      <c r="CY32" s="251">
        <f t="shared" si="103"/>
        <v>1</v>
      </c>
      <c r="CZ32" s="250">
        <f t="shared" si="113"/>
        <v>1</v>
      </c>
      <c r="DA32" s="248">
        <f t="shared" si="92"/>
        <v>2</v>
      </c>
      <c r="DB32" s="248">
        <f t="shared" si="93"/>
        <v>1</v>
      </c>
      <c r="DC32" s="264"/>
      <c r="DD32" s="258"/>
      <c r="DE32" s="196"/>
      <c r="DF32" s="203"/>
      <c r="DG32" s="195">
        <f t="shared" si="6"/>
        <v>0</v>
      </c>
      <c r="DH32" s="81">
        <f t="shared" si="7"/>
        <v>0</v>
      </c>
      <c r="DI32" s="81">
        <f t="shared" si="8"/>
        <v>0</v>
      </c>
      <c r="DJ32" s="81">
        <f t="shared" si="9"/>
        <v>0</v>
      </c>
      <c r="DK32" s="82">
        <f t="shared" si="42"/>
        <v>0</v>
      </c>
      <c r="DM32" s="83">
        <f t="shared" si="10"/>
        <v>0</v>
      </c>
      <c r="DN32" s="84">
        <f t="shared" si="11"/>
        <v>0</v>
      </c>
      <c r="DO32" s="84">
        <f t="shared" si="12"/>
        <v>0</v>
      </c>
      <c r="DP32" s="104"/>
      <c r="DQ32" s="85">
        <f t="shared" si="13"/>
        <v>0</v>
      </c>
      <c r="DR32" s="108">
        <f t="shared" si="14"/>
        <v>0</v>
      </c>
      <c r="DS32" s="244">
        <f t="shared" si="43"/>
        <v>0</v>
      </c>
      <c r="DT32" s="113"/>
      <c r="DU32" s="132">
        <f t="shared" si="15"/>
        <v>0</v>
      </c>
      <c r="DV32" s="133">
        <f t="shared" si="16"/>
        <v>0</v>
      </c>
      <c r="DW32" s="128">
        <f t="shared" si="44"/>
        <v>0</v>
      </c>
      <c r="DX32" s="133">
        <f t="shared" si="45"/>
        <v>0</v>
      </c>
      <c r="DY32" s="128">
        <f t="shared" si="46"/>
        <v>0</v>
      </c>
      <c r="DZ32" s="126">
        <f t="shared" si="17"/>
        <v>0</v>
      </c>
      <c r="EA32" s="127">
        <f t="shared" si="47"/>
        <v>0</v>
      </c>
      <c r="EC32" s="132">
        <f t="shared" si="48"/>
        <v>0</v>
      </c>
      <c r="ED32" s="133">
        <v>0.115</v>
      </c>
      <c r="EE32" s="128">
        <f t="shared" si="49"/>
        <v>0</v>
      </c>
      <c r="EF32" s="133">
        <f t="shared" si="18"/>
        <v>0</v>
      </c>
      <c r="EG32" s="128">
        <f t="shared" si="50"/>
        <v>0</v>
      </c>
      <c r="EH32" s="134">
        <f t="shared" si="51"/>
        <v>0</v>
      </c>
      <c r="EI32" s="127">
        <f t="shared" si="52"/>
        <v>0</v>
      </c>
      <c r="EK32" s="132">
        <f t="shared" si="53"/>
        <v>0</v>
      </c>
      <c r="EL32" s="133">
        <f t="shared" si="94"/>
        <v>0.125</v>
      </c>
      <c r="EM32" s="128">
        <f t="shared" si="54"/>
        <v>0</v>
      </c>
      <c r="EN32" s="133">
        <f t="shared" si="19"/>
        <v>0</v>
      </c>
      <c r="EO32" s="128">
        <f t="shared" si="55"/>
        <v>0</v>
      </c>
      <c r="EP32" s="134">
        <f t="shared" si="56"/>
        <v>0</v>
      </c>
      <c r="EQ32" s="127">
        <f t="shared" si="20"/>
        <v>0</v>
      </c>
      <c r="ER32" s="127"/>
      <c r="ES32" s="132">
        <f t="shared" si="57"/>
        <v>0</v>
      </c>
      <c r="ET32" s="133">
        <f t="shared" si="95"/>
        <v>0.13</v>
      </c>
      <c r="EU32" s="128">
        <f t="shared" si="58"/>
        <v>0</v>
      </c>
      <c r="EV32" s="133">
        <f t="shared" si="21"/>
        <v>0</v>
      </c>
      <c r="EW32" s="128">
        <f t="shared" si="59"/>
        <v>0</v>
      </c>
      <c r="EX32" s="134">
        <f t="shared" si="60"/>
        <v>0</v>
      </c>
      <c r="EY32" s="127">
        <f t="shared" si="22"/>
        <v>0</v>
      </c>
      <c r="FA32" s="132">
        <f t="shared" si="61"/>
        <v>0</v>
      </c>
      <c r="FB32" s="133">
        <f t="shared" si="96"/>
        <v>0</v>
      </c>
      <c r="FC32" s="128">
        <f t="shared" si="62"/>
        <v>0</v>
      </c>
      <c r="FD32" s="133">
        <f t="shared" si="23"/>
        <v>0</v>
      </c>
      <c r="FE32" s="128">
        <f t="shared" si="63"/>
        <v>0</v>
      </c>
      <c r="FF32" s="134">
        <f t="shared" si="64"/>
        <v>0</v>
      </c>
      <c r="FG32" s="127">
        <f t="shared" si="24"/>
        <v>0</v>
      </c>
      <c r="FI32" s="132">
        <f t="shared" si="65"/>
        <v>0</v>
      </c>
      <c r="FJ32" s="133">
        <f t="shared" si="97"/>
        <v>0</v>
      </c>
      <c r="FK32" s="128">
        <f t="shared" si="66"/>
        <v>0</v>
      </c>
      <c r="FL32" s="133">
        <f t="shared" si="25"/>
        <v>0</v>
      </c>
      <c r="FM32" s="128">
        <f t="shared" si="67"/>
        <v>0</v>
      </c>
      <c r="FN32" s="134">
        <f t="shared" si="68"/>
        <v>0</v>
      </c>
      <c r="FO32" s="127">
        <f t="shared" si="26"/>
        <v>0</v>
      </c>
      <c r="FQ32" s="132">
        <f t="shared" si="69"/>
        <v>0</v>
      </c>
      <c r="FR32" s="133">
        <f t="shared" si="27"/>
        <v>0</v>
      </c>
      <c r="FS32" s="128">
        <f t="shared" si="70"/>
        <v>0</v>
      </c>
      <c r="FT32" s="133">
        <f t="shared" si="28"/>
        <v>0</v>
      </c>
      <c r="FU32" s="128">
        <f t="shared" si="71"/>
        <v>0</v>
      </c>
      <c r="FV32" s="134">
        <f t="shared" si="72"/>
        <v>0</v>
      </c>
      <c r="FW32" s="127">
        <f t="shared" si="29"/>
        <v>0</v>
      </c>
      <c r="FY32" s="132">
        <f t="shared" si="73"/>
        <v>0</v>
      </c>
      <c r="FZ32" s="133">
        <f t="shared" si="30"/>
        <v>0</v>
      </c>
      <c r="GA32" s="128">
        <f t="shared" si="74"/>
        <v>0</v>
      </c>
      <c r="GB32" s="133">
        <f t="shared" si="31"/>
        <v>0</v>
      </c>
      <c r="GC32" s="128">
        <f t="shared" si="75"/>
        <v>0</v>
      </c>
      <c r="GD32" s="134">
        <f t="shared" si="76"/>
        <v>0</v>
      </c>
      <c r="GE32" s="127">
        <f t="shared" si="32"/>
        <v>0</v>
      </c>
      <c r="GG32" s="132">
        <f t="shared" si="77"/>
        <v>0</v>
      </c>
      <c r="GH32" s="133">
        <f t="shared" si="33"/>
        <v>0</v>
      </c>
      <c r="GI32" s="128">
        <f t="shared" si="78"/>
        <v>0</v>
      </c>
      <c r="GJ32" s="133">
        <f t="shared" si="34"/>
        <v>0</v>
      </c>
      <c r="GK32" s="128">
        <f t="shared" si="79"/>
        <v>0</v>
      </c>
      <c r="GL32" s="134">
        <f t="shared" si="80"/>
        <v>0</v>
      </c>
      <c r="GM32" s="127">
        <f t="shared" si="35"/>
        <v>0</v>
      </c>
    </row>
    <row r="33" spans="7:195" ht="18.75" x14ac:dyDescent="0.3">
      <c r="G33" s="8">
        <f t="shared" si="117"/>
        <v>20601.599999999999</v>
      </c>
      <c r="N33" s="8"/>
      <c r="O33" s="29"/>
      <c r="P33" s="8"/>
      <c r="Q33" s="8"/>
      <c r="R33" s="8"/>
      <c r="AK33" s="47">
        <f t="shared" si="81"/>
        <v>2.262</v>
      </c>
      <c r="AL33" s="46">
        <f t="shared" ref="AL33:AT40" si="118">AL32</f>
        <v>1.131</v>
      </c>
      <c r="AM33" s="46">
        <f t="shared" si="118"/>
        <v>0.754</v>
      </c>
      <c r="AN33" s="111">
        <f t="shared" si="39"/>
        <v>0.5655</v>
      </c>
      <c r="AO33" s="46">
        <f t="shared" si="104"/>
        <v>1.218</v>
      </c>
      <c r="AP33" s="46">
        <f t="shared" si="104"/>
        <v>2.4359999999999999</v>
      </c>
      <c r="AQ33" s="46">
        <f t="shared" si="104"/>
        <v>3.6539999999999999</v>
      </c>
      <c r="AR33" s="46">
        <f t="shared" si="104"/>
        <v>2.3242049999999996</v>
      </c>
      <c r="AS33" s="46">
        <f t="shared" si="104"/>
        <v>4.6484099999999993</v>
      </c>
      <c r="AT33" s="162">
        <f t="shared" si="104"/>
        <v>6.9726149999999993</v>
      </c>
      <c r="AU33" s="163">
        <f t="shared" si="116"/>
        <v>1.1000000000000001</v>
      </c>
      <c r="AV33" s="78" t="str">
        <f t="shared" ref="AV33:AZ40" si="119">AV32</f>
        <v>5X7</v>
      </c>
      <c r="AW33" s="78">
        <f t="shared" si="119"/>
        <v>35</v>
      </c>
      <c r="AX33" s="35">
        <f t="shared" si="105"/>
        <v>0.97977000000000003</v>
      </c>
      <c r="AY33" s="36">
        <f t="shared" si="105"/>
        <v>1.9595400000000001</v>
      </c>
      <c r="AZ33" s="58">
        <f t="shared" si="105"/>
        <v>2.9393099999999999</v>
      </c>
      <c r="BB33" s="31" t="str">
        <f t="shared" si="106"/>
        <v>4.5X10</v>
      </c>
      <c r="BC33" s="78">
        <f t="shared" si="106"/>
        <v>45</v>
      </c>
      <c r="BD33" s="35">
        <f t="shared" si="106"/>
        <v>1.23838</v>
      </c>
      <c r="BE33" s="36">
        <f t="shared" si="106"/>
        <v>2.4767600000000001</v>
      </c>
      <c r="BF33" s="58">
        <f t="shared" si="106"/>
        <v>3.7151399999999999</v>
      </c>
      <c r="BH33" s="31" t="str">
        <f t="shared" si="107"/>
        <v>4.5X17</v>
      </c>
      <c r="BI33" s="78">
        <f t="shared" si="107"/>
        <v>76.5</v>
      </c>
      <c r="BJ33" s="35">
        <f t="shared" si="107"/>
        <v>1.9836300000000002</v>
      </c>
      <c r="BK33" s="36">
        <f t="shared" si="107"/>
        <v>3.9672600000000005</v>
      </c>
      <c r="BL33" s="58">
        <f t="shared" si="107"/>
        <v>5.9508900000000011</v>
      </c>
      <c r="BN33" s="31" t="str">
        <f t="shared" si="108"/>
        <v>8X10</v>
      </c>
      <c r="BO33" s="78">
        <f t="shared" si="108"/>
        <v>80</v>
      </c>
      <c r="BP33" s="35">
        <f t="shared" si="108"/>
        <v>2.0702000000000003</v>
      </c>
      <c r="BQ33" s="36">
        <f t="shared" si="108"/>
        <v>4.1404000000000005</v>
      </c>
      <c r="BR33" s="58">
        <f t="shared" si="108"/>
        <v>6.2106000000000012</v>
      </c>
      <c r="BT33" s="31" t="str">
        <f t="shared" si="109"/>
        <v>7X17</v>
      </c>
      <c r="BU33" s="78">
        <f t="shared" si="109"/>
        <v>119</v>
      </c>
      <c r="BV33" s="35">
        <f t="shared" si="109"/>
        <v>3.0300600000000002</v>
      </c>
      <c r="BW33" s="36">
        <f t="shared" si="109"/>
        <v>6.0601200000000004</v>
      </c>
      <c r="BX33" s="58">
        <f t="shared" si="109"/>
        <v>9.0901800000000001</v>
      </c>
      <c r="BZ33" s="31" t="str">
        <f t="shared" si="110"/>
        <v>10X12</v>
      </c>
      <c r="CA33" s="78">
        <f t="shared" si="110"/>
        <v>120</v>
      </c>
      <c r="CB33" s="35">
        <f t="shared" si="110"/>
        <v>3.0453500000000004</v>
      </c>
      <c r="CC33" s="36">
        <f t="shared" si="110"/>
        <v>6.0907000000000009</v>
      </c>
      <c r="CD33" s="58">
        <f t="shared" si="110"/>
        <v>9.1360500000000009</v>
      </c>
      <c r="CF33" s="31" t="str">
        <f t="shared" si="111"/>
        <v>11X14</v>
      </c>
      <c r="CG33" s="78">
        <f t="shared" si="111"/>
        <v>154</v>
      </c>
      <c r="CH33" s="35">
        <f t="shared" si="111"/>
        <v>3.8582500000000004</v>
      </c>
      <c r="CI33" s="36">
        <f t="shared" si="111"/>
        <v>7.7165000000000008</v>
      </c>
      <c r="CJ33" s="58">
        <f t="shared" si="111"/>
        <v>11.574750000000002</v>
      </c>
      <c r="CL33" s="31" t="str">
        <f t="shared" si="112"/>
        <v>14X17</v>
      </c>
      <c r="CM33" s="78">
        <f t="shared" si="112"/>
        <v>238</v>
      </c>
      <c r="CN33" s="35">
        <f t="shared" si="112"/>
        <v>5.9076599999999999</v>
      </c>
      <c r="CO33" s="36">
        <f t="shared" si="112"/>
        <v>11.81532</v>
      </c>
      <c r="CP33" s="58">
        <f t="shared" si="112"/>
        <v>17.72298</v>
      </c>
      <c r="CR33" s="208"/>
      <c r="CS33" s="230"/>
      <c r="CT33" s="217"/>
      <c r="CU33" s="232"/>
      <c r="CV33" s="208"/>
      <c r="CW33" s="254"/>
      <c r="CX33" s="208"/>
      <c r="CY33" s="251">
        <f t="shared" si="103"/>
        <v>1</v>
      </c>
      <c r="CZ33" s="250">
        <f t="shared" si="113"/>
        <v>1</v>
      </c>
      <c r="DA33" s="248">
        <f t="shared" si="92"/>
        <v>2</v>
      </c>
      <c r="DB33" s="248">
        <f t="shared" si="93"/>
        <v>1</v>
      </c>
      <c r="DC33" s="264"/>
      <c r="DD33" s="258"/>
      <c r="DE33" s="196"/>
      <c r="DF33" s="203"/>
      <c r="DG33" s="195">
        <f t="shared" si="6"/>
        <v>0</v>
      </c>
      <c r="DH33" s="81">
        <f t="shared" si="7"/>
        <v>0</v>
      </c>
      <c r="DI33" s="81">
        <f t="shared" si="8"/>
        <v>0</v>
      </c>
      <c r="DJ33" s="81">
        <f t="shared" si="9"/>
        <v>0</v>
      </c>
      <c r="DK33" s="82">
        <f t="shared" si="42"/>
        <v>0</v>
      </c>
      <c r="DM33" s="83">
        <f t="shared" si="10"/>
        <v>0</v>
      </c>
      <c r="DN33" s="84">
        <f t="shared" si="11"/>
        <v>0</v>
      </c>
      <c r="DO33" s="84">
        <f t="shared" si="12"/>
        <v>0</v>
      </c>
      <c r="DP33" s="104"/>
      <c r="DQ33" s="85">
        <f t="shared" si="13"/>
        <v>0</v>
      </c>
      <c r="DR33" s="108">
        <f t="shared" si="14"/>
        <v>0</v>
      </c>
      <c r="DS33" s="244">
        <f t="shared" si="43"/>
        <v>0</v>
      </c>
      <c r="DT33" s="113"/>
      <c r="DU33" s="132">
        <f t="shared" si="15"/>
        <v>0</v>
      </c>
      <c r="DV33" s="133">
        <f t="shared" si="16"/>
        <v>0</v>
      </c>
      <c r="DW33" s="128">
        <f t="shared" si="44"/>
        <v>0</v>
      </c>
      <c r="DX33" s="133">
        <f t="shared" si="45"/>
        <v>0</v>
      </c>
      <c r="DY33" s="128">
        <f t="shared" si="46"/>
        <v>0</v>
      </c>
      <c r="DZ33" s="126">
        <f t="shared" si="17"/>
        <v>0</v>
      </c>
      <c r="EA33" s="127">
        <f t="shared" si="47"/>
        <v>0</v>
      </c>
      <c r="EC33" s="132">
        <f t="shared" si="48"/>
        <v>0</v>
      </c>
      <c r="ED33" s="133">
        <v>0.115</v>
      </c>
      <c r="EE33" s="128">
        <f t="shared" si="49"/>
        <v>0</v>
      </c>
      <c r="EF33" s="133">
        <f t="shared" si="18"/>
        <v>0</v>
      </c>
      <c r="EG33" s="128">
        <f t="shared" si="50"/>
        <v>0</v>
      </c>
      <c r="EH33" s="134">
        <f t="shared" si="51"/>
        <v>0</v>
      </c>
      <c r="EI33" s="127">
        <f t="shared" si="52"/>
        <v>0</v>
      </c>
      <c r="EK33" s="132">
        <f t="shared" si="53"/>
        <v>0</v>
      </c>
      <c r="EL33" s="133">
        <f t="shared" si="94"/>
        <v>0.125</v>
      </c>
      <c r="EM33" s="128">
        <f t="shared" si="54"/>
        <v>0</v>
      </c>
      <c r="EN33" s="133">
        <f t="shared" si="19"/>
        <v>0</v>
      </c>
      <c r="EO33" s="128">
        <f t="shared" si="55"/>
        <v>0</v>
      </c>
      <c r="EP33" s="134">
        <f t="shared" si="56"/>
        <v>0</v>
      </c>
      <c r="EQ33" s="127">
        <f t="shared" si="20"/>
        <v>0</v>
      </c>
      <c r="ER33" s="127"/>
      <c r="ES33" s="132">
        <f t="shared" si="57"/>
        <v>0</v>
      </c>
      <c r="ET33" s="133">
        <f t="shared" si="95"/>
        <v>0.13</v>
      </c>
      <c r="EU33" s="128">
        <f t="shared" si="58"/>
        <v>0</v>
      </c>
      <c r="EV33" s="133">
        <f t="shared" si="21"/>
        <v>0</v>
      </c>
      <c r="EW33" s="128">
        <f t="shared" si="59"/>
        <v>0</v>
      </c>
      <c r="EX33" s="134">
        <f t="shared" si="60"/>
        <v>0</v>
      </c>
      <c r="EY33" s="127">
        <f t="shared" si="22"/>
        <v>0</v>
      </c>
      <c r="FA33" s="132">
        <f t="shared" si="61"/>
        <v>0</v>
      </c>
      <c r="FB33" s="133">
        <f t="shared" si="96"/>
        <v>0</v>
      </c>
      <c r="FC33" s="128">
        <f t="shared" si="62"/>
        <v>0</v>
      </c>
      <c r="FD33" s="133">
        <f t="shared" si="23"/>
        <v>0</v>
      </c>
      <c r="FE33" s="128">
        <f t="shared" si="63"/>
        <v>0</v>
      </c>
      <c r="FF33" s="134">
        <f t="shared" si="64"/>
        <v>0</v>
      </c>
      <c r="FG33" s="127">
        <f t="shared" si="24"/>
        <v>0</v>
      </c>
      <c r="FI33" s="132">
        <f t="shared" si="65"/>
        <v>0</v>
      </c>
      <c r="FJ33" s="133">
        <f t="shared" si="97"/>
        <v>0</v>
      </c>
      <c r="FK33" s="128">
        <f t="shared" si="66"/>
        <v>0</v>
      </c>
      <c r="FL33" s="133">
        <f t="shared" si="25"/>
        <v>0</v>
      </c>
      <c r="FM33" s="128">
        <f t="shared" si="67"/>
        <v>0</v>
      </c>
      <c r="FN33" s="134">
        <f t="shared" si="68"/>
        <v>0</v>
      </c>
      <c r="FO33" s="127">
        <f t="shared" si="26"/>
        <v>0</v>
      </c>
      <c r="FQ33" s="132">
        <f t="shared" si="69"/>
        <v>0</v>
      </c>
      <c r="FR33" s="133">
        <f t="shared" si="27"/>
        <v>0</v>
      </c>
      <c r="FS33" s="128">
        <f t="shared" si="70"/>
        <v>0</v>
      </c>
      <c r="FT33" s="133">
        <f t="shared" si="28"/>
        <v>0</v>
      </c>
      <c r="FU33" s="128">
        <f t="shared" si="71"/>
        <v>0</v>
      </c>
      <c r="FV33" s="134">
        <f t="shared" si="72"/>
        <v>0</v>
      </c>
      <c r="FW33" s="127">
        <f t="shared" si="29"/>
        <v>0</v>
      </c>
      <c r="FY33" s="132">
        <f t="shared" si="73"/>
        <v>0</v>
      </c>
      <c r="FZ33" s="133">
        <f t="shared" si="30"/>
        <v>0</v>
      </c>
      <c r="GA33" s="128">
        <f t="shared" si="74"/>
        <v>0</v>
      </c>
      <c r="GB33" s="133">
        <f t="shared" si="31"/>
        <v>0</v>
      </c>
      <c r="GC33" s="128">
        <f t="shared" si="75"/>
        <v>0</v>
      </c>
      <c r="GD33" s="134">
        <f t="shared" si="76"/>
        <v>0</v>
      </c>
      <c r="GE33" s="127">
        <f t="shared" si="32"/>
        <v>0</v>
      </c>
      <c r="GG33" s="132">
        <f t="shared" si="77"/>
        <v>0</v>
      </c>
      <c r="GH33" s="133">
        <f t="shared" si="33"/>
        <v>0</v>
      </c>
      <c r="GI33" s="128">
        <f t="shared" si="78"/>
        <v>0</v>
      </c>
      <c r="GJ33" s="133">
        <f t="shared" si="34"/>
        <v>0</v>
      </c>
      <c r="GK33" s="128">
        <f t="shared" si="79"/>
        <v>0</v>
      </c>
      <c r="GL33" s="134">
        <f t="shared" si="80"/>
        <v>0</v>
      </c>
      <c r="GM33" s="127">
        <f t="shared" si="35"/>
        <v>0</v>
      </c>
    </row>
    <row r="34" spans="7:195" ht="18.75" x14ac:dyDescent="0.3">
      <c r="G34" s="8">
        <f t="shared" si="117"/>
        <v>30785.472000000002</v>
      </c>
      <c r="N34" s="8"/>
      <c r="O34" s="29"/>
      <c r="P34" s="8"/>
      <c r="Q34" s="8"/>
      <c r="R34" s="8"/>
      <c r="AK34" s="47">
        <f t="shared" si="81"/>
        <v>2.262</v>
      </c>
      <c r="AL34" s="46">
        <f t="shared" si="118"/>
        <v>1.131</v>
      </c>
      <c r="AM34" s="46">
        <f t="shared" si="118"/>
        <v>0.754</v>
      </c>
      <c r="AN34" s="111">
        <f t="shared" si="39"/>
        <v>0.5655</v>
      </c>
      <c r="AO34" s="46">
        <f t="shared" si="104"/>
        <v>1.218</v>
      </c>
      <c r="AP34" s="46">
        <f t="shared" si="104"/>
        <v>2.4359999999999999</v>
      </c>
      <c r="AQ34" s="46">
        <f t="shared" si="104"/>
        <v>3.6539999999999999</v>
      </c>
      <c r="AR34" s="46">
        <f t="shared" si="104"/>
        <v>2.3242049999999996</v>
      </c>
      <c r="AS34" s="46">
        <f t="shared" si="104"/>
        <v>4.6484099999999993</v>
      </c>
      <c r="AT34" s="162">
        <f t="shared" si="104"/>
        <v>6.9726149999999993</v>
      </c>
      <c r="AU34" s="163">
        <f t="shared" si="116"/>
        <v>1.1000000000000001</v>
      </c>
      <c r="AV34" s="78" t="str">
        <f t="shared" si="119"/>
        <v>5X7</v>
      </c>
      <c r="AW34" s="78">
        <f t="shared" si="119"/>
        <v>35</v>
      </c>
      <c r="AX34" s="35">
        <f t="shared" si="105"/>
        <v>0.97977000000000003</v>
      </c>
      <c r="AY34" s="36">
        <f t="shared" si="105"/>
        <v>1.9595400000000001</v>
      </c>
      <c r="AZ34" s="58">
        <f t="shared" si="105"/>
        <v>2.9393099999999999</v>
      </c>
      <c r="BB34" s="31" t="str">
        <f t="shared" si="106"/>
        <v>4.5X10</v>
      </c>
      <c r="BC34" s="78">
        <f t="shared" si="106"/>
        <v>45</v>
      </c>
      <c r="BD34" s="35">
        <f t="shared" si="106"/>
        <v>1.23838</v>
      </c>
      <c r="BE34" s="36">
        <f t="shared" si="106"/>
        <v>2.4767600000000001</v>
      </c>
      <c r="BF34" s="58">
        <f t="shared" si="106"/>
        <v>3.7151399999999999</v>
      </c>
      <c r="BH34" s="31" t="str">
        <f t="shared" si="107"/>
        <v>4.5X17</v>
      </c>
      <c r="BI34" s="78">
        <f t="shared" si="107"/>
        <v>76.5</v>
      </c>
      <c r="BJ34" s="35">
        <f t="shared" si="107"/>
        <v>1.9836300000000002</v>
      </c>
      <c r="BK34" s="36">
        <f t="shared" si="107"/>
        <v>3.9672600000000005</v>
      </c>
      <c r="BL34" s="58">
        <f t="shared" si="107"/>
        <v>5.9508900000000011</v>
      </c>
      <c r="BN34" s="31" t="str">
        <f t="shared" si="108"/>
        <v>8X10</v>
      </c>
      <c r="BO34" s="78">
        <f t="shared" si="108"/>
        <v>80</v>
      </c>
      <c r="BP34" s="35">
        <f t="shared" si="108"/>
        <v>2.0702000000000003</v>
      </c>
      <c r="BQ34" s="36">
        <f t="shared" si="108"/>
        <v>4.1404000000000005</v>
      </c>
      <c r="BR34" s="58">
        <f t="shared" si="108"/>
        <v>6.2106000000000012</v>
      </c>
      <c r="BT34" s="31" t="str">
        <f t="shared" si="109"/>
        <v>7X17</v>
      </c>
      <c r="BU34" s="78">
        <f t="shared" si="109"/>
        <v>119</v>
      </c>
      <c r="BV34" s="35">
        <f t="shared" si="109"/>
        <v>3.0300600000000002</v>
      </c>
      <c r="BW34" s="36">
        <f t="shared" si="109"/>
        <v>6.0601200000000004</v>
      </c>
      <c r="BX34" s="58">
        <f t="shared" si="109"/>
        <v>9.0901800000000001</v>
      </c>
      <c r="BZ34" s="31" t="str">
        <f t="shared" si="110"/>
        <v>10X12</v>
      </c>
      <c r="CA34" s="78">
        <f t="shared" si="110"/>
        <v>120</v>
      </c>
      <c r="CB34" s="35">
        <f t="shared" si="110"/>
        <v>3.0453500000000004</v>
      </c>
      <c r="CC34" s="36">
        <f t="shared" si="110"/>
        <v>6.0907000000000009</v>
      </c>
      <c r="CD34" s="58">
        <f t="shared" si="110"/>
        <v>9.1360500000000009</v>
      </c>
      <c r="CF34" s="31" t="str">
        <f t="shared" si="111"/>
        <v>11X14</v>
      </c>
      <c r="CG34" s="78">
        <f t="shared" si="111"/>
        <v>154</v>
      </c>
      <c r="CH34" s="35">
        <f t="shared" si="111"/>
        <v>3.8582500000000004</v>
      </c>
      <c r="CI34" s="36">
        <f t="shared" si="111"/>
        <v>7.7165000000000008</v>
      </c>
      <c r="CJ34" s="58">
        <f t="shared" si="111"/>
        <v>11.574750000000002</v>
      </c>
      <c r="CL34" s="31" t="str">
        <f t="shared" si="112"/>
        <v>14X17</v>
      </c>
      <c r="CM34" s="78">
        <f t="shared" si="112"/>
        <v>238</v>
      </c>
      <c r="CN34" s="35">
        <f t="shared" si="112"/>
        <v>5.9076599999999999</v>
      </c>
      <c r="CO34" s="36">
        <f t="shared" si="112"/>
        <v>11.81532</v>
      </c>
      <c r="CP34" s="58">
        <f t="shared" si="112"/>
        <v>17.72298</v>
      </c>
      <c r="CR34" s="208"/>
      <c r="CS34" s="233"/>
      <c r="CT34" s="217"/>
      <c r="CU34" s="232"/>
      <c r="CV34" s="208"/>
      <c r="CW34" s="254"/>
      <c r="CX34" s="208"/>
      <c r="CY34" s="251">
        <f t="shared" si="103"/>
        <v>1</v>
      </c>
      <c r="CZ34" s="250">
        <f t="shared" si="113"/>
        <v>1</v>
      </c>
      <c r="DA34" s="248">
        <f t="shared" si="92"/>
        <v>2</v>
      </c>
      <c r="DB34" s="248">
        <f t="shared" si="93"/>
        <v>1</v>
      </c>
      <c r="DC34" s="264"/>
      <c r="DD34" s="258"/>
      <c r="DE34" s="196"/>
      <c r="DF34" s="203"/>
      <c r="DG34" s="195">
        <f t="shared" si="6"/>
        <v>0</v>
      </c>
      <c r="DH34" s="81">
        <f t="shared" si="7"/>
        <v>0</v>
      </c>
      <c r="DI34" s="81">
        <f t="shared" si="8"/>
        <v>0</v>
      </c>
      <c r="DJ34" s="81">
        <f t="shared" si="9"/>
        <v>0</v>
      </c>
      <c r="DK34" s="82">
        <f t="shared" si="42"/>
        <v>0</v>
      </c>
      <c r="DM34" s="83">
        <f t="shared" si="10"/>
        <v>0</v>
      </c>
      <c r="DN34" s="84">
        <f t="shared" si="11"/>
        <v>0</v>
      </c>
      <c r="DO34" s="84">
        <f t="shared" si="12"/>
        <v>0</v>
      </c>
      <c r="DP34" s="105"/>
      <c r="DQ34" s="85">
        <f t="shared" si="13"/>
        <v>0</v>
      </c>
      <c r="DR34" s="108">
        <f t="shared" si="14"/>
        <v>0</v>
      </c>
      <c r="DS34" s="244">
        <f t="shared" si="43"/>
        <v>0</v>
      </c>
      <c r="DT34" s="113"/>
      <c r="DU34" s="132">
        <f t="shared" si="15"/>
        <v>0</v>
      </c>
      <c r="DV34" s="133">
        <f t="shared" si="16"/>
        <v>0</v>
      </c>
      <c r="DW34" s="128">
        <f t="shared" si="44"/>
        <v>0</v>
      </c>
      <c r="DX34" s="133">
        <f t="shared" si="45"/>
        <v>0</v>
      </c>
      <c r="DY34" s="128">
        <f t="shared" si="46"/>
        <v>0</v>
      </c>
      <c r="DZ34" s="126">
        <f t="shared" si="17"/>
        <v>0</v>
      </c>
      <c r="EA34" s="127">
        <f t="shared" si="47"/>
        <v>0</v>
      </c>
      <c r="EC34" s="132">
        <f t="shared" si="48"/>
        <v>0</v>
      </c>
      <c r="ED34" s="133">
        <v>0.115</v>
      </c>
      <c r="EE34" s="128">
        <f t="shared" si="49"/>
        <v>0</v>
      </c>
      <c r="EF34" s="133">
        <f t="shared" si="18"/>
        <v>0</v>
      </c>
      <c r="EG34" s="128">
        <f t="shared" si="50"/>
        <v>0</v>
      </c>
      <c r="EH34" s="134">
        <f t="shared" si="51"/>
        <v>0</v>
      </c>
      <c r="EI34" s="127">
        <f t="shared" si="52"/>
        <v>0</v>
      </c>
      <c r="EK34" s="132">
        <f t="shared" si="53"/>
        <v>0</v>
      </c>
      <c r="EL34" s="133">
        <f t="shared" si="94"/>
        <v>0.125</v>
      </c>
      <c r="EM34" s="128">
        <f t="shared" si="54"/>
        <v>0</v>
      </c>
      <c r="EN34" s="133">
        <f t="shared" si="19"/>
        <v>0</v>
      </c>
      <c r="EO34" s="128">
        <f t="shared" si="55"/>
        <v>0</v>
      </c>
      <c r="EP34" s="134">
        <f t="shared" si="56"/>
        <v>0</v>
      </c>
      <c r="EQ34" s="127">
        <f t="shared" si="20"/>
        <v>0</v>
      </c>
      <c r="ER34" s="127"/>
      <c r="ES34" s="132">
        <f t="shared" si="57"/>
        <v>0</v>
      </c>
      <c r="ET34" s="133">
        <f t="shared" si="95"/>
        <v>0.13</v>
      </c>
      <c r="EU34" s="128">
        <f t="shared" si="58"/>
        <v>0</v>
      </c>
      <c r="EV34" s="133">
        <f t="shared" si="21"/>
        <v>0</v>
      </c>
      <c r="EW34" s="128">
        <f t="shared" si="59"/>
        <v>0</v>
      </c>
      <c r="EX34" s="134">
        <f t="shared" si="60"/>
        <v>0</v>
      </c>
      <c r="EY34" s="127">
        <f t="shared" si="22"/>
        <v>0</v>
      </c>
      <c r="FA34" s="132">
        <f t="shared" si="61"/>
        <v>0</v>
      </c>
      <c r="FB34" s="133">
        <f t="shared" si="96"/>
        <v>0</v>
      </c>
      <c r="FC34" s="128">
        <f t="shared" si="62"/>
        <v>0</v>
      </c>
      <c r="FD34" s="133">
        <f t="shared" si="23"/>
        <v>0</v>
      </c>
      <c r="FE34" s="128">
        <f t="shared" si="63"/>
        <v>0</v>
      </c>
      <c r="FF34" s="134">
        <f t="shared" si="64"/>
        <v>0</v>
      </c>
      <c r="FG34" s="127">
        <f t="shared" si="24"/>
        <v>0</v>
      </c>
      <c r="FI34" s="132">
        <f t="shared" si="65"/>
        <v>0</v>
      </c>
      <c r="FJ34" s="133">
        <f t="shared" si="97"/>
        <v>0</v>
      </c>
      <c r="FK34" s="128">
        <f t="shared" si="66"/>
        <v>0</v>
      </c>
      <c r="FL34" s="133">
        <f t="shared" si="25"/>
        <v>0</v>
      </c>
      <c r="FM34" s="128">
        <f t="shared" si="67"/>
        <v>0</v>
      </c>
      <c r="FN34" s="134">
        <f t="shared" si="68"/>
        <v>0</v>
      </c>
      <c r="FO34" s="127">
        <f t="shared" si="26"/>
        <v>0</v>
      </c>
      <c r="FQ34" s="132">
        <f t="shared" si="69"/>
        <v>0</v>
      </c>
      <c r="FR34" s="133">
        <f t="shared" si="27"/>
        <v>0</v>
      </c>
      <c r="FS34" s="128">
        <f t="shared" si="70"/>
        <v>0</v>
      </c>
      <c r="FT34" s="133">
        <f t="shared" si="28"/>
        <v>0</v>
      </c>
      <c r="FU34" s="128">
        <f t="shared" si="71"/>
        <v>0</v>
      </c>
      <c r="FV34" s="134">
        <f t="shared" si="72"/>
        <v>0</v>
      </c>
      <c r="FW34" s="127">
        <f t="shared" si="29"/>
        <v>0</v>
      </c>
      <c r="FY34" s="132">
        <f t="shared" si="73"/>
        <v>0</v>
      </c>
      <c r="FZ34" s="133">
        <f t="shared" si="30"/>
        <v>0</v>
      </c>
      <c r="GA34" s="128">
        <f t="shared" si="74"/>
        <v>0</v>
      </c>
      <c r="GB34" s="133">
        <f t="shared" si="31"/>
        <v>0</v>
      </c>
      <c r="GC34" s="128">
        <f t="shared" si="75"/>
        <v>0</v>
      </c>
      <c r="GD34" s="134">
        <f t="shared" si="76"/>
        <v>0</v>
      </c>
      <c r="GE34" s="127">
        <f t="shared" si="32"/>
        <v>0</v>
      </c>
      <c r="GG34" s="132">
        <f t="shared" si="77"/>
        <v>0</v>
      </c>
      <c r="GH34" s="133">
        <f t="shared" si="33"/>
        <v>0</v>
      </c>
      <c r="GI34" s="128">
        <f t="shared" si="78"/>
        <v>0</v>
      </c>
      <c r="GJ34" s="133">
        <f t="shared" si="34"/>
        <v>0</v>
      </c>
      <c r="GK34" s="128">
        <f t="shared" si="79"/>
        <v>0</v>
      </c>
      <c r="GL34" s="134">
        <f t="shared" si="80"/>
        <v>0</v>
      </c>
      <c r="GM34" s="127">
        <f t="shared" si="35"/>
        <v>0</v>
      </c>
    </row>
    <row r="35" spans="7:195" ht="18.75" x14ac:dyDescent="0.3">
      <c r="G35" s="8">
        <f>SUM(G23:G34)</f>
        <v>199495.872</v>
      </c>
      <c r="N35" s="8"/>
      <c r="O35" s="29"/>
      <c r="P35" s="8"/>
      <c r="Q35" s="8"/>
      <c r="R35" s="8"/>
      <c r="AK35" s="47">
        <f t="shared" si="81"/>
        <v>2.262</v>
      </c>
      <c r="AL35" s="46">
        <f t="shared" si="118"/>
        <v>1.131</v>
      </c>
      <c r="AM35" s="46">
        <f t="shared" si="118"/>
        <v>0.754</v>
      </c>
      <c r="AN35" s="111">
        <f t="shared" si="39"/>
        <v>0.5655</v>
      </c>
      <c r="AO35" s="46">
        <f t="shared" si="104"/>
        <v>1.218</v>
      </c>
      <c r="AP35" s="46">
        <f t="shared" si="104"/>
        <v>2.4359999999999999</v>
      </c>
      <c r="AQ35" s="46">
        <f t="shared" si="104"/>
        <v>3.6539999999999999</v>
      </c>
      <c r="AR35" s="46">
        <f t="shared" si="104"/>
        <v>2.3242049999999996</v>
      </c>
      <c r="AS35" s="46">
        <f t="shared" si="104"/>
        <v>4.6484099999999993</v>
      </c>
      <c r="AT35" s="162">
        <f t="shared" si="104"/>
        <v>6.9726149999999993</v>
      </c>
      <c r="AU35" s="163">
        <f t="shared" si="116"/>
        <v>1.1000000000000001</v>
      </c>
      <c r="AV35" s="78" t="str">
        <f t="shared" si="119"/>
        <v>5X7</v>
      </c>
      <c r="AW35" s="78">
        <f t="shared" si="119"/>
        <v>35</v>
      </c>
      <c r="AX35" s="35">
        <f t="shared" si="105"/>
        <v>0.97977000000000003</v>
      </c>
      <c r="AY35" s="36">
        <f t="shared" si="105"/>
        <v>1.9595400000000001</v>
      </c>
      <c r="AZ35" s="58">
        <f t="shared" si="105"/>
        <v>2.9393099999999999</v>
      </c>
      <c r="BB35" s="31" t="str">
        <f t="shared" si="106"/>
        <v>4.5X10</v>
      </c>
      <c r="BC35" s="78">
        <f t="shared" si="106"/>
        <v>45</v>
      </c>
      <c r="BD35" s="35">
        <f t="shared" si="106"/>
        <v>1.23838</v>
      </c>
      <c r="BE35" s="36">
        <f t="shared" si="106"/>
        <v>2.4767600000000001</v>
      </c>
      <c r="BF35" s="58">
        <f t="shared" si="106"/>
        <v>3.7151399999999999</v>
      </c>
      <c r="BH35" s="31" t="str">
        <f t="shared" si="107"/>
        <v>4.5X17</v>
      </c>
      <c r="BI35" s="78">
        <f t="shared" si="107"/>
        <v>76.5</v>
      </c>
      <c r="BJ35" s="35">
        <f t="shared" si="107"/>
        <v>1.9836300000000002</v>
      </c>
      <c r="BK35" s="36">
        <f t="shared" si="107"/>
        <v>3.9672600000000005</v>
      </c>
      <c r="BL35" s="58">
        <f t="shared" si="107"/>
        <v>5.9508900000000011</v>
      </c>
      <c r="BN35" s="31" t="str">
        <f t="shared" si="108"/>
        <v>8X10</v>
      </c>
      <c r="BO35" s="78">
        <f t="shared" si="108"/>
        <v>80</v>
      </c>
      <c r="BP35" s="35">
        <f t="shared" si="108"/>
        <v>2.0702000000000003</v>
      </c>
      <c r="BQ35" s="36">
        <f t="shared" si="108"/>
        <v>4.1404000000000005</v>
      </c>
      <c r="BR35" s="58">
        <f t="shared" si="108"/>
        <v>6.2106000000000012</v>
      </c>
      <c r="BT35" s="31" t="str">
        <f t="shared" si="109"/>
        <v>7X17</v>
      </c>
      <c r="BU35" s="78">
        <f t="shared" si="109"/>
        <v>119</v>
      </c>
      <c r="BV35" s="35">
        <f t="shared" si="109"/>
        <v>3.0300600000000002</v>
      </c>
      <c r="BW35" s="36">
        <f t="shared" si="109"/>
        <v>6.0601200000000004</v>
      </c>
      <c r="BX35" s="58">
        <f t="shared" si="109"/>
        <v>9.0901800000000001</v>
      </c>
      <c r="BZ35" s="31" t="str">
        <f t="shared" si="110"/>
        <v>10X12</v>
      </c>
      <c r="CA35" s="78">
        <f t="shared" si="110"/>
        <v>120</v>
      </c>
      <c r="CB35" s="35">
        <f t="shared" si="110"/>
        <v>3.0453500000000004</v>
      </c>
      <c r="CC35" s="36">
        <f t="shared" si="110"/>
        <v>6.0907000000000009</v>
      </c>
      <c r="CD35" s="58">
        <f t="shared" si="110"/>
        <v>9.1360500000000009</v>
      </c>
      <c r="CF35" s="31" t="str">
        <f t="shared" si="111"/>
        <v>11X14</v>
      </c>
      <c r="CG35" s="78">
        <f t="shared" si="111"/>
        <v>154</v>
      </c>
      <c r="CH35" s="35">
        <f t="shared" si="111"/>
        <v>3.8582500000000004</v>
      </c>
      <c r="CI35" s="36">
        <f t="shared" si="111"/>
        <v>7.7165000000000008</v>
      </c>
      <c r="CJ35" s="58">
        <f t="shared" si="111"/>
        <v>11.574750000000002</v>
      </c>
      <c r="CL35" s="31" t="str">
        <f t="shared" si="112"/>
        <v>14X17</v>
      </c>
      <c r="CM35" s="78">
        <f t="shared" si="112"/>
        <v>238</v>
      </c>
      <c r="CN35" s="35">
        <f t="shared" si="112"/>
        <v>5.9076599999999999</v>
      </c>
      <c r="CO35" s="36">
        <f t="shared" si="112"/>
        <v>11.81532</v>
      </c>
      <c r="CP35" s="58">
        <f t="shared" si="112"/>
        <v>17.72298</v>
      </c>
      <c r="CR35" s="208"/>
      <c r="CS35" s="233"/>
      <c r="CT35" s="217"/>
      <c r="CU35" s="232"/>
      <c r="CV35" s="208"/>
      <c r="CW35" s="254"/>
      <c r="CX35" s="208"/>
      <c r="CY35" s="251">
        <f t="shared" si="103"/>
        <v>1</v>
      </c>
      <c r="CZ35" s="250">
        <f t="shared" si="113"/>
        <v>1</v>
      </c>
      <c r="DA35" s="248">
        <f t="shared" si="92"/>
        <v>2</v>
      </c>
      <c r="DB35" s="248">
        <f t="shared" si="93"/>
        <v>1</v>
      </c>
      <c r="DC35" s="264"/>
      <c r="DD35" s="258"/>
      <c r="DE35" s="196"/>
      <c r="DF35" s="203"/>
      <c r="DG35" s="195">
        <f t="shared" si="6"/>
        <v>0</v>
      </c>
      <c r="DH35" s="81">
        <f t="shared" si="7"/>
        <v>0</v>
      </c>
      <c r="DI35" s="81">
        <f t="shared" si="8"/>
        <v>0</v>
      </c>
      <c r="DJ35" s="81">
        <f t="shared" si="9"/>
        <v>0</v>
      </c>
      <c r="DK35" s="82">
        <f t="shared" si="42"/>
        <v>0</v>
      </c>
      <c r="DM35" s="83">
        <f t="shared" si="10"/>
        <v>0</v>
      </c>
      <c r="DN35" s="84">
        <f t="shared" si="11"/>
        <v>0</v>
      </c>
      <c r="DO35" s="84">
        <f t="shared" si="12"/>
        <v>0</v>
      </c>
      <c r="DP35" s="105"/>
      <c r="DQ35" s="85">
        <f t="shared" si="13"/>
        <v>0</v>
      </c>
      <c r="DR35" s="108">
        <f t="shared" si="14"/>
        <v>0</v>
      </c>
      <c r="DS35" s="244">
        <f t="shared" si="43"/>
        <v>0</v>
      </c>
      <c r="DT35" s="113"/>
      <c r="DU35" s="132">
        <f t="shared" si="15"/>
        <v>0</v>
      </c>
      <c r="DV35" s="133">
        <f t="shared" si="16"/>
        <v>0</v>
      </c>
      <c r="DW35" s="128">
        <f t="shared" si="44"/>
        <v>0</v>
      </c>
      <c r="DX35" s="133">
        <f t="shared" si="45"/>
        <v>0</v>
      </c>
      <c r="DY35" s="128">
        <f t="shared" si="46"/>
        <v>0</v>
      </c>
      <c r="DZ35" s="126">
        <f t="shared" si="17"/>
        <v>0</v>
      </c>
      <c r="EA35" s="127">
        <f>IF(DZ35=0,0,IF(DZ35&gt;0,DY35/DZ35))</f>
        <v>0</v>
      </c>
      <c r="EC35" s="132">
        <f t="shared" si="48"/>
        <v>0</v>
      </c>
      <c r="ED35" s="133">
        <v>0.115</v>
      </c>
      <c r="EE35" s="128">
        <f t="shared" si="49"/>
        <v>0</v>
      </c>
      <c r="EF35" s="133">
        <f t="shared" si="18"/>
        <v>0</v>
      </c>
      <c r="EG35" s="128">
        <f t="shared" si="50"/>
        <v>0</v>
      </c>
      <c r="EH35" s="134">
        <f t="shared" si="51"/>
        <v>0</v>
      </c>
      <c r="EI35" s="127">
        <f t="shared" si="52"/>
        <v>0</v>
      </c>
      <c r="EK35" s="132">
        <f t="shared" si="53"/>
        <v>0</v>
      </c>
      <c r="EL35" s="133">
        <f t="shared" si="94"/>
        <v>0.125</v>
      </c>
      <c r="EM35" s="128">
        <f t="shared" si="54"/>
        <v>0</v>
      </c>
      <c r="EN35" s="133">
        <f t="shared" si="19"/>
        <v>0</v>
      </c>
      <c r="EO35" s="128">
        <f t="shared" si="55"/>
        <v>0</v>
      </c>
      <c r="EP35" s="134">
        <f t="shared" si="56"/>
        <v>0</v>
      </c>
      <c r="EQ35" s="127">
        <f t="shared" si="20"/>
        <v>0</v>
      </c>
      <c r="ER35" s="127"/>
      <c r="ES35" s="132">
        <f t="shared" si="57"/>
        <v>0</v>
      </c>
      <c r="ET35" s="133">
        <f t="shared" si="95"/>
        <v>0.13</v>
      </c>
      <c r="EU35" s="128">
        <f t="shared" si="58"/>
        <v>0</v>
      </c>
      <c r="EV35" s="133">
        <f t="shared" si="21"/>
        <v>0</v>
      </c>
      <c r="EW35" s="128">
        <f t="shared" si="59"/>
        <v>0</v>
      </c>
      <c r="EX35" s="134">
        <f t="shared" si="60"/>
        <v>0</v>
      </c>
      <c r="EY35" s="127">
        <f t="shared" si="22"/>
        <v>0</v>
      </c>
      <c r="FA35" s="132">
        <f t="shared" si="61"/>
        <v>0</v>
      </c>
      <c r="FB35" s="133">
        <f t="shared" si="96"/>
        <v>0</v>
      </c>
      <c r="FC35" s="128">
        <f t="shared" si="62"/>
        <v>0</v>
      </c>
      <c r="FD35" s="133">
        <f t="shared" si="23"/>
        <v>0</v>
      </c>
      <c r="FE35" s="128">
        <f t="shared" si="63"/>
        <v>0</v>
      </c>
      <c r="FF35" s="134">
        <f t="shared" si="64"/>
        <v>0</v>
      </c>
      <c r="FG35" s="127">
        <f t="shared" si="24"/>
        <v>0</v>
      </c>
      <c r="FI35" s="132">
        <f t="shared" si="65"/>
        <v>0</v>
      </c>
      <c r="FJ35" s="133">
        <f t="shared" si="97"/>
        <v>0</v>
      </c>
      <c r="FK35" s="128">
        <f t="shared" si="66"/>
        <v>0</v>
      </c>
      <c r="FL35" s="133">
        <f t="shared" si="25"/>
        <v>0</v>
      </c>
      <c r="FM35" s="128">
        <f t="shared" si="67"/>
        <v>0</v>
      </c>
      <c r="FN35" s="134">
        <f t="shared" si="68"/>
        <v>0</v>
      </c>
      <c r="FO35" s="127">
        <f t="shared" si="26"/>
        <v>0</v>
      </c>
      <c r="FQ35" s="132">
        <f t="shared" si="69"/>
        <v>0</v>
      </c>
      <c r="FR35" s="133">
        <f t="shared" si="27"/>
        <v>0</v>
      </c>
      <c r="FS35" s="128">
        <f t="shared" si="70"/>
        <v>0</v>
      </c>
      <c r="FT35" s="133">
        <f t="shared" si="28"/>
        <v>0</v>
      </c>
      <c r="FU35" s="128">
        <f t="shared" si="71"/>
        <v>0</v>
      </c>
      <c r="FV35" s="134">
        <f t="shared" si="72"/>
        <v>0</v>
      </c>
      <c r="FW35" s="127">
        <f t="shared" si="29"/>
        <v>0</v>
      </c>
      <c r="FY35" s="132">
        <f t="shared" si="73"/>
        <v>0</v>
      </c>
      <c r="FZ35" s="133">
        <f t="shared" si="30"/>
        <v>0</v>
      </c>
      <c r="GA35" s="128">
        <f t="shared" si="74"/>
        <v>0</v>
      </c>
      <c r="GB35" s="133">
        <f t="shared" si="31"/>
        <v>0</v>
      </c>
      <c r="GC35" s="128">
        <f t="shared" si="75"/>
        <v>0</v>
      </c>
      <c r="GD35" s="134">
        <f t="shared" si="76"/>
        <v>0</v>
      </c>
      <c r="GE35" s="127">
        <f t="shared" si="32"/>
        <v>0</v>
      </c>
      <c r="GG35" s="132">
        <f t="shared" si="77"/>
        <v>0</v>
      </c>
      <c r="GH35" s="133">
        <f t="shared" si="33"/>
        <v>0</v>
      </c>
      <c r="GI35" s="128">
        <f t="shared" si="78"/>
        <v>0</v>
      </c>
      <c r="GJ35" s="133">
        <f t="shared" si="34"/>
        <v>0</v>
      </c>
      <c r="GK35" s="128">
        <f t="shared" si="79"/>
        <v>0</v>
      </c>
      <c r="GL35" s="134">
        <f t="shared" si="80"/>
        <v>0</v>
      </c>
      <c r="GM35" s="127">
        <f t="shared" si="35"/>
        <v>0</v>
      </c>
    </row>
    <row r="36" spans="7:195" ht="18.75" x14ac:dyDescent="0.3">
      <c r="N36" s="8"/>
      <c r="O36" s="29"/>
      <c r="P36" s="8"/>
      <c r="Q36" s="8"/>
      <c r="R36" s="8"/>
      <c r="AK36" s="47">
        <f t="shared" si="81"/>
        <v>2.262</v>
      </c>
      <c r="AL36" s="46">
        <f t="shared" si="118"/>
        <v>1.131</v>
      </c>
      <c r="AM36" s="46">
        <f t="shared" si="118"/>
        <v>0.754</v>
      </c>
      <c r="AN36" s="111">
        <f t="shared" si="39"/>
        <v>0.5655</v>
      </c>
      <c r="AO36" s="46">
        <f t="shared" si="104"/>
        <v>1.218</v>
      </c>
      <c r="AP36" s="46">
        <f t="shared" si="104"/>
        <v>2.4359999999999999</v>
      </c>
      <c r="AQ36" s="46">
        <f t="shared" si="104"/>
        <v>3.6539999999999999</v>
      </c>
      <c r="AR36" s="46">
        <f t="shared" si="104"/>
        <v>2.3242049999999996</v>
      </c>
      <c r="AS36" s="46">
        <f t="shared" si="104"/>
        <v>4.6484099999999993</v>
      </c>
      <c r="AT36" s="162">
        <f t="shared" si="104"/>
        <v>6.9726149999999993</v>
      </c>
      <c r="AU36" s="163">
        <f t="shared" si="116"/>
        <v>1.1000000000000001</v>
      </c>
      <c r="AV36" s="78" t="str">
        <f t="shared" si="119"/>
        <v>5X7</v>
      </c>
      <c r="AW36" s="78">
        <f t="shared" si="119"/>
        <v>35</v>
      </c>
      <c r="AX36" s="35">
        <f t="shared" si="105"/>
        <v>0.97977000000000003</v>
      </c>
      <c r="AY36" s="36">
        <f t="shared" si="105"/>
        <v>1.9595400000000001</v>
      </c>
      <c r="AZ36" s="58">
        <f t="shared" si="105"/>
        <v>2.9393099999999999</v>
      </c>
      <c r="BB36" s="31" t="str">
        <f t="shared" si="106"/>
        <v>4.5X10</v>
      </c>
      <c r="BC36" s="78">
        <f t="shared" si="106"/>
        <v>45</v>
      </c>
      <c r="BD36" s="35">
        <f t="shared" si="106"/>
        <v>1.23838</v>
      </c>
      <c r="BE36" s="36">
        <f t="shared" si="106"/>
        <v>2.4767600000000001</v>
      </c>
      <c r="BF36" s="58">
        <f t="shared" si="106"/>
        <v>3.7151399999999999</v>
      </c>
      <c r="BH36" s="31" t="str">
        <f t="shared" si="107"/>
        <v>4.5X17</v>
      </c>
      <c r="BI36" s="78">
        <f t="shared" si="107"/>
        <v>76.5</v>
      </c>
      <c r="BJ36" s="35">
        <f t="shared" si="107"/>
        <v>1.9836300000000002</v>
      </c>
      <c r="BK36" s="36">
        <f t="shared" si="107"/>
        <v>3.9672600000000005</v>
      </c>
      <c r="BL36" s="58">
        <f t="shared" si="107"/>
        <v>5.9508900000000011</v>
      </c>
      <c r="BN36" s="31" t="str">
        <f t="shared" si="108"/>
        <v>8X10</v>
      </c>
      <c r="BO36" s="78">
        <f t="shared" si="108"/>
        <v>80</v>
      </c>
      <c r="BP36" s="35">
        <f t="shared" si="108"/>
        <v>2.0702000000000003</v>
      </c>
      <c r="BQ36" s="36">
        <f t="shared" si="108"/>
        <v>4.1404000000000005</v>
      </c>
      <c r="BR36" s="58">
        <f t="shared" si="108"/>
        <v>6.2106000000000012</v>
      </c>
      <c r="BT36" s="31" t="str">
        <f t="shared" si="109"/>
        <v>7X17</v>
      </c>
      <c r="BU36" s="78">
        <f t="shared" si="109"/>
        <v>119</v>
      </c>
      <c r="BV36" s="35">
        <f t="shared" si="109"/>
        <v>3.0300600000000002</v>
      </c>
      <c r="BW36" s="36">
        <f t="shared" si="109"/>
        <v>6.0601200000000004</v>
      </c>
      <c r="BX36" s="58">
        <f t="shared" si="109"/>
        <v>9.0901800000000001</v>
      </c>
      <c r="BZ36" s="31" t="str">
        <f t="shared" si="110"/>
        <v>10X12</v>
      </c>
      <c r="CA36" s="78">
        <f t="shared" si="110"/>
        <v>120</v>
      </c>
      <c r="CB36" s="35">
        <f t="shared" si="110"/>
        <v>3.0453500000000004</v>
      </c>
      <c r="CC36" s="36">
        <f t="shared" si="110"/>
        <v>6.0907000000000009</v>
      </c>
      <c r="CD36" s="58">
        <f t="shared" si="110"/>
        <v>9.1360500000000009</v>
      </c>
      <c r="CF36" s="31" t="str">
        <f t="shared" si="111"/>
        <v>11X14</v>
      </c>
      <c r="CG36" s="78">
        <f t="shared" si="111"/>
        <v>154</v>
      </c>
      <c r="CH36" s="35">
        <f t="shared" si="111"/>
        <v>3.8582500000000004</v>
      </c>
      <c r="CI36" s="36">
        <f t="shared" si="111"/>
        <v>7.7165000000000008</v>
      </c>
      <c r="CJ36" s="58">
        <f t="shared" si="111"/>
        <v>11.574750000000002</v>
      </c>
      <c r="CL36" s="31" t="str">
        <f t="shared" si="112"/>
        <v>14X17</v>
      </c>
      <c r="CM36" s="78">
        <f t="shared" si="112"/>
        <v>238</v>
      </c>
      <c r="CN36" s="35">
        <f t="shared" si="112"/>
        <v>5.9076599999999999</v>
      </c>
      <c r="CO36" s="36">
        <f t="shared" si="112"/>
        <v>11.81532</v>
      </c>
      <c r="CP36" s="58">
        <f t="shared" si="112"/>
        <v>17.72298</v>
      </c>
      <c r="CR36" s="208"/>
      <c r="CS36" s="233"/>
      <c r="CT36" s="217"/>
      <c r="CU36" s="232"/>
      <c r="CV36" s="208"/>
      <c r="CW36" s="254"/>
      <c r="CX36" s="208"/>
      <c r="CY36" s="251">
        <f t="shared" si="103"/>
        <v>1</v>
      </c>
      <c r="CZ36" s="250">
        <f t="shared" si="113"/>
        <v>1</v>
      </c>
      <c r="DA36" s="248">
        <f t="shared" si="92"/>
        <v>2</v>
      </c>
      <c r="DB36" s="248">
        <f t="shared" si="93"/>
        <v>1</v>
      </c>
      <c r="DC36" s="264"/>
      <c r="DD36" s="258"/>
      <c r="DE36" s="196"/>
      <c r="DF36" s="203"/>
      <c r="DG36" s="195">
        <f t="shared" si="6"/>
        <v>0</v>
      </c>
      <c r="DH36" s="81">
        <f t="shared" si="7"/>
        <v>0</v>
      </c>
      <c r="DI36" s="81">
        <f t="shared" si="8"/>
        <v>0</v>
      </c>
      <c r="DJ36" s="81">
        <f t="shared" si="9"/>
        <v>0</v>
      </c>
      <c r="DK36" s="82">
        <f t="shared" si="42"/>
        <v>0</v>
      </c>
      <c r="DM36" s="83">
        <f t="shared" si="10"/>
        <v>0</v>
      </c>
      <c r="DN36" s="84">
        <f t="shared" si="11"/>
        <v>0</v>
      </c>
      <c r="DO36" s="84">
        <f t="shared" si="12"/>
        <v>0</v>
      </c>
      <c r="DP36" s="105"/>
      <c r="DQ36" s="85">
        <f t="shared" si="13"/>
        <v>0</v>
      </c>
      <c r="DR36" s="108">
        <f t="shared" si="14"/>
        <v>0</v>
      </c>
      <c r="DS36" s="244">
        <f t="shared" si="43"/>
        <v>0</v>
      </c>
      <c r="DT36" s="113"/>
      <c r="DU36" s="132">
        <f t="shared" si="15"/>
        <v>0</v>
      </c>
      <c r="DV36" s="133">
        <f t="shared" si="16"/>
        <v>0</v>
      </c>
      <c r="DW36" s="128">
        <f t="shared" si="44"/>
        <v>0</v>
      </c>
      <c r="DX36" s="133">
        <f t="shared" si="45"/>
        <v>0</v>
      </c>
      <c r="DY36" s="128">
        <f t="shared" si="46"/>
        <v>0</v>
      </c>
      <c r="DZ36" s="126">
        <f t="shared" si="17"/>
        <v>0</v>
      </c>
      <c r="EA36" s="127">
        <f t="shared" ref="EA36:EA40" si="120">IF(DZ36=0,0,IF(DZ36&gt;0,DY36/DZ36))</f>
        <v>0</v>
      </c>
      <c r="EC36" s="132">
        <f t="shared" si="48"/>
        <v>0</v>
      </c>
      <c r="ED36" s="133">
        <v>0.115</v>
      </c>
      <c r="EE36" s="128">
        <f t="shared" si="49"/>
        <v>0</v>
      </c>
      <c r="EF36" s="133">
        <f t="shared" si="18"/>
        <v>0</v>
      </c>
      <c r="EG36" s="128">
        <f t="shared" si="50"/>
        <v>0</v>
      </c>
      <c r="EH36" s="134">
        <f t="shared" si="51"/>
        <v>0</v>
      </c>
      <c r="EI36" s="127">
        <f t="shared" si="52"/>
        <v>0</v>
      </c>
      <c r="EK36" s="132">
        <f t="shared" si="53"/>
        <v>0</v>
      </c>
      <c r="EL36" s="133">
        <f t="shared" si="94"/>
        <v>0.125</v>
      </c>
      <c r="EM36" s="128">
        <f t="shared" si="54"/>
        <v>0</v>
      </c>
      <c r="EN36" s="133">
        <f t="shared" si="19"/>
        <v>0</v>
      </c>
      <c r="EO36" s="128">
        <f t="shared" si="55"/>
        <v>0</v>
      </c>
      <c r="EP36" s="134">
        <f t="shared" si="56"/>
        <v>0</v>
      </c>
      <c r="EQ36" s="127">
        <f t="shared" si="20"/>
        <v>0</v>
      </c>
      <c r="ER36" s="127"/>
      <c r="ES36" s="132">
        <f t="shared" si="57"/>
        <v>0</v>
      </c>
      <c r="ET36" s="133">
        <f t="shared" si="95"/>
        <v>0.13</v>
      </c>
      <c r="EU36" s="128">
        <f t="shared" si="58"/>
        <v>0</v>
      </c>
      <c r="EV36" s="133">
        <f t="shared" si="21"/>
        <v>0</v>
      </c>
      <c r="EW36" s="128">
        <f t="shared" si="59"/>
        <v>0</v>
      </c>
      <c r="EX36" s="134">
        <f t="shared" si="60"/>
        <v>0</v>
      </c>
      <c r="EY36" s="127">
        <f t="shared" si="22"/>
        <v>0</v>
      </c>
      <c r="FA36" s="132">
        <f t="shared" si="61"/>
        <v>0</v>
      </c>
      <c r="FB36" s="133">
        <f t="shared" si="96"/>
        <v>0</v>
      </c>
      <c r="FC36" s="128">
        <f t="shared" si="62"/>
        <v>0</v>
      </c>
      <c r="FD36" s="133">
        <f t="shared" si="23"/>
        <v>0</v>
      </c>
      <c r="FE36" s="128">
        <f t="shared" si="63"/>
        <v>0</v>
      </c>
      <c r="FF36" s="134">
        <f t="shared" si="64"/>
        <v>0</v>
      </c>
      <c r="FG36" s="127">
        <f t="shared" si="24"/>
        <v>0</v>
      </c>
      <c r="FI36" s="132">
        <f t="shared" si="65"/>
        <v>0</v>
      </c>
      <c r="FJ36" s="133">
        <f t="shared" si="97"/>
        <v>0</v>
      </c>
      <c r="FK36" s="128">
        <f t="shared" si="66"/>
        <v>0</v>
      </c>
      <c r="FL36" s="133">
        <f t="shared" si="25"/>
        <v>0</v>
      </c>
      <c r="FM36" s="128">
        <f t="shared" si="67"/>
        <v>0</v>
      </c>
      <c r="FN36" s="134">
        <f t="shared" si="68"/>
        <v>0</v>
      </c>
      <c r="FO36" s="127">
        <f t="shared" si="26"/>
        <v>0</v>
      </c>
      <c r="FQ36" s="132">
        <f t="shared" si="69"/>
        <v>0</v>
      </c>
      <c r="FR36" s="133">
        <f t="shared" si="27"/>
        <v>0</v>
      </c>
      <c r="FS36" s="128">
        <f t="shared" si="70"/>
        <v>0</v>
      </c>
      <c r="FT36" s="133">
        <f t="shared" si="28"/>
        <v>0</v>
      </c>
      <c r="FU36" s="128">
        <f t="shared" si="71"/>
        <v>0</v>
      </c>
      <c r="FV36" s="134">
        <f t="shared" si="72"/>
        <v>0</v>
      </c>
      <c r="FW36" s="127">
        <f t="shared" si="29"/>
        <v>0</v>
      </c>
      <c r="FY36" s="132">
        <f t="shared" si="73"/>
        <v>0</v>
      </c>
      <c r="FZ36" s="133">
        <f t="shared" si="30"/>
        <v>0</v>
      </c>
      <c r="GA36" s="128">
        <f t="shared" si="74"/>
        <v>0</v>
      </c>
      <c r="GB36" s="133">
        <f t="shared" si="31"/>
        <v>0</v>
      </c>
      <c r="GC36" s="128">
        <f t="shared" si="75"/>
        <v>0</v>
      </c>
      <c r="GD36" s="134">
        <f t="shared" si="76"/>
        <v>0</v>
      </c>
      <c r="GE36" s="127">
        <f t="shared" si="32"/>
        <v>0</v>
      </c>
      <c r="GG36" s="132">
        <f t="shared" si="77"/>
        <v>0</v>
      </c>
      <c r="GH36" s="133">
        <f t="shared" si="33"/>
        <v>0</v>
      </c>
      <c r="GI36" s="128">
        <f t="shared" si="78"/>
        <v>0</v>
      </c>
      <c r="GJ36" s="133">
        <f t="shared" si="34"/>
        <v>0</v>
      </c>
      <c r="GK36" s="128">
        <f t="shared" si="79"/>
        <v>0</v>
      </c>
      <c r="GL36" s="134">
        <f t="shared" si="80"/>
        <v>0</v>
      </c>
      <c r="GM36" s="127">
        <f t="shared" si="35"/>
        <v>0</v>
      </c>
    </row>
    <row r="37" spans="7:195" ht="18.75" x14ac:dyDescent="0.3">
      <c r="N37" s="8"/>
      <c r="O37" s="29"/>
      <c r="P37" s="8"/>
      <c r="Q37" s="8"/>
      <c r="R37" s="8"/>
      <c r="AK37" s="47">
        <f t="shared" si="81"/>
        <v>2.262</v>
      </c>
      <c r="AL37" s="46">
        <f t="shared" si="118"/>
        <v>1.131</v>
      </c>
      <c r="AM37" s="46">
        <f t="shared" si="118"/>
        <v>0.754</v>
      </c>
      <c r="AN37" s="111">
        <f t="shared" si="39"/>
        <v>0.5655</v>
      </c>
      <c r="AO37" s="46">
        <f t="shared" si="104"/>
        <v>1.218</v>
      </c>
      <c r="AP37" s="46">
        <f t="shared" si="104"/>
        <v>2.4359999999999999</v>
      </c>
      <c r="AQ37" s="46">
        <f t="shared" si="104"/>
        <v>3.6539999999999999</v>
      </c>
      <c r="AR37" s="46">
        <f t="shared" si="104"/>
        <v>2.3242049999999996</v>
      </c>
      <c r="AS37" s="46">
        <f t="shared" si="104"/>
        <v>4.6484099999999993</v>
      </c>
      <c r="AT37" s="162">
        <f t="shared" si="104"/>
        <v>6.9726149999999993</v>
      </c>
      <c r="AU37" s="163">
        <f t="shared" si="116"/>
        <v>1.1000000000000001</v>
      </c>
      <c r="AV37" s="78" t="str">
        <f t="shared" si="119"/>
        <v>5X7</v>
      </c>
      <c r="AW37" s="78">
        <f t="shared" si="119"/>
        <v>35</v>
      </c>
      <c r="AX37" s="35">
        <f t="shared" si="105"/>
        <v>0.97977000000000003</v>
      </c>
      <c r="AY37" s="36">
        <f t="shared" si="105"/>
        <v>1.9595400000000001</v>
      </c>
      <c r="AZ37" s="58">
        <f t="shared" si="105"/>
        <v>2.9393099999999999</v>
      </c>
      <c r="BB37" s="31" t="str">
        <f t="shared" si="106"/>
        <v>4.5X10</v>
      </c>
      <c r="BC37" s="78">
        <f t="shared" si="106"/>
        <v>45</v>
      </c>
      <c r="BD37" s="35">
        <f t="shared" si="106"/>
        <v>1.23838</v>
      </c>
      <c r="BE37" s="36">
        <f t="shared" si="106"/>
        <v>2.4767600000000001</v>
      </c>
      <c r="BF37" s="58">
        <f t="shared" si="106"/>
        <v>3.7151399999999999</v>
      </c>
      <c r="BH37" s="31" t="str">
        <f t="shared" si="107"/>
        <v>4.5X17</v>
      </c>
      <c r="BI37" s="78">
        <f t="shared" si="107"/>
        <v>76.5</v>
      </c>
      <c r="BJ37" s="35">
        <f t="shared" si="107"/>
        <v>1.9836300000000002</v>
      </c>
      <c r="BK37" s="36">
        <f t="shared" si="107"/>
        <v>3.9672600000000005</v>
      </c>
      <c r="BL37" s="58">
        <f t="shared" si="107"/>
        <v>5.9508900000000011</v>
      </c>
      <c r="BN37" s="31" t="str">
        <f t="shared" si="108"/>
        <v>8X10</v>
      </c>
      <c r="BO37" s="78">
        <f t="shared" si="108"/>
        <v>80</v>
      </c>
      <c r="BP37" s="35">
        <f t="shared" si="108"/>
        <v>2.0702000000000003</v>
      </c>
      <c r="BQ37" s="36">
        <f t="shared" si="108"/>
        <v>4.1404000000000005</v>
      </c>
      <c r="BR37" s="58">
        <f t="shared" si="108"/>
        <v>6.2106000000000012</v>
      </c>
      <c r="BT37" s="31" t="str">
        <f t="shared" si="109"/>
        <v>7X17</v>
      </c>
      <c r="BU37" s="78">
        <f t="shared" si="109"/>
        <v>119</v>
      </c>
      <c r="BV37" s="35">
        <f t="shared" si="109"/>
        <v>3.0300600000000002</v>
      </c>
      <c r="BW37" s="36">
        <f t="shared" si="109"/>
        <v>6.0601200000000004</v>
      </c>
      <c r="BX37" s="58">
        <f t="shared" si="109"/>
        <v>9.0901800000000001</v>
      </c>
      <c r="BZ37" s="31" t="str">
        <f t="shared" si="110"/>
        <v>10X12</v>
      </c>
      <c r="CA37" s="78">
        <f t="shared" si="110"/>
        <v>120</v>
      </c>
      <c r="CB37" s="35">
        <f t="shared" si="110"/>
        <v>3.0453500000000004</v>
      </c>
      <c r="CC37" s="36">
        <f t="shared" si="110"/>
        <v>6.0907000000000009</v>
      </c>
      <c r="CD37" s="58">
        <f t="shared" si="110"/>
        <v>9.1360500000000009</v>
      </c>
      <c r="CF37" s="31" t="str">
        <f t="shared" si="111"/>
        <v>11X14</v>
      </c>
      <c r="CG37" s="78">
        <f t="shared" si="111"/>
        <v>154</v>
      </c>
      <c r="CH37" s="35">
        <f t="shared" si="111"/>
        <v>3.8582500000000004</v>
      </c>
      <c r="CI37" s="36">
        <f t="shared" si="111"/>
        <v>7.7165000000000008</v>
      </c>
      <c r="CJ37" s="58">
        <f t="shared" si="111"/>
        <v>11.574750000000002</v>
      </c>
      <c r="CL37" s="31" t="str">
        <f t="shared" si="112"/>
        <v>14X17</v>
      </c>
      <c r="CM37" s="78">
        <f t="shared" si="112"/>
        <v>238</v>
      </c>
      <c r="CN37" s="35">
        <f t="shared" si="112"/>
        <v>5.9076599999999999</v>
      </c>
      <c r="CO37" s="36">
        <f t="shared" si="112"/>
        <v>11.81532</v>
      </c>
      <c r="CP37" s="58">
        <f t="shared" si="112"/>
        <v>17.72298</v>
      </c>
      <c r="CR37" s="208"/>
      <c r="CS37" s="233"/>
      <c r="CT37" s="217"/>
      <c r="CU37" s="232"/>
      <c r="CV37" s="208"/>
      <c r="CW37" s="254"/>
      <c r="CX37" s="208"/>
      <c r="CY37" s="251">
        <f t="shared" si="103"/>
        <v>1</v>
      </c>
      <c r="CZ37" s="250">
        <f t="shared" si="113"/>
        <v>1</v>
      </c>
      <c r="DA37" s="248">
        <f t="shared" si="92"/>
        <v>2</v>
      </c>
      <c r="DB37" s="248">
        <f t="shared" si="93"/>
        <v>1</v>
      </c>
      <c r="DC37" s="264"/>
      <c r="DD37" s="258"/>
      <c r="DE37" s="196"/>
      <c r="DF37" s="203"/>
      <c r="DG37" s="195">
        <f t="shared" si="6"/>
        <v>0</v>
      </c>
      <c r="DH37" s="81">
        <f t="shared" si="7"/>
        <v>0</v>
      </c>
      <c r="DI37" s="81">
        <f t="shared" si="8"/>
        <v>0</v>
      </c>
      <c r="DJ37" s="81">
        <f t="shared" si="9"/>
        <v>0</v>
      </c>
      <c r="DK37" s="82">
        <f t="shared" si="42"/>
        <v>0</v>
      </c>
      <c r="DM37" s="83">
        <f t="shared" si="10"/>
        <v>0</v>
      </c>
      <c r="DN37" s="84">
        <f t="shared" si="11"/>
        <v>0</v>
      </c>
      <c r="DO37" s="84">
        <f t="shared" si="12"/>
        <v>0</v>
      </c>
      <c r="DP37" s="105"/>
      <c r="DQ37" s="85">
        <f t="shared" si="13"/>
        <v>0</v>
      </c>
      <c r="DR37" s="108">
        <f t="shared" si="14"/>
        <v>0</v>
      </c>
      <c r="DS37" s="244">
        <f t="shared" si="43"/>
        <v>0</v>
      </c>
      <c r="DT37" s="113"/>
      <c r="DU37" s="132">
        <f t="shared" si="15"/>
        <v>0</v>
      </c>
      <c r="DV37" s="133">
        <f t="shared" si="16"/>
        <v>0</v>
      </c>
      <c r="DW37" s="128">
        <f t="shared" si="44"/>
        <v>0</v>
      </c>
      <c r="DX37" s="133">
        <f t="shared" si="45"/>
        <v>0</v>
      </c>
      <c r="DY37" s="128">
        <f t="shared" si="46"/>
        <v>0</v>
      </c>
      <c r="DZ37" s="126">
        <f t="shared" si="17"/>
        <v>0</v>
      </c>
      <c r="EA37" s="127">
        <f t="shared" si="120"/>
        <v>0</v>
      </c>
      <c r="EC37" s="132">
        <f t="shared" si="48"/>
        <v>0</v>
      </c>
      <c r="ED37" s="133">
        <v>0.115</v>
      </c>
      <c r="EE37" s="128">
        <f t="shared" si="49"/>
        <v>0</v>
      </c>
      <c r="EF37" s="133">
        <f t="shared" si="18"/>
        <v>0</v>
      </c>
      <c r="EG37" s="128">
        <f t="shared" si="50"/>
        <v>0</v>
      </c>
      <c r="EH37" s="134">
        <f t="shared" si="51"/>
        <v>0</v>
      </c>
      <c r="EI37" s="127">
        <f t="shared" si="52"/>
        <v>0</v>
      </c>
      <c r="EK37" s="132">
        <f t="shared" si="53"/>
        <v>0</v>
      </c>
      <c r="EL37" s="133">
        <f t="shared" si="94"/>
        <v>0.125</v>
      </c>
      <c r="EM37" s="128">
        <f t="shared" si="54"/>
        <v>0</v>
      </c>
      <c r="EN37" s="133">
        <f t="shared" si="19"/>
        <v>0</v>
      </c>
      <c r="EO37" s="128">
        <f t="shared" si="55"/>
        <v>0</v>
      </c>
      <c r="EP37" s="134">
        <f t="shared" si="56"/>
        <v>0</v>
      </c>
      <c r="EQ37" s="127">
        <f t="shared" si="20"/>
        <v>0</v>
      </c>
      <c r="ER37" s="127"/>
      <c r="ES37" s="132">
        <f t="shared" si="57"/>
        <v>0</v>
      </c>
      <c r="ET37" s="133">
        <f t="shared" si="95"/>
        <v>0.13</v>
      </c>
      <c r="EU37" s="128">
        <f t="shared" si="58"/>
        <v>0</v>
      </c>
      <c r="EV37" s="133">
        <f t="shared" si="21"/>
        <v>0</v>
      </c>
      <c r="EW37" s="128">
        <f t="shared" si="59"/>
        <v>0</v>
      </c>
      <c r="EX37" s="134">
        <f t="shared" si="60"/>
        <v>0</v>
      </c>
      <c r="EY37" s="127">
        <f t="shared" si="22"/>
        <v>0</v>
      </c>
      <c r="FA37" s="132">
        <f t="shared" si="61"/>
        <v>0</v>
      </c>
      <c r="FB37" s="133">
        <f t="shared" si="96"/>
        <v>0</v>
      </c>
      <c r="FC37" s="128">
        <f t="shared" si="62"/>
        <v>0</v>
      </c>
      <c r="FD37" s="133">
        <f t="shared" si="23"/>
        <v>0</v>
      </c>
      <c r="FE37" s="128">
        <f t="shared" si="63"/>
        <v>0</v>
      </c>
      <c r="FF37" s="134">
        <f t="shared" si="64"/>
        <v>0</v>
      </c>
      <c r="FG37" s="127">
        <f t="shared" si="24"/>
        <v>0</v>
      </c>
      <c r="FI37" s="132">
        <f t="shared" si="65"/>
        <v>0</v>
      </c>
      <c r="FJ37" s="133">
        <f t="shared" si="97"/>
        <v>0</v>
      </c>
      <c r="FK37" s="128">
        <f t="shared" si="66"/>
        <v>0</v>
      </c>
      <c r="FL37" s="133">
        <f t="shared" si="25"/>
        <v>0</v>
      </c>
      <c r="FM37" s="128">
        <f t="shared" si="67"/>
        <v>0</v>
      </c>
      <c r="FN37" s="134">
        <f t="shared" si="68"/>
        <v>0</v>
      </c>
      <c r="FO37" s="127">
        <f t="shared" si="26"/>
        <v>0</v>
      </c>
      <c r="FQ37" s="132">
        <f t="shared" si="69"/>
        <v>0</v>
      </c>
      <c r="FR37" s="133">
        <f t="shared" si="27"/>
        <v>0</v>
      </c>
      <c r="FS37" s="128">
        <f t="shared" si="70"/>
        <v>0</v>
      </c>
      <c r="FT37" s="133">
        <f t="shared" si="28"/>
        <v>0</v>
      </c>
      <c r="FU37" s="128">
        <f t="shared" si="71"/>
        <v>0</v>
      </c>
      <c r="FV37" s="134">
        <f t="shared" si="72"/>
        <v>0</v>
      </c>
      <c r="FW37" s="127">
        <f t="shared" si="29"/>
        <v>0</v>
      </c>
      <c r="FY37" s="132">
        <f t="shared" si="73"/>
        <v>0</v>
      </c>
      <c r="FZ37" s="133">
        <f t="shared" si="30"/>
        <v>0</v>
      </c>
      <c r="GA37" s="128">
        <f t="shared" si="74"/>
        <v>0</v>
      </c>
      <c r="GB37" s="133">
        <f t="shared" si="31"/>
        <v>0</v>
      </c>
      <c r="GC37" s="128">
        <f t="shared" si="75"/>
        <v>0</v>
      </c>
      <c r="GD37" s="134">
        <f t="shared" si="76"/>
        <v>0</v>
      </c>
      <c r="GE37" s="127">
        <f t="shared" si="32"/>
        <v>0</v>
      </c>
      <c r="GG37" s="132">
        <f t="shared" si="77"/>
        <v>0</v>
      </c>
      <c r="GH37" s="133">
        <f t="shared" si="33"/>
        <v>0</v>
      </c>
      <c r="GI37" s="128">
        <f t="shared" si="78"/>
        <v>0</v>
      </c>
      <c r="GJ37" s="133">
        <f t="shared" si="34"/>
        <v>0</v>
      </c>
      <c r="GK37" s="128">
        <f t="shared" si="79"/>
        <v>0</v>
      </c>
      <c r="GL37" s="134">
        <f t="shared" si="80"/>
        <v>0</v>
      </c>
      <c r="GM37" s="127">
        <f t="shared" si="35"/>
        <v>0</v>
      </c>
    </row>
    <row r="38" spans="7:195" ht="18.75" x14ac:dyDescent="0.3">
      <c r="N38" s="8"/>
      <c r="O38" s="29"/>
      <c r="P38" s="8"/>
      <c r="Q38" s="8"/>
      <c r="R38" s="8"/>
      <c r="AK38" s="47">
        <f t="shared" si="81"/>
        <v>2.262</v>
      </c>
      <c r="AL38" s="46">
        <f t="shared" si="118"/>
        <v>1.131</v>
      </c>
      <c r="AM38" s="46">
        <f t="shared" si="118"/>
        <v>0.754</v>
      </c>
      <c r="AN38" s="111">
        <f t="shared" si="39"/>
        <v>0.5655</v>
      </c>
      <c r="AO38" s="46">
        <f t="shared" si="118"/>
        <v>1.218</v>
      </c>
      <c r="AP38" s="46">
        <f t="shared" si="118"/>
        <v>2.4359999999999999</v>
      </c>
      <c r="AQ38" s="46">
        <f t="shared" si="118"/>
        <v>3.6539999999999999</v>
      </c>
      <c r="AR38" s="46">
        <f t="shared" si="118"/>
        <v>2.3242049999999996</v>
      </c>
      <c r="AS38" s="46">
        <f t="shared" si="118"/>
        <v>4.6484099999999993</v>
      </c>
      <c r="AT38" s="162">
        <f t="shared" si="118"/>
        <v>6.9726149999999993</v>
      </c>
      <c r="AU38" s="163">
        <f t="shared" si="116"/>
        <v>1.1000000000000001</v>
      </c>
      <c r="AV38" s="78" t="str">
        <f t="shared" si="119"/>
        <v>5X7</v>
      </c>
      <c r="AW38" s="78">
        <f t="shared" si="119"/>
        <v>35</v>
      </c>
      <c r="AX38" s="35">
        <f t="shared" si="119"/>
        <v>0.97977000000000003</v>
      </c>
      <c r="AY38" s="36">
        <f t="shared" si="119"/>
        <v>1.9595400000000001</v>
      </c>
      <c r="AZ38" s="58">
        <f t="shared" si="119"/>
        <v>2.9393099999999999</v>
      </c>
      <c r="BB38" s="31" t="str">
        <f t="shared" ref="BB38:BF40" si="121">BB37</f>
        <v>4.5X10</v>
      </c>
      <c r="BC38" s="78">
        <f t="shared" si="121"/>
        <v>45</v>
      </c>
      <c r="BD38" s="35">
        <f t="shared" si="121"/>
        <v>1.23838</v>
      </c>
      <c r="BE38" s="36">
        <f t="shared" si="121"/>
        <v>2.4767600000000001</v>
      </c>
      <c r="BF38" s="58">
        <f t="shared" si="121"/>
        <v>3.7151399999999999</v>
      </c>
      <c r="BH38" s="31" t="str">
        <f t="shared" ref="BH38:BL40" si="122">BH37</f>
        <v>4.5X17</v>
      </c>
      <c r="BI38" s="78">
        <f t="shared" si="122"/>
        <v>76.5</v>
      </c>
      <c r="BJ38" s="35">
        <f t="shared" si="122"/>
        <v>1.9836300000000002</v>
      </c>
      <c r="BK38" s="36">
        <f t="shared" si="122"/>
        <v>3.9672600000000005</v>
      </c>
      <c r="BL38" s="58">
        <f t="shared" si="122"/>
        <v>5.9508900000000011</v>
      </c>
      <c r="BN38" s="31" t="str">
        <f t="shared" ref="BN38:BR40" si="123">BN37</f>
        <v>8X10</v>
      </c>
      <c r="BO38" s="78">
        <f t="shared" si="123"/>
        <v>80</v>
      </c>
      <c r="BP38" s="35">
        <f t="shared" si="123"/>
        <v>2.0702000000000003</v>
      </c>
      <c r="BQ38" s="36">
        <f t="shared" si="123"/>
        <v>4.1404000000000005</v>
      </c>
      <c r="BR38" s="58">
        <f t="shared" si="123"/>
        <v>6.2106000000000012</v>
      </c>
      <c r="BT38" s="31" t="str">
        <f t="shared" ref="BT38:BX40" si="124">BT37</f>
        <v>7X17</v>
      </c>
      <c r="BU38" s="78">
        <f t="shared" si="124"/>
        <v>119</v>
      </c>
      <c r="BV38" s="35">
        <f t="shared" si="124"/>
        <v>3.0300600000000002</v>
      </c>
      <c r="BW38" s="36">
        <f t="shared" si="124"/>
        <v>6.0601200000000004</v>
      </c>
      <c r="BX38" s="58">
        <f t="shared" si="124"/>
        <v>9.0901800000000001</v>
      </c>
      <c r="BZ38" s="31" t="str">
        <f t="shared" ref="BZ38:CD40" si="125">BZ37</f>
        <v>10X12</v>
      </c>
      <c r="CA38" s="78">
        <f t="shared" si="125"/>
        <v>120</v>
      </c>
      <c r="CB38" s="35">
        <f t="shared" si="125"/>
        <v>3.0453500000000004</v>
      </c>
      <c r="CC38" s="36">
        <f t="shared" si="125"/>
        <v>6.0907000000000009</v>
      </c>
      <c r="CD38" s="58">
        <f t="shared" si="125"/>
        <v>9.1360500000000009</v>
      </c>
      <c r="CF38" s="31" t="str">
        <f t="shared" ref="CF38:CJ40" si="126">CF37</f>
        <v>11X14</v>
      </c>
      <c r="CG38" s="78">
        <f t="shared" si="126"/>
        <v>154</v>
      </c>
      <c r="CH38" s="35">
        <f t="shared" si="126"/>
        <v>3.8582500000000004</v>
      </c>
      <c r="CI38" s="36">
        <f t="shared" si="126"/>
        <v>7.7165000000000008</v>
      </c>
      <c r="CJ38" s="58">
        <f t="shared" si="126"/>
        <v>11.574750000000002</v>
      </c>
      <c r="CL38" s="31" t="str">
        <f t="shared" ref="CL38:CP40" si="127">CL37</f>
        <v>14X17</v>
      </c>
      <c r="CM38" s="78">
        <f t="shared" si="127"/>
        <v>238</v>
      </c>
      <c r="CN38" s="35">
        <f t="shared" si="127"/>
        <v>5.9076599999999999</v>
      </c>
      <c r="CO38" s="36">
        <f t="shared" si="127"/>
        <v>11.81532</v>
      </c>
      <c r="CP38" s="58">
        <f t="shared" si="127"/>
        <v>17.72298</v>
      </c>
      <c r="CR38" s="208"/>
      <c r="CS38" s="233"/>
      <c r="CT38" s="217"/>
      <c r="CU38" s="232"/>
      <c r="CV38" s="208"/>
      <c r="CW38" s="254"/>
      <c r="CX38" s="208"/>
      <c r="CY38" s="251">
        <f t="shared" si="103"/>
        <v>1</v>
      </c>
      <c r="CZ38" s="250">
        <f t="shared" ref="CZ38:CZ52" si="128">CZ37</f>
        <v>1</v>
      </c>
      <c r="DA38" s="248">
        <f t="shared" si="92"/>
        <v>2</v>
      </c>
      <c r="DB38" s="248">
        <f t="shared" si="93"/>
        <v>1</v>
      </c>
      <c r="DC38" s="264"/>
      <c r="DD38" s="258"/>
      <c r="DE38" s="196"/>
      <c r="DF38" s="203"/>
      <c r="DG38" s="195">
        <f t="shared" si="6"/>
        <v>0</v>
      </c>
      <c r="DH38" s="81">
        <f t="shared" si="7"/>
        <v>0</v>
      </c>
      <c r="DI38" s="81">
        <f t="shared" si="8"/>
        <v>0</v>
      </c>
      <c r="DJ38" s="81">
        <f t="shared" si="9"/>
        <v>0</v>
      </c>
      <c r="DK38" s="82">
        <f t="shared" si="42"/>
        <v>0</v>
      </c>
      <c r="DM38" s="83">
        <f t="shared" si="10"/>
        <v>0</v>
      </c>
      <c r="DN38" s="84">
        <f t="shared" si="11"/>
        <v>0</v>
      </c>
      <c r="DO38" s="84">
        <f t="shared" si="12"/>
        <v>0</v>
      </c>
      <c r="DP38" s="105"/>
      <c r="DQ38" s="85">
        <f t="shared" si="13"/>
        <v>0</v>
      </c>
      <c r="DR38" s="108">
        <f t="shared" si="14"/>
        <v>0</v>
      </c>
      <c r="DS38" s="244">
        <f t="shared" si="43"/>
        <v>0</v>
      </c>
      <c r="DT38" s="113"/>
      <c r="DU38" s="132">
        <f t="shared" si="15"/>
        <v>0</v>
      </c>
      <c r="DV38" s="133">
        <f t="shared" si="16"/>
        <v>0</v>
      </c>
      <c r="DW38" s="128">
        <f t="shared" si="44"/>
        <v>0</v>
      </c>
      <c r="DX38" s="133">
        <f t="shared" si="45"/>
        <v>0</v>
      </c>
      <c r="DY38" s="128">
        <f t="shared" si="46"/>
        <v>0</v>
      </c>
      <c r="DZ38" s="126">
        <f t="shared" si="17"/>
        <v>0</v>
      </c>
      <c r="EA38" s="127">
        <f t="shared" si="120"/>
        <v>0</v>
      </c>
      <c r="EC38" s="132">
        <f t="shared" si="48"/>
        <v>0</v>
      </c>
      <c r="ED38" s="133">
        <v>0.115</v>
      </c>
      <c r="EE38" s="128">
        <f t="shared" si="49"/>
        <v>0</v>
      </c>
      <c r="EF38" s="133">
        <f t="shared" si="18"/>
        <v>0</v>
      </c>
      <c r="EG38" s="128">
        <f t="shared" si="50"/>
        <v>0</v>
      </c>
      <c r="EH38" s="134">
        <f t="shared" si="51"/>
        <v>0</v>
      </c>
      <c r="EI38" s="127">
        <f t="shared" si="52"/>
        <v>0</v>
      </c>
      <c r="EK38" s="132">
        <f t="shared" si="53"/>
        <v>0</v>
      </c>
      <c r="EL38" s="133">
        <f t="shared" si="94"/>
        <v>0.125</v>
      </c>
      <c r="EM38" s="128">
        <f t="shared" si="54"/>
        <v>0</v>
      </c>
      <c r="EN38" s="133">
        <f t="shared" si="19"/>
        <v>0</v>
      </c>
      <c r="EO38" s="128">
        <f t="shared" si="55"/>
        <v>0</v>
      </c>
      <c r="EP38" s="134">
        <f t="shared" si="56"/>
        <v>0</v>
      </c>
      <c r="EQ38" s="127">
        <f t="shared" si="20"/>
        <v>0</v>
      </c>
      <c r="ER38" s="127"/>
      <c r="ES38" s="132">
        <f t="shared" si="57"/>
        <v>0</v>
      </c>
      <c r="ET38" s="133">
        <f t="shared" si="95"/>
        <v>0.13</v>
      </c>
      <c r="EU38" s="128">
        <f t="shared" si="58"/>
        <v>0</v>
      </c>
      <c r="EV38" s="133">
        <f t="shared" si="21"/>
        <v>0</v>
      </c>
      <c r="EW38" s="128">
        <f t="shared" si="59"/>
        <v>0</v>
      </c>
      <c r="EX38" s="134">
        <f t="shared" si="60"/>
        <v>0</v>
      </c>
      <c r="EY38" s="127">
        <f t="shared" si="22"/>
        <v>0</v>
      </c>
      <c r="FA38" s="132">
        <f t="shared" si="61"/>
        <v>0</v>
      </c>
      <c r="FB38" s="133">
        <f t="shared" si="96"/>
        <v>0</v>
      </c>
      <c r="FC38" s="128">
        <f t="shared" si="62"/>
        <v>0</v>
      </c>
      <c r="FD38" s="133">
        <f t="shared" si="23"/>
        <v>0</v>
      </c>
      <c r="FE38" s="128">
        <f t="shared" si="63"/>
        <v>0</v>
      </c>
      <c r="FF38" s="134">
        <f t="shared" si="64"/>
        <v>0</v>
      </c>
      <c r="FG38" s="127">
        <f t="shared" si="24"/>
        <v>0</v>
      </c>
      <c r="FI38" s="132">
        <f t="shared" si="65"/>
        <v>0</v>
      </c>
      <c r="FJ38" s="133">
        <f t="shared" si="97"/>
        <v>0</v>
      </c>
      <c r="FK38" s="128">
        <f t="shared" si="66"/>
        <v>0</v>
      </c>
      <c r="FL38" s="133">
        <f t="shared" si="25"/>
        <v>0</v>
      </c>
      <c r="FM38" s="128">
        <f t="shared" si="67"/>
        <v>0</v>
      </c>
      <c r="FN38" s="134">
        <f t="shared" si="68"/>
        <v>0</v>
      </c>
      <c r="FO38" s="127">
        <f t="shared" si="26"/>
        <v>0</v>
      </c>
      <c r="FQ38" s="132">
        <f t="shared" si="69"/>
        <v>0</v>
      </c>
      <c r="FR38" s="133">
        <f t="shared" si="27"/>
        <v>0</v>
      </c>
      <c r="FS38" s="128">
        <f t="shared" si="70"/>
        <v>0</v>
      </c>
      <c r="FT38" s="133">
        <f t="shared" si="28"/>
        <v>0</v>
      </c>
      <c r="FU38" s="128">
        <f t="shared" si="71"/>
        <v>0</v>
      </c>
      <c r="FV38" s="134">
        <f t="shared" si="72"/>
        <v>0</v>
      </c>
      <c r="FW38" s="127">
        <f t="shared" si="29"/>
        <v>0</v>
      </c>
      <c r="FY38" s="132">
        <f t="shared" si="73"/>
        <v>0</v>
      </c>
      <c r="FZ38" s="133">
        <f t="shared" si="30"/>
        <v>0</v>
      </c>
      <c r="GA38" s="128">
        <f t="shared" si="74"/>
        <v>0</v>
      </c>
      <c r="GB38" s="133">
        <f t="shared" si="31"/>
        <v>0</v>
      </c>
      <c r="GC38" s="128">
        <f t="shared" si="75"/>
        <v>0</v>
      </c>
      <c r="GD38" s="134">
        <f t="shared" si="76"/>
        <v>0</v>
      </c>
      <c r="GE38" s="127">
        <f t="shared" si="32"/>
        <v>0</v>
      </c>
      <c r="GG38" s="132">
        <f t="shared" si="77"/>
        <v>0</v>
      </c>
      <c r="GH38" s="133">
        <f t="shared" si="33"/>
        <v>0</v>
      </c>
      <c r="GI38" s="128">
        <f t="shared" si="78"/>
        <v>0</v>
      </c>
      <c r="GJ38" s="133">
        <f t="shared" si="34"/>
        <v>0</v>
      </c>
      <c r="GK38" s="128">
        <f t="shared" si="79"/>
        <v>0</v>
      </c>
      <c r="GL38" s="134">
        <f t="shared" si="80"/>
        <v>0</v>
      </c>
      <c r="GM38" s="127">
        <f t="shared" si="35"/>
        <v>0</v>
      </c>
    </row>
    <row r="39" spans="7:195" ht="18.75" x14ac:dyDescent="0.3">
      <c r="N39" s="8"/>
      <c r="O39" s="29"/>
      <c r="P39" s="8"/>
      <c r="Q39" s="8"/>
      <c r="R39" s="8"/>
      <c r="AK39" s="47">
        <f t="shared" si="81"/>
        <v>2.262</v>
      </c>
      <c r="AL39" s="46">
        <f t="shared" si="118"/>
        <v>1.131</v>
      </c>
      <c r="AM39" s="46">
        <f t="shared" si="118"/>
        <v>0.754</v>
      </c>
      <c r="AN39" s="111">
        <f t="shared" si="39"/>
        <v>0.5655</v>
      </c>
      <c r="AO39" s="46">
        <f t="shared" si="118"/>
        <v>1.218</v>
      </c>
      <c r="AP39" s="46">
        <f t="shared" si="118"/>
        <v>2.4359999999999999</v>
      </c>
      <c r="AQ39" s="46">
        <f t="shared" si="118"/>
        <v>3.6539999999999999</v>
      </c>
      <c r="AR39" s="46">
        <f t="shared" si="118"/>
        <v>2.3242049999999996</v>
      </c>
      <c r="AS39" s="46">
        <f t="shared" si="118"/>
        <v>4.6484099999999993</v>
      </c>
      <c r="AT39" s="162">
        <f t="shared" si="118"/>
        <v>6.9726149999999993</v>
      </c>
      <c r="AU39" s="163">
        <f t="shared" si="116"/>
        <v>1.1000000000000001</v>
      </c>
      <c r="AV39" s="78" t="str">
        <f t="shared" si="119"/>
        <v>5X7</v>
      </c>
      <c r="AW39" s="78">
        <f t="shared" si="119"/>
        <v>35</v>
      </c>
      <c r="AX39" s="35">
        <f t="shared" si="119"/>
        <v>0.97977000000000003</v>
      </c>
      <c r="AY39" s="36">
        <f t="shared" si="119"/>
        <v>1.9595400000000001</v>
      </c>
      <c r="AZ39" s="58">
        <f t="shared" si="119"/>
        <v>2.9393099999999999</v>
      </c>
      <c r="BB39" s="31" t="str">
        <f t="shared" si="121"/>
        <v>4.5X10</v>
      </c>
      <c r="BC39" s="78">
        <f t="shared" si="121"/>
        <v>45</v>
      </c>
      <c r="BD39" s="35">
        <f t="shared" si="121"/>
        <v>1.23838</v>
      </c>
      <c r="BE39" s="36">
        <f t="shared" si="121"/>
        <v>2.4767600000000001</v>
      </c>
      <c r="BF39" s="58">
        <f t="shared" si="121"/>
        <v>3.7151399999999999</v>
      </c>
      <c r="BH39" s="31" t="str">
        <f t="shared" si="122"/>
        <v>4.5X17</v>
      </c>
      <c r="BI39" s="78">
        <f t="shared" si="122"/>
        <v>76.5</v>
      </c>
      <c r="BJ39" s="35">
        <f t="shared" si="122"/>
        <v>1.9836300000000002</v>
      </c>
      <c r="BK39" s="36">
        <f t="shared" si="122"/>
        <v>3.9672600000000005</v>
      </c>
      <c r="BL39" s="58">
        <f t="shared" si="122"/>
        <v>5.9508900000000011</v>
      </c>
      <c r="BN39" s="31" t="str">
        <f t="shared" si="123"/>
        <v>8X10</v>
      </c>
      <c r="BO39" s="78">
        <f t="shared" si="123"/>
        <v>80</v>
      </c>
      <c r="BP39" s="35">
        <f t="shared" si="123"/>
        <v>2.0702000000000003</v>
      </c>
      <c r="BQ39" s="36">
        <f t="shared" si="123"/>
        <v>4.1404000000000005</v>
      </c>
      <c r="BR39" s="58">
        <f t="shared" si="123"/>
        <v>6.2106000000000012</v>
      </c>
      <c r="BT39" s="31" t="str">
        <f t="shared" si="124"/>
        <v>7X17</v>
      </c>
      <c r="BU39" s="78">
        <f t="shared" si="124"/>
        <v>119</v>
      </c>
      <c r="BV39" s="35">
        <f t="shared" si="124"/>
        <v>3.0300600000000002</v>
      </c>
      <c r="BW39" s="36">
        <f t="shared" si="124"/>
        <v>6.0601200000000004</v>
      </c>
      <c r="BX39" s="58">
        <f t="shared" si="124"/>
        <v>9.0901800000000001</v>
      </c>
      <c r="BZ39" s="31" t="str">
        <f t="shared" si="125"/>
        <v>10X12</v>
      </c>
      <c r="CA39" s="78">
        <f t="shared" si="125"/>
        <v>120</v>
      </c>
      <c r="CB39" s="35">
        <f t="shared" si="125"/>
        <v>3.0453500000000004</v>
      </c>
      <c r="CC39" s="36">
        <f t="shared" si="125"/>
        <v>6.0907000000000009</v>
      </c>
      <c r="CD39" s="58">
        <f t="shared" si="125"/>
        <v>9.1360500000000009</v>
      </c>
      <c r="CF39" s="31" t="str">
        <f t="shared" si="126"/>
        <v>11X14</v>
      </c>
      <c r="CG39" s="78">
        <f t="shared" si="126"/>
        <v>154</v>
      </c>
      <c r="CH39" s="35">
        <f t="shared" si="126"/>
        <v>3.8582500000000004</v>
      </c>
      <c r="CI39" s="36">
        <f t="shared" si="126"/>
        <v>7.7165000000000008</v>
      </c>
      <c r="CJ39" s="58">
        <f t="shared" si="126"/>
        <v>11.574750000000002</v>
      </c>
      <c r="CL39" s="31" t="str">
        <f t="shared" si="127"/>
        <v>14X17</v>
      </c>
      <c r="CM39" s="78">
        <f t="shared" si="127"/>
        <v>238</v>
      </c>
      <c r="CN39" s="35">
        <f t="shared" si="127"/>
        <v>5.9076599999999999</v>
      </c>
      <c r="CO39" s="36">
        <f t="shared" si="127"/>
        <v>11.81532</v>
      </c>
      <c r="CP39" s="58">
        <f t="shared" si="127"/>
        <v>17.72298</v>
      </c>
      <c r="CR39" s="208"/>
      <c r="CS39" s="233"/>
      <c r="CT39" s="217"/>
      <c r="CU39" s="232"/>
      <c r="CV39" s="208"/>
      <c r="CW39" s="254"/>
      <c r="CX39" s="208"/>
      <c r="CY39" s="251">
        <f t="shared" si="103"/>
        <v>1</v>
      </c>
      <c r="CZ39" s="250">
        <f t="shared" si="128"/>
        <v>1</v>
      </c>
      <c r="DA39" s="248">
        <f t="shared" si="92"/>
        <v>2</v>
      </c>
      <c r="DB39" s="248">
        <f t="shared" si="93"/>
        <v>1</v>
      </c>
      <c r="DC39" s="264"/>
      <c r="DD39" s="258"/>
      <c r="DE39" s="196"/>
      <c r="DF39" s="203"/>
      <c r="DG39" s="195">
        <f t="shared" si="6"/>
        <v>0</v>
      </c>
      <c r="DH39" s="81">
        <f t="shared" si="7"/>
        <v>0</v>
      </c>
      <c r="DI39" s="81">
        <f t="shared" si="8"/>
        <v>0</v>
      </c>
      <c r="DJ39" s="81">
        <f t="shared" si="9"/>
        <v>0</v>
      </c>
      <c r="DK39" s="82">
        <f t="shared" si="42"/>
        <v>0</v>
      </c>
      <c r="DM39" s="83">
        <f t="shared" si="10"/>
        <v>0</v>
      </c>
      <c r="DN39" s="84">
        <f t="shared" si="11"/>
        <v>0</v>
      </c>
      <c r="DO39" s="84">
        <f t="shared" si="12"/>
        <v>0</v>
      </c>
      <c r="DP39" s="105"/>
      <c r="DQ39" s="85">
        <f t="shared" si="13"/>
        <v>0</v>
      </c>
      <c r="DR39" s="108">
        <f t="shared" si="14"/>
        <v>0</v>
      </c>
      <c r="DS39" s="244">
        <f t="shared" si="43"/>
        <v>0</v>
      </c>
      <c r="DT39" s="113"/>
      <c r="DU39" s="132">
        <f t="shared" si="15"/>
        <v>0</v>
      </c>
      <c r="DV39" s="133">
        <f t="shared" si="16"/>
        <v>0</v>
      </c>
      <c r="DW39" s="128">
        <f t="shared" si="44"/>
        <v>0</v>
      </c>
      <c r="DX39" s="133">
        <f t="shared" si="45"/>
        <v>0</v>
      </c>
      <c r="DY39" s="128">
        <f t="shared" si="46"/>
        <v>0</v>
      </c>
      <c r="DZ39" s="126">
        <f t="shared" si="17"/>
        <v>0</v>
      </c>
      <c r="EA39" s="127">
        <f t="shared" si="120"/>
        <v>0</v>
      </c>
      <c r="EC39" s="132">
        <f t="shared" si="48"/>
        <v>0</v>
      </c>
      <c r="ED39" s="133">
        <v>0.115</v>
      </c>
      <c r="EE39" s="128">
        <f t="shared" si="49"/>
        <v>0</v>
      </c>
      <c r="EF39" s="133">
        <f t="shared" si="18"/>
        <v>0</v>
      </c>
      <c r="EG39" s="128">
        <f t="shared" si="50"/>
        <v>0</v>
      </c>
      <c r="EH39" s="134">
        <f t="shared" si="51"/>
        <v>0</v>
      </c>
      <c r="EI39" s="127">
        <f t="shared" si="52"/>
        <v>0</v>
      </c>
      <c r="EK39" s="132">
        <f t="shared" si="53"/>
        <v>0</v>
      </c>
      <c r="EL39" s="133">
        <f t="shared" si="94"/>
        <v>0.125</v>
      </c>
      <c r="EM39" s="128">
        <f t="shared" si="54"/>
        <v>0</v>
      </c>
      <c r="EN39" s="133">
        <f t="shared" si="19"/>
        <v>0</v>
      </c>
      <c r="EO39" s="128">
        <f t="shared" si="55"/>
        <v>0</v>
      </c>
      <c r="EP39" s="134">
        <f t="shared" si="56"/>
        <v>0</v>
      </c>
      <c r="EQ39" s="127">
        <f t="shared" si="20"/>
        <v>0</v>
      </c>
      <c r="ER39" s="127"/>
      <c r="ES39" s="132">
        <f t="shared" si="57"/>
        <v>0</v>
      </c>
      <c r="ET39" s="133">
        <f t="shared" si="95"/>
        <v>0.13</v>
      </c>
      <c r="EU39" s="128">
        <f t="shared" si="58"/>
        <v>0</v>
      </c>
      <c r="EV39" s="133">
        <f t="shared" si="21"/>
        <v>0</v>
      </c>
      <c r="EW39" s="128">
        <f t="shared" si="59"/>
        <v>0</v>
      </c>
      <c r="EX39" s="134">
        <f t="shared" si="60"/>
        <v>0</v>
      </c>
      <c r="EY39" s="127">
        <f t="shared" si="22"/>
        <v>0</v>
      </c>
      <c r="FA39" s="132">
        <f t="shared" si="61"/>
        <v>0</v>
      </c>
      <c r="FB39" s="133">
        <f t="shared" si="96"/>
        <v>0</v>
      </c>
      <c r="FC39" s="128">
        <f t="shared" si="62"/>
        <v>0</v>
      </c>
      <c r="FD39" s="133">
        <f t="shared" si="23"/>
        <v>0</v>
      </c>
      <c r="FE39" s="128">
        <f t="shared" si="63"/>
        <v>0</v>
      </c>
      <c r="FF39" s="134">
        <f t="shared" si="64"/>
        <v>0</v>
      </c>
      <c r="FG39" s="127">
        <f t="shared" si="24"/>
        <v>0</v>
      </c>
      <c r="FI39" s="132">
        <f t="shared" si="65"/>
        <v>0</v>
      </c>
      <c r="FJ39" s="133">
        <f t="shared" si="97"/>
        <v>0</v>
      </c>
      <c r="FK39" s="128">
        <f t="shared" si="66"/>
        <v>0</v>
      </c>
      <c r="FL39" s="133">
        <f t="shared" si="25"/>
        <v>0</v>
      </c>
      <c r="FM39" s="128">
        <f t="shared" si="67"/>
        <v>0</v>
      </c>
      <c r="FN39" s="134">
        <f t="shared" si="68"/>
        <v>0</v>
      </c>
      <c r="FO39" s="127">
        <f t="shared" si="26"/>
        <v>0</v>
      </c>
      <c r="FQ39" s="132">
        <f t="shared" si="69"/>
        <v>0</v>
      </c>
      <c r="FR39" s="133">
        <f t="shared" si="27"/>
        <v>0</v>
      </c>
      <c r="FS39" s="128">
        <f t="shared" si="70"/>
        <v>0</v>
      </c>
      <c r="FT39" s="133">
        <f t="shared" si="28"/>
        <v>0</v>
      </c>
      <c r="FU39" s="128">
        <f t="shared" si="71"/>
        <v>0</v>
      </c>
      <c r="FV39" s="134">
        <f t="shared" si="72"/>
        <v>0</v>
      </c>
      <c r="FW39" s="127">
        <f t="shared" si="29"/>
        <v>0</v>
      </c>
      <c r="FY39" s="132">
        <f t="shared" si="73"/>
        <v>0</v>
      </c>
      <c r="FZ39" s="133">
        <f t="shared" si="30"/>
        <v>0</v>
      </c>
      <c r="GA39" s="128">
        <f t="shared" si="74"/>
        <v>0</v>
      </c>
      <c r="GB39" s="133">
        <f t="shared" si="31"/>
        <v>0</v>
      </c>
      <c r="GC39" s="128">
        <f t="shared" si="75"/>
        <v>0</v>
      </c>
      <c r="GD39" s="134">
        <f t="shared" si="76"/>
        <v>0</v>
      </c>
      <c r="GE39" s="127">
        <f t="shared" si="32"/>
        <v>0</v>
      </c>
      <c r="GG39" s="132">
        <f t="shared" si="77"/>
        <v>0</v>
      </c>
      <c r="GH39" s="133">
        <f t="shared" si="33"/>
        <v>0</v>
      </c>
      <c r="GI39" s="128">
        <f t="shared" si="78"/>
        <v>0</v>
      </c>
      <c r="GJ39" s="133">
        <f t="shared" si="34"/>
        <v>0</v>
      </c>
      <c r="GK39" s="128">
        <f t="shared" si="79"/>
        <v>0</v>
      </c>
      <c r="GL39" s="134">
        <f t="shared" si="80"/>
        <v>0</v>
      </c>
      <c r="GM39" s="127">
        <f t="shared" si="35"/>
        <v>0</v>
      </c>
    </row>
    <row r="40" spans="7:195" ht="18.75" x14ac:dyDescent="0.3">
      <c r="N40" s="8"/>
      <c r="O40" s="29"/>
      <c r="P40" s="8"/>
      <c r="Q40" s="8"/>
      <c r="R40" s="8"/>
      <c r="AK40" s="47">
        <f t="shared" si="81"/>
        <v>2.262</v>
      </c>
      <c r="AL40" s="46">
        <f t="shared" si="118"/>
        <v>1.131</v>
      </c>
      <c r="AM40" s="46">
        <f t="shared" si="118"/>
        <v>0.754</v>
      </c>
      <c r="AN40" s="111">
        <f t="shared" si="39"/>
        <v>0.5655</v>
      </c>
      <c r="AO40" s="46">
        <f t="shared" si="118"/>
        <v>1.218</v>
      </c>
      <c r="AP40" s="46">
        <f t="shared" si="118"/>
        <v>2.4359999999999999</v>
      </c>
      <c r="AQ40" s="46">
        <f t="shared" si="118"/>
        <v>3.6539999999999999</v>
      </c>
      <c r="AR40" s="46">
        <f t="shared" si="118"/>
        <v>2.3242049999999996</v>
      </c>
      <c r="AS40" s="46">
        <f t="shared" si="118"/>
        <v>4.6484099999999993</v>
      </c>
      <c r="AT40" s="162">
        <f t="shared" si="118"/>
        <v>6.9726149999999993</v>
      </c>
      <c r="AU40" s="163">
        <f t="shared" si="116"/>
        <v>1.1000000000000001</v>
      </c>
      <c r="AV40" s="78" t="str">
        <f t="shared" si="119"/>
        <v>5X7</v>
      </c>
      <c r="AW40" s="78">
        <f t="shared" si="119"/>
        <v>35</v>
      </c>
      <c r="AX40" s="35">
        <f t="shared" si="119"/>
        <v>0.97977000000000003</v>
      </c>
      <c r="AY40" s="36">
        <f t="shared" si="119"/>
        <v>1.9595400000000001</v>
      </c>
      <c r="AZ40" s="58">
        <f t="shared" si="119"/>
        <v>2.9393099999999999</v>
      </c>
      <c r="BB40" s="31" t="str">
        <f t="shared" si="121"/>
        <v>4.5X10</v>
      </c>
      <c r="BC40" s="78">
        <f t="shared" si="121"/>
        <v>45</v>
      </c>
      <c r="BD40" s="35">
        <f t="shared" si="121"/>
        <v>1.23838</v>
      </c>
      <c r="BE40" s="36">
        <f t="shared" si="121"/>
        <v>2.4767600000000001</v>
      </c>
      <c r="BF40" s="58">
        <f t="shared" si="121"/>
        <v>3.7151399999999999</v>
      </c>
      <c r="BH40" s="31" t="str">
        <f t="shared" si="122"/>
        <v>4.5X17</v>
      </c>
      <c r="BI40" s="78">
        <f t="shared" si="122"/>
        <v>76.5</v>
      </c>
      <c r="BJ40" s="35">
        <f t="shared" si="122"/>
        <v>1.9836300000000002</v>
      </c>
      <c r="BK40" s="36">
        <f t="shared" si="122"/>
        <v>3.9672600000000005</v>
      </c>
      <c r="BL40" s="58">
        <f t="shared" si="122"/>
        <v>5.9508900000000011</v>
      </c>
      <c r="BN40" s="31" t="str">
        <f t="shared" si="123"/>
        <v>8X10</v>
      </c>
      <c r="BO40" s="78">
        <f t="shared" si="123"/>
        <v>80</v>
      </c>
      <c r="BP40" s="35">
        <f t="shared" si="123"/>
        <v>2.0702000000000003</v>
      </c>
      <c r="BQ40" s="36">
        <f t="shared" si="123"/>
        <v>4.1404000000000005</v>
      </c>
      <c r="BR40" s="58">
        <f t="shared" si="123"/>
        <v>6.2106000000000012</v>
      </c>
      <c r="BT40" s="31" t="str">
        <f t="shared" si="124"/>
        <v>7X17</v>
      </c>
      <c r="BU40" s="78">
        <f t="shared" si="124"/>
        <v>119</v>
      </c>
      <c r="BV40" s="35">
        <f t="shared" si="124"/>
        <v>3.0300600000000002</v>
      </c>
      <c r="BW40" s="36">
        <f t="shared" si="124"/>
        <v>6.0601200000000004</v>
      </c>
      <c r="BX40" s="58">
        <f t="shared" si="124"/>
        <v>9.0901800000000001</v>
      </c>
      <c r="BZ40" s="31" t="str">
        <f t="shared" si="125"/>
        <v>10X12</v>
      </c>
      <c r="CA40" s="78">
        <f t="shared" si="125"/>
        <v>120</v>
      </c>
      <c r="CB40" s="35">
        <f t="shared" si="125"/>
        <v>3.0453500000000004</v>
      </c>
      <c r="CC40" s="36">
        <f t="shared" si="125"/>
        <v>6.0907000000000009</v>
      </c>
      <c r="CD40" s="58">
        <f t="shared" si="125"/>
        <v>9.1360500000000009</v>
      </c>
      <c r="CF40" s="31" t="str">
        <f t="shared" si="126"/>
        <v>11X14</v>
      </c>
      <c r="CG40" s="78">
        <f t="shared" si="126"/>
        <v>154</v>
      </c>
      <c r="CH40" s="35">
        <f t="shared" si="126"/>
        <v>3.8582500000000004</v>
      </c>
      <c r="CI40" s="36">
        <f t="shared" si="126"/>
        <v>7.7165000000000008</v>
      </c>
      <c r="CJ40" s="58">
        <f t="shared" si="126"/>
        <v>11.574750000000002</v>
      </c>
      <c r="CL40" s="31" t="str">
        <f t="shared" si="127"/>
        <v>14X17</v>
      </c>
      <c r="CM40" s="78">
        <f t="shared" si="127"/>
        <v>238</v>
      </c>
      <c r="CN40" s="35">
        <f t="shared" si="127"/>
        <v>5.9076599999999999</v>
      </c>
      <c r="CO40" s="36">
        <f t="shared" si="127"/>
        <v>11.81532</v>
      </c>
      <c r="CP40" s="58">
        <f t="shared" si="127"/>
        <v>17.72298</v>
      </c>
      <c r="CR40" s="208"/>
      <c r="CS40" s="233"/>
      <c r="CT40" s="217"/>
      <c r="CU40" s="232"/>
      <c r="CV40" s="208"/>
      <c r="CW40" s="254"/>
      <c r="CX40" s="208"/>
      <c r="CY40" s="251">
        <f t="shared" si="103"/>
        <v>1</v>
      </c>
      <c r="CZ40" s="250">
        <f t="shared" si="128"/>
        <v>1</v>
      </c>
      <c r="DA40" s="248">
        <f t="shared" si="92"/>
        <v>2</v>
      </c>
      <c r="DB40" s="248">
        <f t="shared" si="93"/>
        <v>1</v>
      </c>
      <c r="DC40" s="264"/>
      <c r="DD40" s="258"/>
      <c r="DE40" s="196"/>
      <c r="DF40" s="203"/>
      <c r="DG40" s="195">
        <f t="shared" si="6"/>
        <v>0</v>
      </c>
      <c r="DH40" s="81">
        <f t="shared" si="7"/>
        <v>0</v>
      </c>
      <c r="DI40" s="81">
        <f t="shared" si="8"/>
        <v>0</v>
      </c>
      <c r="DJ40" s="81">
        <f t="shared" si="9"/>
        <v>0</v>
      </c>
      <c r="DK40" s="82">
        <f t="shared" si="42"/>
        <v>0</v>
      </c>
      <c r="DM40" s="83">
        <f t="shared" si="10"/>
        <v>0</v>
      </c>
      <c r="DN40" s="84">
        <f t="shared" si="11"/>
        <v>0</v>
      </c>
      <c r="DO40" s="84">
        <f t="shared" si="12"/>
        <v>0</v>
      </c>
      <c r="DP40" s="105"/>
      <c r="DQ40" s="85">
        <f t="shared" si="13"/>
        <v>0</v>
      </c>
      <c r="DR40" s="108">
        <f t="shared" si="14"/>
        <v>0</v>
      </c>
      <c r="DS40" s="244">
        <f t="shared" si="43"/>
        <v>0</v>
      </c>
      <c r="DT40" s="113"/>
      <c r="DU40" s="132">
        <f t="shared" si="15"/>
        <v>0</v>
      </c>
      <c r="DV40" s="133">
        <f t="shared" si="16"/>
        <v>0</v>
      </c>
      <c r="DW40" s="128">
        <f t="shared" si="44"/>
        <v>0</v>
      </c>
      <c r="DX40" s="133">
        <f t="shared" si="45"/>
        <v>0</v>
      </c>
      <c r="DY40" s="128">
        <f t="shared" si="46"/>
        <v>0</v>
      </c>
      <c r="DZ40" s="126">
        <f t="shared" si="17"/>
        <v>0</v>
      </c>
      <c r="EA40" s="127">
        <f t="shared" si="120"/>
        <v>0</v>
      </c>
      <c r="EC40" s="132">
        <f t="shared" si="48"/>
        <v>0</v>
      </c>
      <c r="ED40" s="133">
        <v>0.115</v>
      </c>
      <c r="EE40" s="128">
        <f t="shared" si="49"/>
        <v>0</v>
      </c>
      <c r="EF40" s="133">
        <f t="shared" si="18"/>
        <v>0</v>
      </c>
      <c r="EG40" s="128">
        <f t="shared" si="50"/>
        <v>0</v>
      </c>
      <c r="EH40" s="134">
        <f t="shared" si="51"/>
        <v>0</v>
      </c>
      <c r="EI40" s="127">
        <f t="shared" si="52"/>
        <v>0</v>
      </c>
      <c r="EK40" s="132">
        <f t="shared" si="53"/>
        <v>0</v>
      </c>
      <c r="EL40" s="133">
        <f t="shared" si="94"/>
        <v>0.125</v>
      </c>
      <c r="EM40" s="128">
        <f t="shared" si="54"/>
        <v>0</v>
      </c>
      <c r="EN40" s="133">
        <f t="shared" si="19"/>
        <v>0</v>
      </c>
      <c r="EO40" s="128">
        <f t="shared" si="55"/>
        <v>0</v>
      </c>
      <c r="EP40" s="134">
        <f t="shared" si="56"/>
        <v>0</v>
      </c>
      <c r="EQ40" s="127">
        <f t="shared" si="20"/>
        <v>0</v>
      </c>
      <c r="ER40" s="127"/>
      <c r="ES40" s="132">
        <f t="shared" si="57"/>
        <v>0</v>
      </c>
      <c r="ET40" s="133">
        <f t="shared" si="95"/>
        <v>0.13</v>
      </c>
      <c r="EU40" s="128">
        <f t="shared" si="58"/>
        <v>0</v>
      </c>
      <c r="EV40" s="133">
        <f t="shared" si="21"/>
        <v>0</v>
      </c>
      <c r="EW40" s="128">
        <f t="shared" si="59"/>
        <v>0</v>
      </c>
      <c r="EX40" s="134">
        <f t="shared" si="60"/>
        <v>0</v>
      </c>
      <c r="EY40" s="127">
        <f t="shared" si="22"/>
        <v>0</v>
      </c>
      <c r="FA40" s="132">
        <f t="shared" si="61"/>
        <v>0</v>
      </c>
      <c r="FB40" s="133">
        <f t="shared" si="96"/>
        <v>0</v>
      </c>
      <c r="FC40" s="128">
        <f t="shared" si="62"/>
        <v>0</v>
      </c>
      <c r="FD40" s="133">
        <f t="shared" si="23"/>
        <v>0</v>
      </c>
      <c r="FE40" s="128">
        <f t="shared" si="63"/>
        <v>0</v>
      </c>
      <c r="FF40" s="134">
        <f t="shared" si="64"/>
        <v>0</v>
      </c>
      <c r="FG40" s="127">
        <f t="shared" si="24"/>
        <v>0</v>
      </c>
      <c r="FI40" s="132">
        <f t="shared" si="65"/>
        <v>0</v>
      </c>
      <c r="FJ40" s="133">
        <f t="shared" si="97"/>
        <v>0</v>
      </c>
      <c r="FK40" s="128">
        <f t="shared" si="66"/>
        <v>0</v>
      </c>
      <c r="FL40" s="133">
        <f t="shared" si="25"/>
        <v>0</v>
      </c>
      <c r="FM40" s="128">
        <f t="shared" si="67"/>
        <v>0</v>
      </c>
      <c r="FN40" s="134">
        <f t="shared" si="68"/>
        <v>0</v>
      </c>
      <c r="FO40" s="127">
        <f t="shared" si="26"/>
        <v>0</v>
      </c>
      <c r="FQ40" s="132">
        <f t="shared" si="69"/>
        <v>0</v>
      </c>
      <c r="FR40" s="133">
        <f t="shared" si="27"/>
        <v>0</v>
      </c>
      <c r="FS40" s="128">
        <f t="shared" si="70"/>
        <v>0</v>
      </c>
      <c r="FT40" s="133">
        <f t="shared" si="28"/>
        <v>0</v>
      </c>
      <c r="FU40" s="128">
        <f t="shared" si="71"/>
        <v>0</v>
      </c>
      <c r="FV40" s="134">
        <f t="shared" si="72"/>
        <v>0</v>
      </c>
      <c r="FW40" s="127">
        <f t="shared" si="29"/>
        <v>0</v>
      </c>
      <c r="FY40" s="132">
        <f t="shared" si="73"/>
        <v>0</v>
      </c>
      <c r="FZ40" s="133">
        <f t="shared" si="30"/>
        <v>0</v>
      </c>
      <c r="GA40" s="128">
        <f t="shared" si="74"/>
        <v>0</v>
      </c>
      <c r="GB40" s="133">
        <f t="shared" si="31"/>
        <v>0</v>
      </c>
      <c r="GC40" s="128">
        <f t="shared" si="75"/>
        <v>0</v>
      </c>
      <c r="GD40" s="134">
        <f t="shared" si="76"/>
        <v>0</v>
      </c>
      <c r="GE40" s="127">
        <f t="shared" si="32"/>
        <v>0</v>
      </c>
      <c r="GG40" s="132">
        <f t="shared" si="77"/>
        <v>0</v>
      </c>
      <c r="GH40" s="133">
        <f t="shared" si="33"/>
        <v>0</v>
      </c>
      <c r="GI40" s="128">
        <f t="shared" si="78"/>
        <v>0</v>
      </c>
      <c r="GJ40" s="133">
        <f t="shared" si="34"/>
        <v>0</v>
      </c>
      <c r="GK40" s="128">
        <f t="shared" si="79"/>
        <v>0</v>
      </c>
      <c r="GL40" s="134">
        <f t="shared" si="80"/>
        <v>0</v>
      </c>
      <c r="GM40" s="127">
        <f t="shared" si="35"/>
        <v>0</v>
      </c>
    </row>
    <row r="41" spans="7:195" ht="18.75" x14ac:dyDescent="0.3">
      <c r="N41" s="8"/>
      <c r="O41" s="29"/>
      <c r="P41" s="8"/>
      <c r="Q41" s="8"/>
      <c r="R41" s="8"/>
      <c r="AK41" s="47">
        <f t="shared" si="81"/>
        <v>2.262</v>
      </c>
      <c r="AL41" s="46">
        <f t="shared" si="81"/>
        <v>1.131</v>
      </c>
      <c r="AM41" s="46">
        <f t="shared" si="81"/>
        <v>0.754</v>
      </c>
      <c r="AN41" s="111">
        <f t="shared" ref="AN41:AN52" si="129">AK41/4</f>
        <v>0.5655</v>
      </c>
      <c r="AO41" s="46">
        <f t="shared" ref="AO41:AT41" si="130">AO40</f>
        <v>1.218</v>
      </c>
      <c r="AP41" s="46">
        <f t="shared" si="130"/>
        <v>2.4359999999999999</v>
      </c>
      <c r="AQ41" s="46">
        <f t="shared" si="130"/>
        <v>3.6539999999999999</v>
      </c>
      <c r="AR41" s="46">
        <f t="shared" si="130"/>
        <v>2.3242049999999996</v>
      </c>
      <c r="AS41" s="46">
        <f t="shared" si="130"/>
        <v>4.6484099999999993</v>
      </c>
      <c r="AT41" s="162">
        <f t="shared" si="130"/>
        <v>6.9726149999999993</v>
      </c>
      <c r="AU41" s="163">
        <f t="shared" si="116"/>
        <v>1.1000000000000001</v>
      </c>
      <c r="AV41" s="78" t="str">
        <f t="shared" si="116"/>
        <v>5X7</v>
      </c>
      <c r="AW41" s="78">
        <f t="shared" si="116"/>
        <v>35</v>
      </c>
      <c r="AX41" s="35">
        <f t="shared" si="116"/>
        <v>0.97977000000000003</v>
      </c>
      <c r="AY41" s="36">
        <f t="shared" si="116"/>
        <v>1.9595400000000001</v>
      </c>
      <c r="AZ41" s="58">
        <f t="shared" si="116"/>
        <v>2.9393099999999999</v>
      </c>
      <c r="BB41" s="31" t="str">
        <f t="shared" ref="BB41:BF41" si="131">BB40</f>
        <v>4.5X10</v>
      </c>
      <c r="BC41" s="78">
        <f t="shared" si="131"/>
        <v>45</v>
      </c>
      <c r="BD41" s="35">
        <f t="shared" si="131"/>
        <v>1.23838</v>
      </c>
      <c r="BE41" s="36">
        <f t="shared" si="131"/>
        <v>2.4767600000000001</v>
      </c>
      <c r="BF41" s="58">
        <f t="shared" si="131"/>
        <v>3.7151399999999999</v>
      </c>
      <c r="BH41" s="31" t="str">
        <f t="shared" ref="BH41:BL41" si="132">BH40</f>
        <v>4.5X17</v>
      </c>
      <c r="BI41" s="78">
        <f t="shared" si="132"/>
        <v>76.5</v>
      </c>
      <c r="BJ41" s="35">
        <f t="shared" si="132"/>
        <v>1.9836300000000002</v>
      </c>
      <c r="BK41" s="36">
        <f t="shared" si="132"/>
        <v>3.9672600000000005</v>
      </c>
      <c r="BL41" s="58">
        <f t="shared" si="132"/>
        <v>5.9508900000000011</v>
      </c>
      <c r="BN41" s="31" t="str">
        <f t="shared" ref="BN41:BR41" si="133">BN40</f>
        <v>8X10</v>
      </c>
      <c r="BO41" s="78">
        <f t="shared" si="133"/>
        <v>80</v>
      </c>
      <c r="BP41" s="35">
        <f t="shared" si="133"/>
        <v>2.0702000000000003</v>
      </c>
      <c r="BQ41" s="36">
        <f t="shared" si="133"/>
        <v>4.1404000000000005</v>
      </c>
      <c r="BR41" s="58">
        <f t="shared" si="133"/>
        <v>6.2106000000000012</v>
      </c>
      <c r="BT41" s="31" t="str">
        <f t="shared" ref="BT41:BX41" si="134">BT40</f>
        <v>7X17</v>
      </c>
      <c r="BU41" s="78">
        <f t="shared" si="134"/>
        <v>119</v>
      </c>
      <c r="BV41" s="35">
        <f t="shared" si="134"/>
        <v>3.0300600000000002</v>
      </c>
      <c r="BW41" s="36">
        <f t="shared" si="134"/>
        <v>6.0601200000000004</v>
      </c>
      <c r="BX41" s="58">
        <f t="shared" si="134"/>
        <v>9.0901800000000001</v>
      </c>
      <c r="BZ41" s="31" t="str">
        <f t="shared" ref="BZ41:CD41" si="135">BZ40</f>
        <v>10X12</v>
      </c>
      <c r="CA41" s="78">
        <f t="shared" si="135"/>
        <v>120</v>
      </c>
      <c r="CB41" s="35">
        <f t="shared" si="135"/>
        <v>3.0453500000000004</v>
      </c>
      <c r="CC41" s="36">
        <f t="shared" si="135"/>
        <v>6.0907000000000009</v>
      </c>
      <c r="CD41" s="58">
        <f t="shared" si="135"/>
        <v>9.1360500000000009</v>
      </c>
      <c r="CF41" s="31" t="str">
        <f t="shared" ref="CF41:CJ41" si="136">CF40</f>
        <v>11X14</v>
      </c>
      <c r="CG41" s="78">
        <f t="shared" si="136"/>
        <v>154</v>
      </c>
      <c r="CH41" s="35">
        <f t="shared" si="136"/>
        <v>3.8582500000000004</v>
      </c>
      <c r="CI41" s="36">
        <f t="shared" si="136"/>
        <v>7.7165000000000008</v>
      </c>
      <c r="CJ41" s="58">
        <f t="shared" si="136"/>
        <v>11.574750000000002</v>
      </c>
      <c r="CL41" s="31" t="str">
        <f t="shared" ref="CL41:CP41" si="137">CL40</f>
        <v>14X17</v>
      </c>
      <c r="CM41" s="78">
        <f t="shared" si="137"/>
        <v>238</v>
      </c>
      <c r="CN41" s="35">
        <f t="shared" si="137"/>
        <v>5.9076599999999999</v>
      </c>
      <c r="CO41" s="36">
        <f t="shared" si="137"/>
        <v>11.81532</v>
      </c>
      <c r="CP41" s="58">
        <f t="shared" si="137"/>
        <v>17.72298</v>
      </c>
      <c r="CR41" s="209"/>
      <c r="CS41" s="233"/>
      <c r="CT41" s="217"/>
      <c r="CU41" s="232"/>
      <c r="CV41" s="209"/>
      <c r="CW41" s="276"/>
      <c r="CX41" s="209"/>
      <c r="CY41" s="251">
        <f t="shared" si="103"/>
        <v>1</v>
      </c>
      <c r="CZ41" s="250">
        <f t="shared" si="128"/>
        <v>1</v>
      </c>
      <c r="DA41" s="248">
        <f t="shared" si="92"/>
        <v>2</v>
      </c>
      <c r="DB41" s="248">
        <f t="shared" si="93"/>
        <v>1</v>
      </c>
      <c r="DC41" s="277"/>
      <c r="DD41" s="278"/>
      <c r="DE41" s="279"/>
      <c r="DF41" s="280"/>
      <c r="DG41" s="195">
        <f t="shared" si="6"/>
        <v>0</v>
      </c>
      <c r="DH41" s="81">
        <f t="shared" si="7"/>
        <v>0</v>
      </c>
      <c r="DI41" s="81">
        <f t="shared" si="8"/>
        <v>0</v>
      </c>
      <c r="DJ41" s="81">
        <f t="shared" si="9"/>
        <v>0</v>
      </c>
      <c r="DK41" s="82">
        <f t="shared" si="42"/>
        <v>0</v>
      </c>
      <c r="DM41" s="83">
        <f t="shared" si="10"/>
        <v>0</v>
      </c>
      <c r="DN41" s="84">
        <f t="shared" si="11"/>
        <v>0</v>
      </c>
      <c r="DO41" s="84">
        <f t="shared" si="12"/>
        <v>0</v>
      </c>
      <c r="DP41" s="105"/>
      <c r="DQ41" s="85">
        <f t="shared" ref="DQ41:DQ53" si="138">IF(CT41&lt;0.99,0,IF(CT41=1,DM41,IF(CT41=2,DN41,IF(CT41=3,DO41))))</f>
        <v>0</v>
      </c>
      <c r="DR41" s="108">
        <f t="shared" ref="DR41:DR53" si="139">IF(DQ41&lt;=0,0,IF(DQ41&gt;=0.01,DQ41/CU41))</f>
        <v>0</v>
      </c>
      <c r="DS41" s="244">
        <f t="shared" ref="DS41:DS53" si="140">DR41+DK41</f>
        <v>0</v>
      </c>
      <c r="DT41" s="113"/>
      <c r="DU41" s="132">
        <f t="shared" ref="DU41:DU53" si="141">CW41</f>
        <v>0</v>
      </c>
      <c r="DV41" s="133">
        <f t="shared" ref="DV41:DV53" si="142">IF(CT41=0,0,IF(CT41=1,0.09,IF(CT41&gt;=2,0.085)))</f>
        <v>0</v>
      </c>
      <c r="DW41" s="128">
        <f t="shared" ref="DW41:DW53" si="143">DU41*DV41</f>
        <v>0</v>
      </c>
      <c r="DX41" s="133">
        <f t="shared" ref="DX41:DX53" si="144">IF(DV41=0,0,IF(DV41=0.085,1.5,IF(DV41&gt;0.085,1)))</f>
        <v>0</v>
      </c>
      <c r="DY41" s="128">
        <f t="shared" ref="DY41:DY53" si="145">DW41*DX41</f>
        <v>0</v>
      </c>
      <c r="DZ41" s="126">
        <f t="shared" ref="DZ41:DZ53" si="146">CU41</f>
        <v>0</v>
      </c>
      <c r="EA41" s="127">
        <f t="shared" ref="EA41:EA53" si="147">IF(DZ41=0,0,IF(DZ41&gt;0,DY41/DZ41))</f>
        <v>0</v>
      </c>
      <c r="EC41" s="132">
        <f t="shared" ref="EC41:EC53" si="148">DU41</f>
        <v>0</v>
      </c>
      <c r="ED41" s="133">
        <v>1.115</v>
      </c>
      <c r="EE41" s="128">
        <f t="shared" ref="EE41:EE53" si="149">EC41*ED41</f>
        <v>0</v>
      </c>
      <c r="EF41" s="133">
        <f t="shared" ref="EF41:EF53" si="150">IF(CT41=0,0,IF(CT41=1,1,IF(CT41&gt;=2,1.5)))</f>
        <v>0</v>
      </c>
      <c r="EG41" s="128">
        <f t="shared" ref="EG41:EG53" si="151">EE41*EF41</f>
        <v>0</v>
      </c>
      <c r="EH41" s="134">
        <f t="shared" ref="EH41:EH53" si="152">DZ41</f>
        <v>0</v>
      </c>
      <c r="EI41" s="127">
        <f t="shared" ref="EI41:EI53" si="153">IF(EH41=0,0,IF(EH41&gt;0,EG41/EH41))</f>
        <v>0</v>
      </c>
      <c r="EK41" s="132">
        <f t="shared" ref="EK41:EK53" si="154">EC41</f>
        <v>0</v>
      </c>
      <c r="EL41" s="133">
        <f t="shared" si="94"/>
        <v>0.125</v>
      </c>
      <c r="EM41" s="128">
        <f t="shared" ref="EM41:EM53" si="155">EK41*EL41</f>
        <v>0</v>
      </c>
      <c r="EN41" s="133">
        <f t="shared" ref="EN41:EN53" si="156">IF(CT41=0,0,IF(CT41=1,1,IF(CT41&gt;=2,1.5)))</f>
        <v>0</v>
      </c>
      <c r="EO41" s="128">
        <f t="shared" ref="EO41:EO53" si="157">EM41*EN41</f>
        <v>0</v>
      </c>
      <c r="EP41" s="134">
        <f t="shared" ref="EP41:EP53" si="158">EH41</f>
        <v>0</v>
      </c>
      <c r="EQ41" s="127">
        <f t="shared" ref="EQ41:EQ53" si="159">IF(CT41=0,0,IF(EL41&gt;0,EO41/EP41))</f>
        <v>0</v>
      </c>
      <c r="ER41" s="127"/>
      <c r="ES41" s="132">
        <f t="shared" ref="ES41:ES53" si="160">EK41</f>
        <v>0</v>
      </c>
      <c r="ET41" s="133">
        <f t="shared" si="95"/>
        <v>0.13</v>
      </c>
      <c r="EU41" s="128">
        <f t="shared" ref="EU41:EU53" si="161">ES41*ET41</f>
        <v>0</v>
      </c>
      <c r="EV41" s="133">
        <f t="shared" ref="EV41:EV53" si="162">IF(CT41=0,0,IF(CT41=1,1,IF(CT41&gt;=2,1.5)))</f>
        <v>0</v>
      </c>
      <c r="EW41" s="128">
        <f t="shared" ref="EW41:EW53" si="163">EU41*EV41</f>
        <v>0</v>
      </c>
      <c r="EX41" s="134">
        <f t="shared" ref="EX41:EX53" si="164">EP41</f>
        <v>0</v>
      </c>
      <c r="EY41" s="127">
        <f t="shared" ref="EY41:EY53" si="165">IF(CT41=0,0,IF(ET41&gt;0,EW41/EX41))</f>
        <v>0</v>
      </c>
      <c r="FA41" s="132">
        <f t="shared" ref="FA41:FA53" si="166">EK41</f>
        <v>0</v>
      </c>
      <c r="FB41" s="133">
        <f t="shared" ref="FB41:FB53" si="167">IF(CT41=0,0,IF(CT41=1,0.145,IF(CT41&gt;1,0.14)))</f>
        <v>0</v>
      </c>
      <c r="FC41" s="128">
        <f t="shared" ref="FC41:FC53" si="168">FA41*FB41</f>
        <v>0</v>
      </c>
      <c r="FD41" s="133">
        <f t="shared" ref="FD41:FD53" si="169">IF(CT41=0,0,IF(CT41=1,1,IF(CT41&gt;=2,1.5)))</f>
        <v>0</v>
      </c>
      <c r="FE41" s="128">
        <f t="shared" ref="FE41:FE53" si="170">FC41*FD41</f>
        <v>0</v>
      </c>
      <c r="FF41" s="134">
        <f t="shared" ref="FF41:FF53" si="171">EP41</f>
        <v>0</v>
      </c>
      <c r="FG41" s="127">
        <f t="shared" ref="FG41:FG53" si="172">IF(CT41=0,0,IF(FB41&gt;0,FE41/FF41))</f>
        <v>0</v>
      </c>
      <c r="FI41" s="132">
        <f t="shared" ref="FI41:FI53" si="173">FA41</f>
        <v>0</v>
      </c>
      <c r="FJ41" s="133">
        <f t="shared" ref="FJ41:FJ53" si="174">IF(CT41=0,0,IF(CT41=1,0.155,IF(CT41&gt;1,0.15)))</f>
        <v>0</v>
      </c>
      <c r="FK41" s="128">
        <f t="shared" ref="FK41:FK53" si="175">FI41*FJ41</f>
        <v>0</v>
      </c>
      <c r="FL41" s="133">
        <f t="shared" ref="FL41:FL53" si="176">IF(CT41=0,0,IF(CT41=1,1,IF(CT41&gt;=2,1.5)))</f>
        <v>0</v>
      </c>
      <c r="FM41" s="128">
        <f t="shared" ref="FM41:FM53" si="177">FK41*FL41</f>
        <v>0</v>
      </c>
      <c r="FN41" s="134">
        <f t="shared" ref="FN41:FN53" si="178">FF41</f>
        <v>0</v>
      </c>
      <c r="FO41" s="127">
        <f t="shared" ref="FO41:FO53" si="179">IF(CT41=0,0,IF(FJ41&gt;0,FM41/FN41))</f>
        <v>0</v>
      </c>
      <c r="FQ41" s="132">
        <f t="shared" ref="FQ41:FQ53" si="180">FI41</f>
        <v>0</v>
      </c>
      <c r="FR41" s="133">
        <f t="shared" ref="FR41:FR53" si="181">IF(CT41=0,0,IF(CT41=1,0.165,IF(CT41&gt;1,0.16)))</f>
        <v>0</v>
      </c>
      <c r="FS41" s="128">
        <f t="shared" ref="FS41:FS53" si="182">FQ41*FR41</f>
        <v>0</v>
      </c>
      <c r="FT41" s="133">
        <f t="shared" ref="FT41:FT53" si="183">IF(CT41=0,0,IF(CT41=1,1,IF(CT41&gt;=2,1.5)))</f>
        <v>0</v>
      </c>
      <c r="FU41" s="128">
        <f t="shared" ref="FU41:FU53" si="184">FS41*FT41</f>
        <v>0</v>
      </c>
      <c r="FV41" s="134">
        <f t="shared" ref="FV41:FV53" si="185">FN41</f>
        <v>0</v>
      </c>
      <c r="FW41" s="127">
        <f t="shared" ref="FW41:FW53" si="186">IF(CT41=0,0,IF(CT41&gt;0,FU41/FV41))</f>
        <v>0</v>
      </c>
      <c r="FY41" s="132">
        <f t="shared" ref="FY41:FY53" si="187">FQ41</f>
        <v>0</v>
      </c>
      <c r="FZ41" s="133">
        <f t="shared" ref="FZ41:FZ53" si="188">IF(CT41=0,0,IF(CT41=1,0.175,IF(CT41&gt;1,0.17)))</f>
        <v>0</v>
      </c>
      <c r="GA41" s="128">
        <f t="shared" ref="GA41:GA53" si="189">FY41*FZ41</f>
        <v>0</v>
      </c>
      <c r="GB41" s="133">
        <f t="shared" ref="GB41:GB53" si="190">IF(CT41=0,0,IF(CT41=1,1,IF(CT41&gt;=2,1.5)))</f>
        <v>0</v>
      </c>
      <c r="GC41" s="128">
        <f t="shared" ref="GC41:GC53" si="191">GA41*GB41</f>
        <v>0</v>
      </c>
      <c r="GD41" s="134">
        <f t="shared" ref="GD41:GD53" si="192">FV41</f>
        <v>0</v>
      </c>
      <c r="GE41" s="127">
        <f t="shared" ref="GE41:GE53" si="193">IF(CT41=0,0,IF(CT41&gt;0,GC41/GD41))</f>
        <v>0</v>
      </c>
      <c r="GG41" s="132">
        <f t="shared" ref="GG41:GG53" si="194">FY41</f>
        <v>0</v>
      </c>
      <c r="GH41" s="133">
        <f t="shared" ref="GH41:GH53" si="195">IF(CT41=0,0,IF(CT41=1,0.185,IF(CT41&gt;1,0.18)))</f>
        <v>0</v>
      </c>
      <c r="GI41" s="128">
        <f t="shared" ref="GI41:GI53" si="196">GG41*GH41</f>
        <v>0</v>
      </c>
      <c r="GJ41" s="133">
        <f t="shared" ref="GJ41:GJ53" si="197">IF(CT41=0,0,IF(CT41=1,1,IF(CT41&gt;=2,1.5)))</f>
        <v>0</v>
      </c>
      <c r="GK41" s="128">
        <f t="shared" ref="GK41:GK53" si="198">GI41*GJ41</f>
        <v>0</v>
      </c>
      <c r="GL41" s="134">
        <f t="shared" ref="GL41:GL53" si="199">GD41</f>
        <v>0</v>
      </c>
      <c r="GM41" s="127">
        <f t="shared" ref="GM41:GM53" si="200">IF(CT41=0,0,IF(CT41&gt;0,GK41/GL41))</f>
        <v>0</v>
      </c>
    </row>
    <row r="42" spans="7:195" ht="18.75" x14ac:dyDescent="0.3">
      <c r="N42" s="8"/>
      <c r="O42" s="29"/>
      <c r="P42" s="8"/>
      <c r="Q42" s="8"/>
      <c r="R42" s="8"/>
      <c r="AK42" s="47">
        <f t="shared" si="81"/>
        <v>2.262</v>
      </c>
      <c r="AL42" s="46">
        <f t="shared" si="81"/>
        <v>1.131</v>
      </c>
      <c r="AM42" s="46">
        <f t="shared" si="81"/>
        <v>0.754</v>
      </c>
      <c r="AN42" s="111">
        <f t="shared" si="129"/>
        <v>0.5655</v>
      </c>
      <c r="AO42" s="46">
        <f t="shared" ref="AO42:AT42" si="201">AO41</f>
        <v>1.218</v>
      </c>
      <c r="AP42" s="46">
        <f t="shared" si="201"/>
        <v>2.4359999999999999</v>
      </c>
      <c r="AQ42" s="46">
        <f t="shared" si="201"/>
        <v>3.6539999999999999</v>
      </c>
      <c r="AR42" s="46">
        <f t="shared" si="201"/>
        <v>2.3242049999999996</v>
      </c>
      <c r="AS42" s="46">
        <f t="shared" si="201"/>
        <v>4.6484099999999993</v>
      </c>
      <c r="AT42" s="162">
        <f t="shared" si="201"/>
        <v>6.9726149999999993</v>
      </c>
      <c r="AU42" s="163">
        <f t="shared" si="116"/>
        <v>1.1000000000000001</v>
      </c>
      <c r="AV42" s="78" t="str">
        <f t="shared" si="116"/>
        <v>5X7</v>
      </c>
      <c r="AW42" s="78">
        <f t="shared" si="116"/>
        <v>35</v>
      </c>
      <c r="AX42" s="35">
        <f t="shared" si="116"/>
        <v>0.97977000000000003</v>
      </c>
      <c r="AY42" s="36">
        <f t="shared" si="116"/>
        <v>1.9595400000000001</v>
      </c>
      <c r="AZ42" s="58">
        <f t="shared" si="116"/>
        <v>2.9393099999999999</v>
      </c>
      <c r="BB42" s="31" t="str">
        <f t="shared" ref="BB42:BF42" si="202">BB41</f>
        <v>4.5X10</v>
      </c>
      <c r="BC42" s="78">
        <f t="shared" si="202"/>
        <v>45</v>
      </c>
      <c r="BD42" s="35">
        <f t="shared" si="202"/>
        <v>1.23838</v>
      </c>
      <c r="BE42" s="36">
        <f t="shared" si="202"/>
        <v>2.4767600000000001</v>
      </c>
      <c r="BF42" s="58">
        <f t="shared" si="202"/>
        <v>3.7151399999999999</v>
      </c>
      <c r="BH42" s="31" t="str">
        <f t="shared" ref="BH42:BL42" si="203">BH41</f>
        <v>4.5X17</v>
      </c>
      <c r="BI42" s="78">
        <f t="shared" si="203"/>
        <v>76.5</v>
      </c>
      <c r="BJ42" s="35">
        <f t="shared" si="203"/>
        <v>1.9836300000000002</v>
      </c>
      <c r="BK42" s="36">
        <f t="shared" si="203"/>
        <v>3.9672600000000005</v>
      </c>
      <c r="BL42" s="58">
        <f t="shared" si="203"/>
        <v>5.9508900000000011</v>
      </c>
      <c r="BN42" s="31" t="str">
        <f t="shared" ref="BN42:BR42" si="204">BN41</f>
        <v>8X10</v>
      </c>
      <c r="BO42" s="78">
        <f t="shared" si="204"/>
        <v>80</v>
      </c>
      <c r="BP42" s="35">
        <f t="shared" si="204"/>
        <v>2.0702000000000003</v>
      </c>
      <c r="BQ42" s="36">
        <f t="shared" si="204"/>
        <v>4.1404000000000005</v>
      </c>
      <c r="BR42" s="58">
        <f t="shared" si="204"/>
        <v>6.2106000000000012</v>
      </c>
      <c r="BT42" s="31" t="str">
        <f t="shared" ref="BT42:BX42" si="205">BT41</f>
        <v>7X17</v>
      </c>
      <c r="BU42" s="78">
        <f t="shared" si="205"/>
        <v>119</v>
      </c>
      <c r="BV42" s="35">
        <f t="shared" si="205"/>
        <v>3.0300600000000002</v>
      </c>
      <c r="BW42" s="36">
        <f t="shared" si="205"/>
        <v>6.0601200000000004</v>
      </c>
      <c r="BX42" s="58">
        <f t="shared" si="205"/>
        <v>9.0901800000000001</v>
      </c>
      <c r="BZ42" s="31" t="str">
        <f t="shared" ref="BZ42:CD42" si="206">BZ41</f>
        <v>10X12</v>
      </c>
      <c r="CA42" s="78">
        <f t="shared" si="206"/>
        <v>120</v>
      </c>
      <c r="CB42" s="35">
        <f t="shared" si="206"/>
        <v>3.0453500000000004</v>
      </c>
      <c r="CC42" s="36">
        <f t="shared" si="206"/>
        <v>6.0907000000000009</v>
      </c>
      <c r="CD42" s="58">
        <f t="shared" si="206"/>
        <v>9.1360500000000009</v>
      </c>
      <c r="CF42" s="31" t="str">
        <f t="shared" ref="CF42:CJ42" si="207">CF41</f>
        <v>11X14</v>
      </c>
      <c r="CG42" s="78">
        <f t="shared" si="207"/>
        <v>154</v>
      </c>
      <c r="CH42" s="35">
        <f t="shared" si="207"/>
        <v>3.8582500000000004</v>
      </c>
      <c r="CI42" s="36">
        <f t="shared" si="207"/>
        <v>7.7165000000000008</v>
      </c>
      <c r="CJ42" s="58">
        <f t="shared" si="207"/>
        <v>11.574750000000002</v>
      </c>
      <c r="CL42" s="31" t="str">
        <f t="shared" ref="CL42:CP42" si="208">CL41</f>
        <v>14X17</v>
      </c>
      <c r="CM42" s="78">
        <f t="shared" si="208"/>
        <v>238</v>
      </c>
      <c r="CN42" s="35">
        <f t="shared" si="208"/>
        <v>5.9076599999999999</v>
      </c>
      <c r="CO42" s="36">
        <f t="shared" si="208"/>
        <v>11.81532</v>
      </c>
      <c r="CP42" s="58">
        <f t="shared" si="208"/>
        <v>17.72298</v>
      </c>
      <c r="CR42" s="209"/>
      <c r="CS42" s="233"/>
      <c r="CT42" s="217"/>
      <c r="CU42" s="232"/>
      <c r="CV42" s="209"/>
      <c r="CW42" s="276"/>
      <c r="CX42" s="209"/>
      <c r="CY42" s="251">
        <f t="shared" si="103"/>
        <v>1</v>
      </c>
      <c r="CZ42" s="250">
        <f t="shared" si="128"/>
        <v>1</v>
      </c>
      <c r="DA42" s="248">
        <f t="shared" si="92"/>
        <v>2</v>
      </c>
      <c r="DB42" s="248">
        <f t="shared" si="93"/>
        <v>1</v>
      </c>
      <c r="DC42" s="277"/>
      <c r="DD42" s="278"/>
      <c r="DE42" s="279"/>
      <c r="DF42" s="280"/>
      <c r="DG42" s="195">
        <f t="shared" si="6"/>
        <v>0</v>
      </c>
      <c r="DH42" s="81">
        <f t="shared" si="7"/>
        <v>0</v>
      </c>
      <c r="DI42" s="81">
        <f t="shared" si="8"/>
        <v>0</v>
      </c>
      <c r="DJ42" s="81">
        <f t="shared" si="9"/>
        <v>0</v>
      </c>
      <c r="DK42" s="82">
        <f t="shared" si="42"/>
        <v>0</v>
      </c>
      <c r="DM42" s="83">
        <f t="shared" si="10"/>
        <v>0</v>
      </c>
      <c r="DN42" s="84">
        <f t="shared" si="11"/>
        <v>0</v>
      </c>
      <c r="DO42" s="84">
        <f t="shared" si="12"/>
        <v>0</v>
      </c>
      <c r="DP42" s="105"/>
      <c r="DQ42" s="85">
        <f t="shared" si="138"/>
        <v>0</v>
      </c>
      <c r="DR42" s="108">
        <f t="shared" si="139"/>
        <v>0</v>
      </c>
      <c r="DS42" s="244">
        <f t="shared" si="140"/>
        <v>0</v>
      </c>
      <c r="DT42" s="113"/>
      <c r="DU42" s="132">
        <f t="shared" si="141"/>
        <v>0</v>
      </c>
      <c r="DV42" s="133">
        <f t="shared" si="142"/>
        <v>0</v>
      </c>
      <c r="DW42" s="128">
        <f t="shared" si="143"/>
        <v>0</v>
      </c>
      <c r="DX42" s="133">
        <f t="shared" si="144"/>
        <v>0</v>
      </c>
      <c r="DY42" s="128">
        <f t="shared" si="145"/>
        <v>0</v>
      </c>
      <c r="DZ42" s="126">
        <f t="shared" si="146"/>
        <v>0</v>
      </c>
      <c r="EA42" s="127">
        <f t="shared" si="147"/>
        <v>0</v>
      </c>
      <c r="EC42" s="132">
        <f t="shared" si="148"/>
        <v>0</v>
      </c>
      <c r="ED42" s="133">
        <v>2.1150000000000002</v>
      </c>
      <c r="EE42" s="128">
        <f t="shared" si="149"/>
        <v>0</v>
      </c>
      <c r="EF42" s="133">
        <f t="shared" si="150"/>
        <v>0</v>
      </c>
      <c r="EG42" s="128">
        <f t="shared" si="151"/>
        <v>0</v>
      </c>
      <c r="EH42" s="134">
        <f t="shared" si="152"/>
        <v>0</v>
      </c>
      <c r="EI42" s="127">
        <f t="shared" si="153"/>
        <v>0</v>
      </c>
      <c r="EK42" s="132">
        <f t="shared" si="154"/>
        <v>0</v>
      </c>
      <c r="EL42" s="133">
        <f t="shared" si="94"/>
        <v>0.125</v>
      </c>
      <c r="EM42" s="128">
        <f t="shared" si="155"/>
        <v>0</v>
      </c>
      <c r="EN42" s="133">
        <f t="shared" si="156"/>
        <v>0</v>
      </c>
      <c r="EO42" s="128">
        <f t="shared" si="157"/>
        <v>0</v>
      </c>
      <c r="EP42" s="134">
        <f t="shared" si="158"/>
        <v>0</v>
      </c>
      <c r="EQ42" s="127">
        <f t="shared" si="159"/>
        <v>0</v>
      </c>
      <c r="ER42" s="127"/>
      <c r="ES42" s="132">
        <f t="shared" si="160"/>
        <v>0</v>
      </c>
      <c r="ET42" s="133">
        <f t="shared" si="95"/>
        <v>0.13</v>
      </c>
      <c r="EU42" s="128">
        <f t="shared" si="161"/>
        <v>0</v>
      </c>
      <c r="EV42" s="133">
        <f t="shared" si="162"/>
        <v>0</v>
      </c>
      <c r="EW42" s="128">
        <f t="shared" si="163"/>
        <v>0</v>
      </c>
      <c r="EX42" s="134">
        <f t="shared" si="164"/>
        <v>0</v>
      </c>
      <c r="EY42" s="127">
        <f t="shared" si="165"/>
        <v>0</v>
      </c>
      <c r="FA42" s="132">
        <f t="shared" si="166"/>
        <v>0</v>
      </c>
      <c r="FB42" s="133">
        <f t="shared" si="167"/>
        <v>0</v>
      </c>
      <c r="FC42" s="128">
        <f t="shared" si="168"/>
        <v>0</v>
      </c>
      <c r="FD42" s="133">
        <f t="shared" si="169"/>
        <v>0</v>
      </c>
      <c r="FE42" s="128">
        <f t="shared" si="170"/>
        <v>0</v>
      </c>
      <c r="FF42" s="134">
        <f t="shared" si="171"/>
        <v>0</v>
      </c>
      <c r="FG42" s="127">
        <f t="shared" si="172"/>
        <v>0</v>
      </c>
      <c r="FI42" s="132">
        <f t="shared" si="173"/>
        <v>0</v>
      </c>
      <c r="FJ42" s="133">
        <f t="shared" si="174"/>
        <v>0</v>
      </c>
      <c r="FK42" s="128">
        <f t="shared" si="175"/>
        <v>0</v>
      </c>
      <c r="FL42" s="133">
        <f t="shared" si="176"/>
        <v>0</v>
      </c>
      <c r="FM42" s="128">
        <f t="shared" si="177"/>
        <v>0</v>
      </c>
      <c r="FN42" s="134">
        <f t="shared" si="178"/>
        <v>0</v>
      </c>
      <c r="FO42" s="127">
        <f t="shared" si="179"/>
        <v>0</v>
      </c>
      <c r="FQ42" s="132">
        <f t="shared" si="180"/>
        <v>0</v>
      </c>
      <c r="FR42" s="133">
        <f t="shared" si="181"/>
        <v>0</v>
      </c>
      <c r="FS42" s="128">
        <f t="shared" si="182"/>
        <v>0</v>
      </c>
      <c r="FT42" s="133">
        <f t="shared" si="183"/>
        <v>0</v>
      </c>
      <c r="FU42" s="128">
        <f t="shared" si="184"/>
        <v>0</v>
      </c>
      <c r="FV42" s="134">
        <f t="shared" si="185"/>
        <v>0</v>
      </c>
      <c r="FW42" s="127">
        <f t="shared" si="186"/>
        <v>0</v>
      </c>
      <c r="FY42" s="132">
        <f t="shared" si="187"/>
        <v>0</v>
      </c>
      <c r="FZ42" s="133">
        <f t="shared" si="188"/>
        <v>0</v>
      </c>
      <c r="GA42" s="128">
        <f t="shared" si="189"/>
        <v>0</v>
      </c>
      <c r="GB42" s="133">
        <f t="shared" si="190"/>
        <v>0</v>
      </c>
      <c r="GC42" s="128">
        <f t="shared" si="191"/>
        <v>0</v>
      </c>
      <c r="GD42" s="134">
        <f t="shared" si="192"/>
        <v>0</v>
      </c>
      <c r="GE42" s="127">
        <f t="shared" si="193"/>
        <v>0</v>
      </c>
      <c r="GG42" s="132">
        <f t="shared" si="194"/>
        <v>0</v>
      </c>
      <c r="GH42" s="133">
        <f t="shared" si="195"/>
        <v>0</v>
      </c>
      <c r="GI42" s="128">
        <f t="shared" si="196"/>
        <v>0</v>
      </c>
      <c r="GJ42" s="133">
        <f t="shared" si="197"/>
        <v>0</v>
      </c>
      <c r="GK42" s="128">
        <f t="shared" si="198"/>
        <v>0</v>
      </c>
      <c r="GL42" s="134">
        <f t="shared" si="199"/>
        <v>0</v>
      </c>
      <c r="GM42" s="127">
        <f t="shared" si="200"/>
        <v>0</v>
      </c>
    </row>
    <row r="43" spans="7:195" ht="18.75" x14ac:dyDescent="0.3">
      <c r="N43" s="8"/>
      <c r="O43" s="29"/>
      <c r="P43" s="8"/>
      <c r="Q43" s="8"/>
      <c r="R43" s="8"/>
      <c r="AK43" s="47">
        <f t="shared" si="81"/>
        <v>2.262</v>
      </c>
      <c r="AL43" s="46">
        <f t="shared" si="81"/>
        <v>1.131</v>
      </c>
      <c r="AM43" s="46">
        <f t="shared" si="81"/>
        <v>0.754</v>
      </c>
      <c r="AN43" s="111">
        <f t="shared" si="129"/>
        <v>0.5655</v>
      </c>
      <c r="AO43" s="46">
        <f t="shared" ref="AO43:AT43" si="209">AO42</f>
        <v>1.218</v>
      </c>
      <c r="AP43" s="46">
        <f t="shared" si="209"/>
        <v>2.4359999999999999</v>
      </c>
      <c r="AQ43" s="46">
        <f t="shared" si="209"/>
        <v>3.6539999999999999</v>
      </c>
      <c r="AR43" s="46">
        <f t="shared" si="209"/>
        <v>2.3242049999999996</v>
      </c>
      <c r="AS43" s="46">
        <f t="shared" si="209"/>
        <v>4.6484099999999993</v>
      </c>
      <c r="AT43" s="162">
        <f t="shared" si="209"/>
        <v>6.9726149999999993</v>
      </c>
      <c r="AU43" s="163">
        <f t="shared" si="116"/>
        <v>1.1000000000000001</v>
      </c>
      <c r="AV43" s="78" t="str">
        <f t="shared" si="116"/>
        <v>5X7</v>
      </c>
      <c r="AW43" s="78">
        <f t="shared" si="116"/>
        <v>35</v>
      </c>
      <c r="AX43" s="35">
        <f t="shared" si="116"/>
        <v>0.97977000000000003</v>
      </c>
      <c r="AY43" s="36">
        <f t="shared" si="116"/>
        <v>1.9595400000000001</v>
      </c>
      <c r="AZ43" s="58">
        <f t="shared" si="116"/>
        <v>2.9393099999999999</v>
      </c>
      <c r="BB43" s="31" t="str">
        <f t="shared" ref="BB43:BF43" si="210">BB42</f>
        <v>4.5X10</v>
      </c>
      <c r="BC43" s="78">
        <f t="shared" si="210"/>
        <v>45</v>
      </c>
      <c r="BD43" s="35">
        <f t="shared" si="210"/>
        <v>1.23838</v>
      </c>
      <c r="BE43" s="36">
        <f t="shared" si="210"/>
        <v>2.4767600000000001</v>
      </c>
      <c r="BF43" s="58">
        <f t="shared" si="210"/>
        <v>3.7151399999999999</v>
      </c>
      <c r="BH43" s="31" t="str">
        <f t="shared" ref="BH43:BL43" si="211">BH42</f>
        <v>4.5X17</v>
      </c>
      <c r="BI43" s="78">
        <f t="shared" si="211"/>
        <v>76.5</v>
      </c>
      <c r="BJ43" s="35">
        <f t="shared" si="211"/>
        <v>1.9836300000000002</v>
      </c>
      <c r="BK43" s="36">
        <f t="shared" si="211"/>
        <v>3.9672600000000005</v>
      </c>
      <c r="BL43" s="58">
        <f t="shared" si="211"/>
        <v>5.9508900000000011</v>
      </c>
      <c r="BN43" s="31" t="str">
        <f t="shared" ref="BN43:BR43" si="212">BN42</f>
        <v>8X10</v>
      </c>
      <c r="BO43" s="78">
        <f t="shared" si="212"/>
        <v>80</v>
      </c>
      <c r="BP43" s="35">
        <f t="shared" si="212"/>
        <v>2.0702000000000003</v>
      </c>
      <c r="BQ43" s="36">
        <f t="shared" si="212"/>
        <v>4.1404000000000005</v>
      </c>
      <c r="BR43" s="58">
        <f t="shared" si="212"/>
        <v>6.2106000000000012</v>
      </c>
      <c r="BT43" s="31" t="str">
        <f t="shared" ref="BT43:BX43" si="213">BT42</f>
        <v>7X17</v>
      </c>
      <c r="BU43" s="78">
        <f t="shared" si="213"/>
        <v>119</v>
      </c>
      <c r="BV43" s="35">
        <f t="shared" si="213"/>
        <v>3.0300600000000002</v>
      </c>
      <c r="BW43" s="36">
        <f t="shared" si="213"/>
        <v>6.0601200000000004</v>
      </c>
      <c r="BX43" s="58">
        <f t="shared" si="213"/>
        <v>9.0901800000000001</v>
      </c>
      <c r="BZ43" s="31" t="str">
        <f t="shared" ref="BZ43:CD43" si="214">BZ42</f>
        <v>10X12</v>
      </c>
      <c r="CA43" s="78">
        <f t="shared" si="214"/>
        <v>120</v>
      </c>
      <c r="CB43" s="35">
        <f t="shared" si="214"/>
        <v>3.0453500000000004</v>
      </c>
      <c r="CC43" s="36">
        <f t="shared" si="214"/>
        <v>6.0907000000000009</v>
      </c>
      <c r="CD43" s="58">
        <f t="shared" si="214"/>
        <v>9.1360500000000009</v>
      </c>
      <c r="CF43" s="31" t="str">
        <f t="shared" ref="CF43:CJ43" si="215">CF42</f>
        <v>11X14</v>
      </c>
      <c r="CG43" s="78">
        <f t="shared" si="215"/>
        <v>154</v>
      </c>
      <c r="CH43" s="35">
        <f t="shared" si="215"/>
        <v>3.8582500000000004</v>
      </c>
      <c r="CI43" s="36">
        <f t="shared" si="215"/>
        <v>7.7165000000000008</v>
      </c>
      <c r="CJ43" s="58">
        <f t="shared" si="215"/>
        <v>11.574750000000002</v>
      </c>
      <c r="CL43" s="31" t="str">
        <f t="shared" ref="CL43:CP43" si="216">CL42</f>
        <v>14X17</v>
      </c>
      <c r="CM43" s="78">
        <f t="shared" si="216"/>
        <v>238</v>
      </c>
      <c r="CN43" s="35">
        <f t="shared" si="216"/>
        <v>5.9076599999999999</v>
      </c>
      <c r="CO43" s="36">
        <f t="shared" si="216"/>
        <v>11.81532</v>
      </c>
      <c r="CP43" s="58">
        <f t="shared" si="216"/>
        <v>17.72298</v>
      </c>
      <c r="CR43" s="209"/>
      <c r="CS43" s="233"/>
      <c r="CT43" s="217"/>
      <c r="CU43" s="232"/>
      <c r="CV43" s="209"/>
      <c r="CW43" s="276"/>
      <c r="CX43" s="209"/>
      <c r="CY43" s="251">
        <f t="shared" si="103"/>
        <v>1</v>
      </c>
      <c r="CZ43" s="250">
        <f t="shared" si="128"/>
        <v>1</v>
      </c>
      <c r="DA43" s="248">
        <f t="shared" si="92"/>
        <v>2</v>
      </c>
      <c r="DB43" s="248">
        <f t="shared" si="93"/>
        <v>1</v>
      </c>
      <c r="DC43" s="277"/>
      <c r="DD43" s="278"/>
      <c r="DE43" s="279"/>
      <c r="DF43" s="280"/>
      <c r="DG43" s="195">
        <f t="shared" ref="DG43:DG53" si="217">IF(CT43=0,0,IF(CT43&gt;0,(AK43*DA43)/CU43))</f>
        <v>0</v>
      </c>
      <c r="DH43" s="81">
        <f t="shared" ref="DH43:DH53" si="218">IF(CT43=0,0,IF(CT43&gt;0,(AK43*CY43)/CU43))</f>
        <v>0</v>
      </c>
      <c r="DI43" s="81">
        <f t="shared" ref="DI43:DI53" si="219">IF(CT43=0,0,IF(CT43&gt;0,(AO43*CZ43)*CT43)/CU43)</f>
        <v>0</v>
      </c>
      <c r="DJ43" s="81">
        <f t="shared" ref="DJ43:DJ53" si="220">IF(CT43=0,0,IF(CT43&gt;0,(AR43*DB43)*CT43)/CU43)</f>
        <v>0</v>
      </c>
      <c r="DK43" s="82">
        <f t="shared" ref="DK43:DK53" si="221">DI43+DJ43+DG43+DH43</f>
        <v>0</v>
      </c>
      <c r="DM43" s="83">
        <f t="shared" ref="DM43:DM53" si="222">(IF(CW43&lt;35,0,IF(CW43=35,AX43,IF(CW43=45,BD43,IF(CW43=76.5,BJ43,IF(CW43=80,BP43,IF(CW43=119,BV43,IF(CW43=120,CB43,IF(CW43=154,CH43,IF(CW43=238,CN43))))))))))</f>
        <v>0</v>
      </c>
      <c r="DN43" s="84">
        <f t="shared" ref="DN43:DN53" si="223">(IF(CW43&lt;35,0,IF(CW43=35,AY43,IF(CW43=45,BE43,IF(CW43=76.5,BK43,IF(CW43=80,BQ43,IF(CW43=119,BW43,IF(CW43=120,CC43,IF(CW43=154,CI43,IF(CW43=238,CO43))))))))))</f>
        <v>0</v>
      </c>
      <c r="DO43" s="84">
        <f t="shared" ref="DO43:DO53" si="224">(IF(CW43&lt;35,0,IF(CW43=35,AZ43,IF(CW43=45,BF43,IF(CW43=76.5,BL43,IF(CW43=80,BR43,IF(CW43=119,BX43,IF(CW43=120,CD43,IF(CW43=154,CJ43,IF(CW43=238,CP43))))))))))</f>
        <v>0</v>
      </c>
      <c r="DP43" s="105"/>
      <c r="DQ43" s="85">
        <f t="shared" si="138"/>
        <v>0</v>
      </c>
      <c r="DR43" s="108">
        <f t="shared" si="139"/>
        <v>0</v>
      </c>
      <c r="DS43" s="244">
        <f t="shared" si="140"/>
        <v>0</v>
      </c>
      <c r="DT43" s="113"/>
      <c r="DU43" s="132">
        <f t="shared" si="141"/>
        <v>0</v>
      </c>
      <c r="DV43" s="133">
        <f t="shared" si="142"/>
        <v>0</v>
      </c>
      <c r="DW43" s="128">
        <f t="shared" si="143"/>
        <v>0</v>
      </c>
      <c r="DX43" s="133">
        <f t="shared" si="144"/>
        <v>0</v>
      </c>
      <c r="DY43" s="128">
        <f t="shared" si="145"/>
        <v>0</v>
      </c>
      <c r="DZ43" s="126">
        <f t="shared" si="146"/>
        <v>0</v>
      </c>
      <c r="EA43" s="127">
        <f t="shared" si="147"/>
        <v>0</v>
      </c>
      <c r="EC43" s="132">
        <f t="shared" si="148"/>
        <v>0</v>
      </c>
      <c r="ED43" s="133">
        <v>3.1150000000000002</v>
      </c>
      <c r="EE43" s="128">
        <f t="shared" si="149"/>
        <v>0</v>
      </c>
      <c r="EF43" s="133">
        <f t="shared" si="150"/>
        <v>0</v>
      </c>
      <c r="EG43" s="128">
        <f t="shared" si="151"/>
        <v>0</v>
      </c>
      <c r="EH43" s="134">
        <f t="shared" si="152"/>
        <v>0</v>
      </c>
      <c r="EI43" s="127">
        <f t="shared" si="153"/>
        <v>0</v>
      </c>
      <c r="EK43" s="132">
        <f t="shared" si="154"/>
        <v>0</v>
      </c>
      <c r="EL43" s="133">
        <f t="shared" si="94"/>
        <v>0.125</v>
      </c>
      <c r="EM43" s="128">
        <f t="shared" si="155"/>
        <v>0</v>
      </c>
      <c r="EN43" s="133">
        <f t="shared" si="156"/>
        <v>0</v>
      </c>
      <c r="EO43" s="128">
        <f t="shared" si="157"/>
        <v>0</v>
      </c>
      <c r="EP43" s="134">
        <f t="shared" si="158"/>
        <v>0</v>
      </c>
      <c r="EQ43" s="127">
        <f t="shared" si="159"/>
        <v>0</v>
      </c>
      <c r="ER43" s="127"/>
      <c r="ES43" s="132">
        <f t="shared" si="160"/>
        <v>0</v>
      </c>
      <c r="ET43" s="133">
        <f t="shared" si="95"/>
        <v>0.13</v>
      </c>
      <c r="EU43" s="128">
        <f t="shared" si="161"/>
        <v>0</v>
      </c>
      <c r="EV43" s="133">
        <f t="shared" si="162"/>
        <v>0</v>
      </c>
      <c r="EW43" s="128">
        <f t="shared" si="163"/>
        <v>0</v>
      </c>
      <c r="EX43" s="134">
        <f t="shared" si="164"/>
        <v>0</v>
      </c>
      <c r="EY43" s="127">
        <f t="shared" si="165"/>
        <v>0</v>
      </c>
      <c r="FA43" s="132">
        <f t="shared" si="166"/>
        <v>0</v>
      </c>
      <c r="FB43" s="133">
        <f t="shared" si="167"/>
        <v>0</v>
      </c>
      <c r="FC43" s="128">
        <f t="shared" si="168"/>
        <v>0</v>
      </c>
      <c r="FD43" s="133">
        <f t="shared" si="169"/>
        <v>0</v>
      </c>
      <c r="FE43" s="128">
        <f t="shared" si="170"/>
        <v>0</v>
      </c>
      <c r="FF43" s="134">
        <f t="shared" si="171"/>
        <v>0</v>
      </c>
      <c r="FG43" s="127">
        <f t="shared" si="172"/>
        <v>0</v>
      </c>
      <c r="FI43" s="132">
        <f t="shared" si="173"/>
        <v>0</v>
      </c>
      <c r="FJ43" s="133">
        <f t="shared" si="174"/>
        <v>0</v>
      </c>
      <c r="FK43" s="128">
        <f t="shared" si="175"/>
        <v>0</v>
      </c>
      <c r="FL43" s="133">
        <f t="shared" si="176"/>
        <v>0</v>
      </c>
      <c r="FM43" s="128">
        <f t="shared" si="177"/>
        <v>0</v>
      </c>
      <c r="FN43" s="134">
        <f t="shared" si="178"/>
        <v>0</v>
      </c>
      <c r="FO43" s="127">
        <f t="shared" si="179"/>
        <v>0</v>
      </c>
      <c r="FQ43" s="132">
        <f t="shared" si="180"/>
        <v>0</v>
      </c>
      <c r="FR43" s="133">
        <f t="shared" si="181"/>
        <v>0</v>
      </c>
      <c r="FS43" s="128">
        <f t="shared" si="182"/>
        <v>0</v>
      </c>
      <c r="FT43" s="133">
        <f t="shared" si="183"/>
        <v>0</v>
      </c>
      <c r="FU43" s="128">
        <f t="shared" si="184"/>
        <v>0</v>
      </c>
      <c r="FV43" s="134">
        <f t="shared" si="185"/>
        <v>0</v>
      </c>
      <c r="FW43" s="127">
        <f t="shared" si="186"/>
        <v>0</v>
      </c>
      <c r="FY43" s="132">
        <f t="shared" si="187"/>
        <v>0</v>
      </c>
      <c r="FZ43" s="133">
        <f t="shared" si="188"/>
        <v>0</v>
      </c>
      <c r="GA43" s="128">
        <f t="shared" si="189"/>
        <v>0</v>
      </c>
      <c r="GB43" s="133">
        <f t="shared" si="190"/>
        <v>0</v>
      </c>
      <c r="GC43" s="128">
        <f t="shared" si="191"/>
        <v>0</v>
      </c>
      <c r="GD43" s="134">
        <f t="shared" si="192"/>
        <v>0</v>
      </c>
      <c r="GE43" s="127">
        <f t="shared" si="193"/>
        <v>0</v>
      </c>
      <c r="GG43" s="132">
        <f t="shared" si="194"/>
        <v>0</v>
      </c>
      <c r="GH43" s="133">
        <f t="shared" si="195"/>
        <v>0</v>
      </c>
      <c r="GI43" s="128">
        <f t="shared" si="196"/>
        <v>0</v>
      </c>
      <c r="GJ43" s="133">
        <f t="shared" si="197"/>
        <v>0</v>
      </c>
      <c r="GK43" s="128">
        <f t="shared" si="198"/>
        <v>0</v>
      </c>
      <c r="GL43" s="134">
        <f t="shared" si="199"/>
        <v>0</v>
      </c>
      <c r="GM43" s="127">
        <f t="shared" si="200"/>
        <v>0</v>
      </c>
    </row>
    <row r="44" spans="7:195" ht="18.75" x14ac:dyDescent="0.3">
      <c r="N44" s="8"/>
      <c r="O44" s="29"/>
      <c r="P44" s="8"/>
      <c r="Q44" s="8"/>
      <c r="R44" s="8"/>
      <c r="AK44" s="47">
        <f t="shared" si="81"/>
        <v>2.262</v>
      </c>
      <c r="AL44" s="46">
        <f t="shared" si="81"/>
        <v>1.131</v>
      </c>
      <c r="AM44" s="46">
        <f t="shared" si="81"/>
        <v>0.754</v>
      </c>
      <c r="AN44" s="111">
        <f t="shared" si="129"/>
        <v>0.5655</v>
      </c>
      <c r="AO44" s="46">
        <f t="shared" ref="AO44:AT44" si="225">AO43</f>
        <v>1.218</v>
      </c>
      <c r="AP44" s="46">
        <f t="shared" si="225"/>
        <v>2.4359999999999999</v>
      </c>
      <c r="AQ44" s="46">
        <f t="shared" si="225"/>
        <v>3.6539999999999999</v>
      </c>
      <c r="AR44" s="46">
        <f t="shared" si="225"/>
        <v>2.3242049999999996</v>
      </c>
      <c r="AS44" s="46">
        <f t="shared" si="225"/>
        <v>4.6484099999999993</v>
      </c>
      <c r="AT44" s="162">
        <f t="shared" si="225"/>
        <v>6.9726149999999993</v>
      </c>
      <c r="AU44" s="163">
        <f t="shared" si="116"/>
        <v>1.1000000000000001</v>
      </c>
      <c r="AV44" s="78" t="str">
        <f t="shared" si="116"/>
        <v>5X7</v>
      </c>
      <c r="AW44" s="78">
        <f t="shared" si="116"/>
        <v>35</v>
      </c>
      <c r="AX44" s="35">
        <f t="shared" si="116"/>
        <v>0.97977000000000003</v>
      </c>
      <c r="AY44" s="36">
        <f t="shared" si="116"/>
        <v>1.9595400000000001</v>
      </c>
      <c r="AZ44" s="58">
        <f t="shared" si="116"/>
        <v>2.9393099999999999</v>
      </c>
      <c r="BB44" s="31" t="str">
        <f t="shared" ref="BB44:BF44" si="226">BB43</f>
        <v>4.5X10</v>
      </c>
      <c r="BC44" s="78">
        <f t="shared" si="226"/>
        <v>45</v>
      </c>
      <c r="BD44" s="35">
        <f t="shared" si="226"/>
        <v>1.23838</v>
      </c>
      <c r="BE44" s="36">
        <f t="shared" si="226"/>
        <v>2.4767600000000001</v>
      </c>
      <c r="BF44" s="58">
        <f t="shared" si="226"/>
        <v>3.7151399999999999</v>
      </c>
      <c r="BH44" s="31" t="str">
        <f t="shared" ref="BH44:BL44" si="227">BH43</f>
        <v>4.5X17</v>
      </c>
      <c r="BI44" s="78">
        <f t="shared" si="227"/>
        <v>76.5</v>
      </c>
      <c r="BJ44" s="35">
        <f t="shared" si="227"/>
        <v>1.9836300000000002</v>
      </c>
      <c r="BK44" s="36">
        <f t="shared" si="227"/>
        <v>3.9672600000000005</v>
      </c>
      <c r="BL44" s="58">
        <f t="shared" si="227"/>
        <v>5.9508900000000011</v>
      </c>
      <c r="BN44" s="31" t="str">
        <f t="shared" ref="BN44:BR44" si="228">BN43</f>
        <v>8X10</v>
      </c>
      <c r="BO44" s="78">
        <f t="shared" si="228"/>
        <v>80</v>
      </c>
      <c r="BP44" s="35">
        <f t="shared" si="228"/>
        <v>2.0702000000000003</v>
      </c>
      <c r="BQ44" s="36">
        <f t="shared" si="228"/>
        <v>4.1404000000000005</v>
      </c>
      <c r="BR44" s="58">
        <f t="shared" si="228"/>
        <v>6.2106000000000012</v>
      </c>
      <c r="BT44" s="31" t="str">
        <f t="shared" ref="BT44:BX44" si="229">BT43</f>
        <v>7X17</v>
      </c>
      <c r="BU44" s="78">
        <f t="shared" si="229"/>
        <v>119</v>
      </c>
      <c r="BV44" s="35">
        <f t="shared" si="229"/>
        <v>3.0300600000000002</v>
      </c>
      <c r="BW44" s="36">
        <f t="shared" si="229"/>
        <v>6.0601200000000004</v>
      </c>
      <c r="BX44" s="58">
        <f t="shared" si="229"/>
        <v>9.0901800000000001</v>
      </c>
      <c r="BZ44" s="31" t="str">
        <f t="shared" ref="BZ44:CD44" si="230">BZ43</f>
        <v>10X12</v>
      </c>
      <c r="CA44" s="78">
        <f t="shared" si="230"/>
        <v>120</v>
      </c>
      <c r="CB44" s="35">
        <f t="shared" si="230"/>
        <v>3.0453500000000004</v>
      </c>
      <c r="CC44" s="36">
        <f t="shared" si="230"/>
        <v>6.0907000000000009</v>
      </c>
      <c r="CD44" s="58">
        <f t="shared" si="230"/>
        <v>9.1360500000000009</v>
      </c>
      <c r="CF44" s="31" t="str">
        <f t="shared" ref="CF44:CJ44" si="231">CF43</f>
        <v>11X14</v>
      </c>
      <c r="CG44" s="78">
        <f t="shared" si="231"/>
        <v>154</v>
      </c>
      <c r="CH44" s="35">
        <f t="shared" si="231"/>
        <v>3.8582500000000004</v>
      </c>
      <c r="CI44" s="36">
        <f t="shared" si="231"/>
        <v>7.7165000000000008</v>
      </c>
      <c r="CJ44" s="58">
        <f t="shared" si="231"/>
        <v>11.574750000000002</v>
      </c>
      <c r="CL44" s="31" t="str">
        <f t="shared" ref="CL44:CP44" si="232">CL43</f>
        <v>14X17</v>
      </c>
      <c r="CM44" s="78">
        <f t="shared" si="232"/>
        <v>238</v>
      </c>
      <c r="CN44" s="35">
        <f t="shared" si="232"/>
        <v>5.9076599999999999</v>
      </c>
      <c r="CO44" s="36">
        <f t="shared" si="232"/>
        <v>11.81532</v>
      </c>
      <c r="CP44" s="58">
        <f t="shared" si="232"/>
        <v>17.72298</v>
      </c>
      <c r="CR44" s="209"/>
      <c r="CS44" s="233"/>
      <c r="CT44" s="217"/>
      <c r="CU44" s="232"/>
      <c r="CV44" s="209"/>
      <c r="CW44" s="276"/>
      <c r="CX44" s="209"/>
      <c r="CY44" s="251">
        <f t="shared" si="103"/>
        <v>1</v>
      </c>
      <c r="CZ44" s="250">
        <f t="shared" si="128"/>
        <v>1</v>
      </c>
      <c r="DA44" s="248">
        <f t="shared" si="92"/>
        <v>2</v>
      </c>
      <c r="DB44" s="248">
        <f t="shared" si="93"/>
        <v>1</v>
      </c>
      <c r="DC44" s="277"/>
      <c r="DD44" s="278"/>
      <c r="DE44" s="279"/>
      <c r="DF44" s="280"/>
      <c r="DG44" s="195">
        <f t="shared" si="217"/>
        <v>0</v>
      </c>
      <c r="DH44" s="81">
        <f t="shared" si="218"/>
        <v>0</v>
      </c>
      <c r="DI44" s="81">
        <f t="shared" si="219"/>
        <v>0</v>
      </c>
      <c r="DJ44" s="81">
        <f t="shared" si="220"/>
        <v>0</v>
      </c>
      <c r="DK44" s="82">
        <f t="shared" si="221"/>
        <v>0</v>
      </c>
      <c r="DM44" s="83">
        <f t="shared" si="222"/>
        <v>0</v>
      </c>
      <c r="DN44" s="84">
        <f t="shared" si="223"/>
        <v>0</v>
      </c>
      <c r="DO44" s="84">
        <f t="shared" si="224"/>
        <v>0</v>
      </c>
      <c r="DP44" s="105"/>
      <c r="DQ44" s="85">
        <f t="shared" si="138"/>
        <v>0</v>
      </c>
      <c r="DR44" s="108">
        <f t="shared" si="139"/>
        <v>0</v>
      </c>
      <c r="DS44" s="244">
        <f t="shared" si="140"/>
        <v>0</v>
      </c>
      <c r="DT44" s="113"/>
      <c r="DU44" s="132">
        <f t="shared" si="141"/>
        <v>0</v>
      </c>
      <c r="DV44" s="133">
        <f t="shared" si="142"/>
        <v>0</v>
      </c>
      <c r="DW44" s="128">
        <f t="shared" si="143"/>
        <v>0</v>
      </c>
      <c r="DX44" s="133">
        <f t="shared" si="144"/>
        <v>0</v>
      </c>
      <c r="DY44" s="128">
        <f t="shared" si="145"/>
        <v>0</v>
      </c>
      <c r="DZ44" s="126">
        <f t="shared" si="146"/>
        <v>0</v>
      </c>
      <c r="EA44" s="127">
        <f t="shared" si="147"/>
        <v>0</v>
      </c>
      <c r="EC44" s="132">
        <f t="shared" si="148"/>
        <v>0</v>
      </c>
      <c r="ED44" s="133">
        <v>4.1150000000000002</v>
      </c>
      <c r="EE44" s="128">
        <f t="shared" si="149"/>
        <v>0</v>
      </c>
      <c r="EF44" s="133">
        <f t="shared" si="150"/>
        <v>0</v>
      </c>
      <c r="EG44" s="128">
        <f t="shared" si="151"/>
        <v>0</v>
      </c>
      <c r="EH44" s="134">
        <f t="shared" si="152"/>
        <v>0</v>
      </c>
      <c r="EI44" s="127">
        <f t="shared" si="153"/>
        <v>0</v>
      </c>
      <c r="EK44" s="132">
        <f t="shared" si="154"/>
        <v>0</v>
      </c>
      <c r="EL44" s="133">
        <f t="shared" si="94"/>
        <v>0.125</v>
      </c>
      <c r="EM44" s="128">
        <f t="shared" si="155"/>
        <v>0</v>
      </c>
      <c r="EN44" s="133">
        <f t="shared" si="156"/>
        <v>0</v>
      </c>
      <c r="EO44" s="128">
        <f t="shared" si="157"/>
        <v>0</v>
      </c>
      <c r="EP44" s="134">
        <f t="shared" si="158"/>
        <v>0</v>
      </c>
      <c r="EQ44" s="127">
        <f t="shared" si="159"/>
        <v>0</v>
      </c>
      <c r="ER44" s="127"/>
      <c r="ES44" s="132">
        <f t="shared" si="160"/>
        <v>0</v>
      </c>
      <c r="ET44" s="133">
        <f t="shared" si="95"/>
        <v>0.13</v>
      </c>
      <c r="EU44" s="128">
        <f t="shared" si="161"/>
        <v>0</v>
      </c>
      <c r="EV44" s="133">
        <f t="shared" si="162"/>
        <v>0</v>
      </c>
      <c r="EW44" s="128">
        <f t="shared" si="163"/>
        <v>0</v>
      </c>
      <c r="EX44" s="134">
        <f t="shared" si="164"/>
        <v>0</v>
      </c>
      <c r="EY44" s="127">
        <f t="shared" si="165"/>
        <v>0</v>
      </c>
      <c r="FA44" s="132">
        <f t="shared" si="166"/>
        <v>0</v>
      </c>
      <c r="FB44" s="133">
        <f t="shared" si="167"/>
        <v>0</v>
      </c>
      <c r="FC44" s="128">
        <f t="shared" si="168"/>
        <v>0</v>
      </c>
      <c r="FD44" s="133">
        <f t="shared" si="169"/>
        <v>0</v>
      </c>
      <c r="FE44" s="128">
        <f t="shared" si="170"/>
        <v>0</v>
      </c>
      <c r="FF44" s="134">
        <f t="shared" si="171"/>
        <v>0</v>
      </c>
      <c r="FG44" s="127">
        <f t="shared" si="172"/>
        <v>0</v>
      </c>
      <c r="FI44" s="132">
        <f t="shared" si="173"/>
        <v>0</v>
      </c>
      <c r="FJ44" s="133">
        <f t="shared" si="174"/>
        <v>0</v>
      </c>
      <c r="FK44" s="128">
        <f t="shared" si="175"/>
        <v>0</v>
      </c>
      <c r="FL44" s="133">
        <f t="shared" si="176"/>
        <v>0</v>
      </c>
      <c r="FM44" s="128">
        <f t="shared" si="177"/>
        <v>0</v>
      </c>
      <c r="FN44" s="134">
        <f t="shared" si="178"/>
        <v>0</v>
      </c>
      <c r="FO44" s="127">
        <f t="shared" si="179"/>
        <v>0</v>
      </c>
      <c r="FQ44" s="132">
        <f t="shared" si="180"/>
        <v>0</v>
      </c>
      <c r="FR44" s="133">
        <f t="shared" si="181"/>
        <v>0</v>
      </c>
      <c r="FS44" s="128">
        <f t="shared" si="182"/>
        <v>0</v>
      </c>
      <c r="FT44" s="133">
        <f t="shared" si="183"/>
        <v>0</v>
      </c>
      <c r="FU44" s="128">
        <f t="shared" si="184"/>
        <v>0</v>
      </c>
      <c r="FV44" s="134">
        <f t="shared" si="185"/>
        <v>0</v>
      </c>
      <c r="FW44" s="127">
        <f t="shared" si="186"/>
        <v>0</v>
      </c>
      <c r="FY44" s="132">
        <f t="shared" si="187"/>
        <v>0</v>
      </c>
      <c r="FZ44" s="133">
        <f t="shared" si="188"/>
        <v>0</v>
      </c>
      <c r="GA44" s="128">
        <f t="shared" si="189"/>
        <v>0</v>
      </c>
      <c r="GB44" s="133">
        <f t="shared" si="190"/>
        <v>0</v>
      </c>
      <c r="GC44" s="128">
        <f t="shared" si="191"/>
        <v>0</v>
      </c>
      <c r="GD44" s="134">
        <f t="shared" si="192"/>
        <v>0</v>
      </c>
      <c r="GE44" s="127">
        <f t="shared" si="193"/>
        <v>0</v>
      </c>
      <c r="GG44" s="132">
        <f t="shared" si="194"/>
        <v>0</v>
      </c>
      <c r="GH44" s="133">
        <f t="shared" si="195"/>
        <v>0</v>
      </c>
      <c r="GI44" s="128">
        <f t="shared" si="196"/>
        <v>0</v>
      </c>
      <c r="GJ44" s="133">
        <f t="shared" si="197"/>
        <v>0</v>
      </c>
      <c r="GK44" s="128">
        <f t="shared" si="198"/>
        <v>0</v>
      </c>
      <c r="GL44" s="134">
        <f t="shared" si="199"/>
        <v>0</v>
      </c>
      <c r="GM44" s="127">
        <f t="shared" si="200"/>
        <v>0</v>
      </c>
    </row>
    <row r="45" spans="7:195" ht="18.75" x14ac:dyDescent="0.3">
      <c r="N45" s="8"/>
      <c r="O45" s="29"/>
      <c r="P45" s="8"/>
      <c r="Q45" s="8"/>
      <c r="R45" s="8"/>
      <c r="AK45" s="47">
        <f t="shared" si="81"/>
        <v>2.262</v>
      </c>
      <c r="AL45" s="46">
        <f t="shared" si="81"/>
        <v>1.131</v>
      </c>
      <c r="AM45" s="46">
        <f t="shared" si="81"/>
        <v>0.754</v>
      </c>
      <c r="AN45" s="111">
        <f t="shared" si="129"/>
        <v>0.5655</v>
      </c>
      <c r="AO45" s="46">
        <f t="shared" ref="AO45:AT45" si="233">AO44</f>
        <v>1.218</v>
      </c>
      <c r="AP45" s="46">
        <f t="shared" si="233"/>
        <v>2.4359999999999999</v>
      </c>
      <c r="AQ45" s="46">
        <f t="shared" si="233"/>
        <v>3.6539999999999999</v>
      </c>
      <c r="AR45" s="46">
        <f t="shared" si="233"/>
        <v>2.3242049999999996</v>
      </c>
      <c r="AS45" s="46">
        <f t="shared" si="233"/>
        <v>4.6484099999999993</v>
      </c>
      <c r="AT45" s="162">
        <f t="shared" si="233"/>
        <v>6.9726149999999993</v>
      </c>
      <c r="AU45" s="163">
        <f t="shared" si="116"/>
        <v>1.1000000000000001</v>
      </c>
      <c r="AV45" s="78" t="str">
        <f t="shared" si="116"/>
        <v>5X7</v>
      </c>
      <c r="AW45" s="78">
        <f t="shared" si="116"/>
        <v>35</v>
      </c>
      <c r="AX45" s="35">
        <f t="shared" si="116"/>
        <v>0.97977000000000003</v>
      </c>
      <c r="AY45" s="36">
        <f t="shared" si="116"/>
        <v>1.9595400000000001</v>
      </c>
      <c r="AZ45" s="58">
        <f t="shared" si="116"/>
        <v>2.9393099999999999</v>
      </c>
      <c r="BB45" s="31" t="str">
        <f t="shared" ref="BB45:BF45" si="234">BB44</f>
        <v>4.5X10</v>
      </c>
      <c r="BC45" s="78">
        <f t="shared" si="234"/>
        <v>45</v>
      </c>
      <c r="BD45" s="35">
        <f t="shared" si="234"/>
        <v>1.23838</v>
      </c>
      <c r="BE45" s="36">
        <f t="shared" si="234"/>
        <v>2.4767600000000001</v>
      </c>
      <c r="BF45" s="58">
        <f t="shared" si="234"/>
        <v>3.7151399999999999</v>
      </c>
      <c r="BH45" s="31" t="str">
        <f t="shared" ref="BH45:BL45" si="235">BH44</f>
        <v>4.5X17</v>
      </c>
      <c r="BI45" s="78">
        <f t="shared" si="235"/>
        <v>76.5</v>
      </c>
      <c r="BJ45" s="35">
        <f t="shared" si="235"/>
        <v>1.9836300000000002</v>
      </c>
      <c r="BK45" s="36">
        <f t="shared" si="235"/>
        <v>3.9672600000000005</v>
      </c>
      <c r="BL45" s="58">
        <f t="shared" si="235"/>
        <v>5.9508900000000011</v>
      </c>
      <c r="BN45" s="31" t="str">
        <f t="shared" ref="BN45:BR45" si="236">BN44</f>
        <v>8X10</v>
      </c>
      <c r="BO45" s="78">
        <f t="shared" si="236"/>
        <v>80</v>
      </c>
      <c r="BP45" s="35">
        <f t="shared" si="236"/>
        <v>2.0702000000000003</v>
      </c>
      <c r="BQ45" s="36">
        <f t="shared" si="236"/>
        <v>4.1404000000000005</v>
      </c>
      <c r="BR45" s="58">
        <f t="shared" si="236"/>
        <v>6.2106000000000012</v>
      </c>
      <c r="BT45" s="31" t="str">
        <f t="shared" ref="BT45:BX45" si="237">BT44</f>
        <v>7X17</v>
      </c>
      <c r="BU45" s="78">
        <f t="shared" si="237"/>
        <v>119</v>
      </c>
      <c r="BV45" s="35">
        <f t="shared" si="237"/>
        <v>3.0300600000000002</v>
      </c>
      <c r="BW45" s="36">
        <f t="shared" si="237"/>
        <v>6.0601200000000004</v>
      </c>
      <c r="BX45" s="58">
        <f t="shared" si="237"/>
        <v>9.0901800000000001</v>
      </c>
      <c r="BZ45" s="31" t="str">
        <f t="shared" ref="BZ45:CD45" si="238">BZ44</f>
        <v>10X12</v>
      </c>
      <c r="CA45" s="78">
        <f t="shared" si="238"/>
        <v>120</v>
      </c>
      <c r="CB45" s="35">
        <f t="shared" si="238"/>
        <v>3.0453500000000004</v>
      </c>
      <c r="CC45" s="36">
        <f t="shared" si="238"/>
        <v>6.0907000000000009</v>
      </c>
      <c r="CD45" s="58">
        <f t="shared" si="238"/>
        <v>9.1360500000000009</v>
      </c>
      <c r="CF45" s="31" t="str">
        <f t="shared" ref="CF45:CJ45" si="239">CF44</f>
        <v>11X14</v>
      </c>
      <c r="CG45" s="78">
        <f t="shared" si="239"/>
        <v>154</v>
      </c>
      <c r="CH45" s="35">
        <f t="shared" si="239"/>
        <v>3.8582500000000004</v>
      </c>
      <c r="CI45" s="36">
        <f t="shared" si="239"/>
        <v>7.7165000000000008</v>
      </c>
      <c r="CJ45" s="58">
        <f t="shared" si="239"/>
        <v>11.574750000000002</v>
      </c>
      <c r="CL45" s="31" t="str">
        <f t="shared" ref="CL45:CP45" si="240">CL44</f>
        <v>14X17</v>
      </c>
      <c r="CM45" s="78">
        <f t="shared" si="240"/>
        <v>238</v>
      </c>
      <c r="CN45" s="35">
        <f t="shared" si="240"/>
        <v>5.9076599999999999</v>
      </c>
      <c r="CO45" s="36">
        <f t="shared" si="240"/>
        <v>11.81532</v>
      </c>
      <c r="CP45" s="58">
        <f t="shared" si="240"/>
        <v>17.72298</v>
      </c>
      <c r="CR45" s="209"/>
      <c r="CS45" s="233"/>
      <c r="CT45" s="217"/>
      <c r="CU45" s="232"/>
      <c r="CV45" s="209"/>
      <c r="CW45" s="276"/>
      <c r="CX45" s="209"/>
      <c r="CY45" s="251">
        <f t="shared" si="103"/>
        <v>1</v>
      </c>
      <c r="CZ45" s="250">
        <f t="shared" si="128"/>
        <v>1</v>
      </c>
      <c r="DA45" s="248">
        <f t="shared" si="92"/>
        <v>2</v>
      </c>
      <c r="DB45" s="248">
        <f t="shared" si="93"/>
        <v>1</v>
      </c>
      <c r="DC45" s="277"/>
      <c r="DD45" s="278"/>
      <c r="DE45" s="279"/>
      <c r="DF45" s="280"/>
      <c r="DG45" s="195">
        <f t="shared" si="217"/>
        <v>0</v>
      </c>
      <c r="DH45" s="81">
        <f t="shared" si="218"/>
        <v>0</v>
      </c>
      <c r="DI45" s="81">
        <f t="shared" si="219"/>
        <v>0</v>
      </c>
      <c r="DJ45" s="81">
        <f t="shared" si="220"/>
        <v>0</v>
      </c>
      <c r="DK45" s="82">
        <f t="shared" si="221"/>
        <v>0</v>
      </c>
      <c r="DM45" s="83">
        <f t="shared" si="222"/>
        <v>0</v>
      </c>
      <c r="DN45" s="84">
        <f t="shared" si="223"/>
        <v>0</v>
      </c>
      <c r="DO45" s="84">
        <f t="shared" si="224"/>
        <v>0</v>
      </c>
      <c r="DP45" s="105"/>
      <c r="DQ45" s="85">
        <f t="shared" si="138"/>
        <v>0</v>
      </c>
      <c r="DR45" s="108">
        <f t="shared" si="139"/>
        <v>0</v>
      </c>
      <c r="DS45" s="244">
        <f t="shared" si="140"/>
        <v>0</v>
      </c>
      <c r="DT45" s="113"/>
      <c r="DU45" s="132">
        <f t="shared" si="141"/>
        <v>0</v>
      </c>
      <c r="DV45" s="133">
        <f t="shared" si="142"/>
        <v>0</v>
      </c>
      <c r="DW45" s="128">
        <f t="shared" si="143"/>
        <v>0</v>
      </c>
      <c r="DX45" s="133">
        <f t="shared" si="144"/>
        <v>0</v>
      </c>
      <c r="DY45" s="128">
        <f t="shared" si="145"/>
        <v>0</v>
      </c>
      <c r="DZ45" s="126">
        <f t="shared" si="146"/>
        <v>0</v>
      </c>
      <c r="EA45" s="127">
        <f t="shared" si="147"/>
        <v>0</v>
      </c>
      <c r="EC45" s="132">
        <f t="shared" si="148"/>
        <v>0</v>
      </c>
      <c r="ED45" s="133">
        <v>5.1150000000000002</v>
      </c>
      <c r="EE45" s="128">
        <f t="shared" si="149"/>
        <v>0</v>
      </c>
      <c r="EF45" s="133">
        <f t="shared" si="150"/>
        <v>0</v>
      </c>
      <c r="EG45" s="128">
        <f t="shared" si="151"/>
        <v>0</v>
      </c>
      <c r="EH45" s="134">
        <f t="shared" si="152"/>
        <v>0</v>
      </c>
      <c r="EI45" s="127">
        <f t="shared" si="153"/>
        <v>0</v>
      </c>
      <c r="EK45" s="132">
        <f t="shared" si="154"/>
        <v>0</v>
      </c>
      <c r="EL45" s="133">
        <f t="shared" si="94"/>
        <v>0.125</v>
      </c>
      <c r="EM45" s="128">
        <f t="shared" si="155"/>
        <v>0</v>
      </c>
      <c r="EN45" s="133">
        <f t="shared" si="156"/>
        <v>0</v>
      </c>
      <c r="EO45" s="128">
        <f t="shared" si="157"/>
        <v>0</v>
      </c>
      <c r="EP45" s="134">
        <f t="shared" si="158"/>
        <v>0</v>
      </c>
      <c r="EQ45" s="127">
        <f t="shared" si="159"/>
        <v>0</v>
      </c>
      <c r="ER45" s="127"/>
      <c r="ES45" s="132">
        <f t="shared" si="160"/>
        <v>0</v>
      </c>
      <c r="ET45" s="133">
        <f t="shared" si="95"/>
        <v>0.13</v>
      </c>
      <c r="EU45" s="128">
        <f t="shared" si="161"/>
        <v>0</v>
      </c>
      <c r="EV45" s="133">
        <f t="shared" si="162"/>
        <v>0</v>
      </c>
      <c r="EW45" s="128">
        <f t="shared" si="163"/>
        <v>0</v>
      </c>
      <c r="EX45" s="134">
        <f t="shared" si="164"/>
        <v>0</v>
      </c>
      <c r="EY45" s="127">
        <f t="shared" si="165"/>
        <v>0</v>
      </c>
      <c r="FA45" s="132">
        <f t="shared" si="166"/>
        <v>0</v>
      </c>
      <c r="FB45" s="133">
        <f t="shared" si="167"/>
        <v>0</v>
      </c>
      <c r="FC45" s="128">
        <f t="shared" si="168"/>
        <v>0</v>
      </c>
      <c r="FD45" s="133">
        <f t="shared" si="169"/>
        <v>0</v>
      </c>
      <c r="FE45" s="128">
        <f t="shared" si="170"/>
        <v>0</v>
      </c>
      <c r="FF45" s="134">
        <f t="shared" si="171"/>
        <v>0</v>
      </c>
      <c r="FG45" s="127">
        <f t="shared" si="172"/>
        <v>0</v>
      </c>
      <c r="FI45" s="132">
        <f t="shared" si="173"/>
        <v>0</v>
      </c>
      <c r="FJ45" s="133">
        <f t="shared" si="174"/>
        <v>0</v>
      </c>
      <c r="FK45" s="128">
        <f t="shared" si="175"/>
        <v>0</v>
      </c>
      <c r="FL45" s="133">
        <f t="shared" si="176"/>
        <v>0</v>
      </c>
      <c r="FM45" s="128">
        <f t="shared" si="177"/>
        <v>0</v>
      </c>
      <c r="FN45" s="134">
        <f t="shared" si="178"/>
        <v>0</v>
      </c>
      <c r="FO45" s="127">
        <f t="shared" si="179"/>
        <v>0</v>
      </c>
      <c r="FQ45" s="132">
        <f t="shared" si="180"/>
        <v>0</v>
      </c>
      <c r="FR45" s="133">
        <f t="shared" si="181"/>
        <v>0</v>
      </c>
      <c r="FS45" s="128">
        <f t="shared" si="182"/>
        <v>0</v>
      </c>
      <c r="FT45" s="133">
        <f t="shared" si="183"/>
        <v>0</v>
      </c>
      <c r="FU45" s="128">
        <f t="shared" si="184"/>
        <v>0</v>
      </c>
      <c r="FV45" s="134">
        <f t="shared" si="185"/>
        <v>0</v>
      </c>
      <c r="FW45" s="127">
        <f t="shared" si="186"/>
        <v>0</v>
      </c>
      <c r="FY45" s="132">
        <f t="shared" si="187"/>
        <v>0</v>
      </c>
      <c r="FZ45" s="133">
        <f t="shared" si="188"/>
        <v>0</v>
      </c>
      <c r="GA45" s="128">
        <f t="shared" si="189"/>
        <v>0</v>
      </c>
      <c r="GB45" s="133">
        <f t="shared" si="190"/>
        <v>0</v>
      </c>
      <c r="GC45" s="128">
        <f t="shared" si="191"/>
        <v>0</v>
      </c>
      <c r="GD45" s="134">
        <f t="shared" si="192"/>
        <v>0</v>
      </c>
      <c r="GE45" s="127">
        <f t="shared" si="193"/>
        <v>0</v>
      </c>
      <c r="GG45" s="132">
        <f t="shared" si="194"/>
        <v>0</v>
      </c>
      <c r="GH45" s="133">
        <f t="shared" si="195"/>
        <v>0</v>
      </c>
      <c r="GI45" s="128">
        <f t="shared" si="196"/>
        <v>0</v>
      </c>
      <c r="GJ45" s="133">
        <f t="shared" si="197"/>
        <v>0</v>
      </c>
      <c r="GK45" s="128">
        <f t="shared" si="198"/>
        <v>0</v>
      </c>
      <c r="GL45" s="134">
        <f t="shared" si="199"/>
        <v>0</v>
      </c>
      <c r="GM45" s="127">
        <f t="shared" si="200"/>
        <v>0</v>
      </c>
    </row>
    <row r="46" spans="7:195" ht="18.75" x14ac:dyDescent="0.3">
      <c r="N46" s="8"/>
      <c r="O46" s="29"/>
      <c r="P46" s="8"/>
      <c r="Q46" s="8"/>
      <c r="R46" s="8"/>
      <c r="AK46" s="47">
        <f t="shared" si="81"/>
        <v>2.262</v>
      </c>
      <c r="AL46" s="46">
        <f t="shared" si="81"/>
        <v>1.131</v>
      </c>
      <c r="AM46" s="46">
        <f t="shared" si="81"/>
        <v>0.754</v>
      </c>
      <c r="AN46" s="111">
        <f t="shared" si="129"/>
        <v>0.5655</v>
      </c>
      <c r="AO46" s="46">
        <f t="shared" ref="AO46:AT46" si="241">AO45</f>
        <v>1.218</v>
      </c>
      <c r="AP46" s="46">
        <f t="shared" si="241"/>
        <v>2.4359999999999999</v>
      </c>
      <c r="AQ46" s="46">
        <f t="shared" si="241"/>
        <v>3.6539999999999999</v>
      </c>
      <c r="AR46" s="46">
        <f t="shared" si="241"/>
        <v>2.3242049999999996</v>
      </c>
      <c r="AS46" s="46">
        <f t="shared" si="241"/>
        <v>4.6484099999999993</v>
      </c>
      <c r="AT46" s="162">
        <f t="shared" si="241"/>
        <v>6.9726149999999993</v>
      </c>
      <c r="AU46" s="163">
        <f t="shared" si="116"/>
        <v>1.1000000000000001</v>
      </c>
      <c r="AV46" s="78" t="str">
        <f t="shared" si="116"/>
        <v>5X7</v>
      </c>
      <c r="AW46" s="78">
        <f t="shared" si="116"/>
        <v>35</v>
      </c>
      <c r="AX46" s="35">
        <f t="shared" si="116"/>
        <v>0.97977000000000003</v>
      </c>
      <c r="AY46" s="36">
        <f t="shared" si="116"/>
        <v>1.9595400000000001</v>
      </c>
      <c r="AZ46" s="58">
        <f t="shared" si="116"/>
        <v>2.9393099999999999</v>
      </c>
      <c r="BB46" s="31" t="str">
        <f t="shared" ref="BB46:BF46" si="242">BB45</f>
        <v>4.5X10</v>
      </c>
      <c r="BC46" s="78">
        <f t="shared" si="242"/>
        <v>45</v>
      </c>
      <c r="BD46" s="35">
        <f t="shared" si="242"/>
        <v>1.23838</v>
      </c>
      <c r="BE46" s="36">
        <f t="shared" si="242"/>
        <v>2.4767600000000001</v>
      </c>
      <c r="BF46" s="58">
        <f t="shared" si="242"/>
        <v>3.7151399999999999</v>
      </c>
      <c r="BH46" s="31" t="str">
        <f t="shared" ref="BH46:BL46" si="243">BH45</f>
        <v>4.5X17</v>
      </c>
      <c r="BI46" s="78">
        <f t="shared" si="243"/>
        <v>76.5</v>
      </c>
      <c r="BJ46" s="35">
        <f t="shared" si="243"/>
        <v>1.9836300000000002</v>
      </c>
      <c r="BK46" s="36">
        <f t="shared" si="243"/>
        <v>3.9672600000000005</v>
      </c>
      <c r="BL46" s="58">
        <f t="shared" si="243"/>
        <v>5.9508900000000011</v>
      </c>
      <c r="BN46" s="31" t="str">
        <f t="shared" ref="BN46:BR46" si="244">BN45</f>
        <v>8X10</v>
      </c>
      <c r="BO46" s="78">
        <f t="shared" si="244"/>
        <v>80</v>
      </c>
      <c r="BP46" s="35">
        <f t="shared" si="244"/>
        <v>2.0702000000000003</v>
      </c>
      <c r="BQ46" s="36">
        <f t="shared" si="244"/>
        <v>4.1404000000000005</v>
      </c>
      <c r="BR46" s="58">
        <f t="shared" si="244"/>
        <v>6.2106000000000012</v>
      </c>
      <c r="BT46" s="31" t="str">
        <f t="shared" ref="BT46:BX46" si="245">BT45</f>
        <v>7X17</v>
      </c>
      <c r="BU46" s="78">
        <f t="shared" si="245"/>
        <v>119</v>
      </c>
      <c r="BV46" s="35">
        <f t="shared" si="245"/>
        <v>3.0300600000000002</v>
      </c>
      <c r="BW46" s="36">
        <f t="shared" si="245"/>
        <v>6.0601200000000004</v>
      </c>
      <c r="BX46" s="58">
        <f t="shared" si="245"/>
        <v>9.0901800000000001</v>
      </c>
      <c r="BZ46" s="31" t="str">
        <f t="shared" ref="BZ46:CD46" si="246">BZ45</f>
        <v>10X12</v>
      </c>
      <c r="CA46" s="78">
        <f t="shared" si="246"/>
        <v>120</v>
      </c>
      <c r="CB46" s="35">
        <f t="shared" si="246"/>
        <v>3.0453500000000004</v>
      </c>
      <c r="CC46" s="36">
        <f t="shared" si="246"/>
        <v>6.0907000000000009</v>
      </c>
      <c r="CD46" s="58">
        <f t="shared" si="246"/>
        <v>9.1360500000000009</v>
      </c>
      <c r="CF46" s="31" t="str">
        <f t="shared" ref="CF46:CJ46" si="247">CF45</f>
        <v>11X14</v>
      </c>
      <c r="CG46" s="78">
        <f t="shared" si="247"/>
        <v>154</v>
      </c>
      <c r="CH46" s="35">
        <f t="shared" si="247"/>
        <v>3.8582500000000004</v>
      </c>
      <c r="CI46" s="36">
        <f t="shared" si="247"/>
        <v>7.7165000000000008</v>
      </c>
      <c r="CJ46" s="58">
        <f t="shared" si="247"/>
        <v>11.574750000000002</v>
      </c>
      <c r="CL46" s="31" t="str">
        <f t="shared" ref="CL46:CP46" si="248">CL45</f>
        <v>14X17</v>
      </c>
      <c r="CM46" s="78">
        <f t="shared" si="248"/>
        <v>238</v>
      </c>
      <c r="CN46" s="35">
        <f t="shared" si="248"/>
        <v>5.9076599999999999</v>
      </c>
      <c r="CO46" s="36">
        <f t="shared" si="248"/>
        <v>11.81532</v>
      </c>
      <c r="CP46" s="58">
        <f t="shared" si="248"/>
        <v>17.72298</v>
      </c>
      <c r="CR46" s="209"/>
      <c r="CS46" s="233"/>
      <c r="CT46" s="217"/>
      <c r="CU46" s="232"/>
      <c r="CV46" s="209"/>
      <c r="CW46" s="276"/>
      <c r="CX46" s="209"/>
      <c r="CY46" s="251">
        <f t="shared" si="103"/>
        <v>1</v>
      </c>
      <c r="CZ46" s="250">
        <f t="shared" si="128"/>
        <v>1</v>
      </c>
      <c r="DA46" s="248">
        <f t="shared" si="92"/>
        <v>2</v>
      </c>
      <c r="DB46" s="248">
        <f t="shared" si="93"/>
        <v>1</v>
      </c>
      <c r="DC46" s="277"/>
      <c r="DD46" s="278"/>
      <c r="DE46" s="279"/>
      <c r="DF46" s="280"/>
      <c r="DG46" s="195">
        <f t="shared" si="217"/>
        <v>0</v>
      </c>
      <c r="DH46" s="81">
        <f t="shared" si="218"/>
        <v>0</v>
      </c>
      <c r="DI46" s="81">
        <f t="shared" si="219"/>
        <v>0</v>
      </c>
      <c r="DJ46" s="81">
        <f t="shared" si="220"/>
        <v>0</v>
      </c>
      <c r="DK46" s="82">
        <f t="shared" si="221"/>
        <v>0</v>
      </c>
      <c r="DM46" s="83">
        <f t="shared" si="222"/>
        <v>0</v>
      </c>
      <c r="DN46" s="84">
        <f t="shared" si="223"/>
        <v>0</v>
      </c>
      <c r="DO46" s="84">
        <f t="shared" si="224"/>
        <v>0</v>
      </c>
      <c r="DP46" s="105"/>
      <c r="DQ46" s="85">
        <f t="shared" si="138"/>
        <v>0</v>
      </c>
      <c r="DR46" s="108">
        <f t="shared" si="139"/>
        <v>0</v>
      </c>
      <c r="DS46" s="244">
        <f t="shared" si="140"/>
        <v>0</v>
      </c>
      <c r="DT46" s="113"/>
      <c r="DU46" s="132">
        <f t="shared" si="141"/>
        <v>0</v>
      </c>
      <c r="DV46" s="133">
        <f t="shared" si="142"/>
        <v>0</v>
      </c>
      <c r="DW46" s="128">
        <f t="shared" si="143"/>
        <v>0</v>
      </c>
      <c r="DX46" s="133">
        <f t="shared" si="144"/>
        <v>0</v>
      </c>
      <c r="DY46" s="128">
        <f t="shared" si="145"/>
        <v>0</v>
      </c>
      <c r="DZ46" s="126">
        <f t="shared" si="146"/>
        <v>0</v>
      </c>
      <c r="EA46" s="127">
        <f t="shared" si="147"/>
        <v>0</v>
      </c>
      <c r="EC46" s="132">
        <f t="shared" si="148"/>
        <v>0</v>
      </c>
      <c r="ED46" s="133">
        <v>6.1150000000000002</v>
      </c>
      <c r="EE46" s="128">
        <f t="shared" si="149"/>
        <v>0</v>
      </c>
      <c r="EF46" s="133">
        <f t="shared" si="150"/>
        <v>0</v>
      </c>
      <c r="EG46" s="128">
        <f t="shared" si="151"/>
        <v>0</v>
      </c>
      <c r="EH46" s="134">
        <f t="shared" si="152"/>
        <v>0</v>
      </c>
      <c r="EI46" s="127">
        <f t="shared" si="153"/>
        <v>0</v>
      </c>
      <c r="EK46" s="132">
        <f t="shared" si="154"/>
        <v>0</v>
      </c>
      <c r="EL46" s="133">
        <f t="shared" si="94"/>
        <v>0.125</v>
      </c>
      <c r="EM46" s="128">
        <f t="shared" si="155"/>
        <v>0</v>
      </c>
      <c r="EN46" s="133">
        <f t="shared" si="156"/>
        <v>0</v>
      </c>
      <c r="EO46" s="128">
        <f t="shared" si="157"/>
        <v>0</v>
      </c>
      <c r="EP46" s="134">
        <f t="shared" si="158"/>
        <v>0</v>
      </c>
      <c r="EQ46" s="127">
        <f t="shared" si="159"/>
        <v>0</v>
      </c>
      <c r="ER46" s="127"/>
      <c r="ES46" s="132">
        <f t="shared" si="160"/>
        <v>0</v>
      </c>
      <c r="ET46" s="133">
        <f t="shared" si="95"/>
        <v>0.13</v>
      </c>
      <c r="EU46" s="128">
        <f t="shared" si="161"/>
        <v>0</v>
      </c>
      <c r="EV46" s="133">
        <f t="shared" si="162"/>
        <v>0</v>
      </c>
      <c r="EW46" s="128">
        <f t="shared" si="163"/>
        <v>0</v>
      </c>
      <c r="EX46" s="134">
        <f t="shared" si="164"/>
        <v>0</v>
      </c>
      <c r="EY46" s="127">
        <f t="shared" si="165"/>
        <v>0</v>
      </c>
      <c r="FA46" s="132">
        <f t="shared" si="166"/>
        <v>0</v>
      </c>
      <c r="FB46" s="133">
        <f t="shared" si="167"/>
        <v>0</v>
      </c>
      <c r="FC46" s="128">
        <f t="shared" si="168"/>
        <v>0</v>
      </c>
      <c r="FD46" s="133">
        <f t="shared" si="169"/>
        <v>0</v>
      </c>
      <c r="FE46" s="128">
        <f t="shared" si="170"/>
        <v>0</v>
      </c>
      <c r="FF46" s="134">
        <f t="shared" si="171"/>
        <v>0</v>
      </c>
      <c r="FG46" s="127">
        <f t="shared" si="172"/>
        <v>0</v>
      </c>
      <c r="FI46" s="132">
        <f t="shared" si="173"/>
        <v>0</v>
      </c>
      <c r="FJ46" s="133">
        <f t="shared" si="174"/>
        <v>0</v>
      </c>
      <c r="FK46" s="128">
        <f t="shared" si="175"/>
        <v>0</v>
      </c>
      <c r="FL46" s="133">
        <f t="shared" si="176"/>
        <v>0</v>
      </c>
      <c r="FM46" s="128">
        <f t="shared" si="177"/>
        <v>0</v>
      </c>
      <c r="FN46" s="134">
        <f t="shared" si="178"/>
        <v>0</v>
      </c>
      <c r="FO46" s="127">
        <f t="shared" si="179"/>
        <v>0</v>
      </c>
      <c r="FQ46" s="132">
        <f t="shared" si="180"/>
        <v>0</v>
      </c>
      <c r="FR46" s="133">
        <f t="shared" si="181"/>
        <v>0</v>
      </c>
      <c r="FS46" s="128">
        <f t="shared" si="182"/>
        <v>0</v>
      </c>
      <c r="FT46" s="133">
        <f t="shared" si="183"/>
        <v>0</v>
      </c>
      <c r="FU46" s="128">
        <f t="shared" si="184"/>
        <v>0</v>
      </c>
      <c r="FV46" s="134">
        <f t="shared" si="185"/>
        <v>0</v>
      </c>
      <c r="FW46" s="127">
        <f t="shared" si="186"/>
        <v>0</v>
      </c>
      <c r="FY46" s="132">
        <f t="shared" si="187"/>
        <v>0</v>
      </c>
      <c r="FZ46" s="133">
        <f t="shared" si="188"/>
        <v>0</v>
      </c>
      <c r="GA46" s="128">
        <f t="shared" si="189"/>
        <v>0</v>
      </c>
      <c r="GB46" s="133">
        <f t="shared" si="190"/>
        <v>0</v>
      </c>
      <c r="GC46" s="128">
        <f t="shared" si="191"/>
        <v>0</v>
      </c>
      <c r="GD46" s="134">
        <f t="shared" si="192"/>
        <v>0</v>
      </c>
      <c r="GE46" s="127">
        <f t="shared" si="193"/>
        <v>0</v>
      </c>
      <c r="GG46" s="132">
        <f t="shared" si="194"/>
        <v>0</v>
      </c>
      <c r="GH46" s="133">
        <f t="shared" si="195"/>
        <v>0</v>
      </c>
      <c r="GI46" s="128">
        <f t="shared" si="196"/>
        <v>0</v>
      </c>
      <c r="GJ46" s="133">
        <f t="shared" si="197"/>
        <v>0</v>
      </c>
      <c r="GK46" s="128">
        <f t="shared" si="198"/>
        <v>0</v>
      </c>
      <c r="GL46" s="134">
        <f t="shared" si="199"/>
        <v>0</v>
      </c>
      <c r="GM46" s="127">
        <f t="shared" si="200"/>
        <v>0</v>
      </c>
    </row>
    <row r="47" spans="7:195" ht="18.75" x14ac:dyDescent="0.3">
      <c r="N47" s="8"/>
      <c r="O47" s="29"/>
      <c r="P47" s="8"/>
      <c r="Q47" s="8"/>
      <c r="R47" s="8"/>
      <c r="AK47" s="47">
        <f t="shared" si="81"/>
        <v>2.262</v>
      </c>
      <c r="AL47" s="46">
        <f t="shared" si="81"/>
        <v>1.131</v>
      </c>
      <c r="AM47" s="46">
        <f t="shared" si="81"/>
        <v>0.754</v>
      </c>
      <c r="AN47" s="111">
        <f t="shared" si="129"/>
        <v>0.5655</v>
      </c>
      <c r="AO47" s="46">
        <f t="shared" ref="AO47:AT47" si="249">AO46</f>
        <v>1.218</v>
      </c>
      <c r="AP47" s="46">
        <f t="shared" si="249"/>
        <v>2.4359999999999999</v>
      </c>
      <c r="AQ47" s="46">
        <f t="shared" si="249"/>
        <v>3.6539999999999999</v>
      </c>
      <c r="AR47" s="46">
        <f t="shared" si="249"/>
        <v>2.3242049999999996</v>
      </c>
      <c r="AS47" s="46">
        <f t="shared" si="249"/>
        <v>4.6484099999999993</v>
      </c>
      <c r="AT47" s="162">
        <f t="shared" si="249"/>
        <v>6.9726149999999993</v>
      </c>
      <c r="AU47" s="163">
        <f t="shared" si="116"/>
        <v>1.1000000000000001</v>
      </c>
      <c r="AV47" s="78" t="str">
        <f t="shared" si="116"/>
        <v>5X7</v>
      </c>
      <c r="AW47" s="78">
        <f t="shared" si="116"/>
        <v>35</v>
      </c>
      <c r="AX47" s="35">
        <f t="shared" si="116"/>
        <v>0.97977000000000003</v>
      </c>
      <c r="AY47" s="36">
        <f t="shared" si="116"/>
        <v>1.9595400000000001</v>
      </c>
      <c r="AZ47" s="58">
        <f t="shared" si="116"/>
        <v>2.9393099999999999</v>
      </c>
      <c r="BB47" s="31" t="str">
        <f t="shared" ref="BB47:BF47" si="250">BB46</f>
        <v>4.5X10</v>
      </c>
      <c r="BC47" s="78">
        <f t="shared" si="250"/>
        <v>45</v>
      </c>
      <c r="BD47" s="35">
        <f t="shared" si="250"/>
        <v>1.23838</v>
      </c>
      <c r="BE47" s="36">
        <f t="shared" si="250"/>
        <v>2.4767600000000001</v>
      </c>
      <c r="BF47" s="58">
        <f t="shared" si="250"/>
        <v>3.7151399999999999</v>
      </c>
      <c r="BH47" s="31" t="str">
        <f t="shared" ref="BH47:BL47" si="251">BH46</f>
        <v>4.5X17</v>
      </c>
      <c r="BI47" s="78">
        <f t="shared" si="251"/>
        <v>76.5</v>
      </c>
      <c r="BJ47" s="35">
        <f t="shared" si="251"/>
        <v>1.9836300000000002</v>
      </c>
      <c r="BK47" s="36">
        <f t="shared" si="251"/>
        <v>3.9672600000000005</v>
      </c>
      <c r="BL47" s="58">
        <f t="shared" si="251"/>
        <v>5.9508900000000011</v>
      </c>
      <c r="BN47" s="31" t="str">
        <f t="shared" ref="BN47:BR47" si="252">BN46</f>
        <v>8X10</v>
      </c>
      <c r="BO47" s="78">
        <f t="shared" si="252"/>
        <v>80</v>
      </c>
      <c r="BP47" s="35">
        <f t="shared" si="252"/>
        <v>2.0702000000000003</v>
      </c>
      <c r="BQ47" s="36">
        <f t="shared" si="252"/>
        <v>4.1404000000000005</v>
      </c>
      <c r="BR47" s="58">
        <f t="shared" si="252"/>
        <v>6.2106000000000012</v>
      </c>
      <c r="BT47" s="31" t="str">
        <f t="shared" ref="BT47:BX47" si="253">BT46</f>
        <v>7X17</v>
      </c>
      <c r="BU47" s="78">
        <f t="shared" si="253"/>
        <v>119</v>
      </c>
      <c r="BV47" s="35">
        <f t="shared" si="253"/>
        <v>3.0300600000000002</v>
      </c>
      <c r="BW47" s="36">
        <f t="shared" si="253"/>
        <v>6.0601200000000004</v>
      </c>
      <c r="BX47" s="58">
        <f t="shared" si="253"/>
        <v>9.0901800000000001</v>
      </c>
      <c r="BZ47" s="31" t="str">
        <f t="shared" ref="BZ47:CD47" si="254">BZ46</f>
        <v>10X12</v>
      </c>
      <c r="CA47" s="78">
        <f t="shared" si="254"/>
        <v>120</v>
      </c>
      <c r="CB47" s="35">
        <f t="shared" si="254"/>
        <v>3.0453500000000004</v>
      </c>
      <c r="CC47" s="36">
        <f t="shared" si="254"/>
        <v>6.0907000000000009</v>
      </c>
      <c r="CD47" s="58">
        <f t="shared" si="254"/>
        <v>9.1360500000000009</v>
      </c>
      <c r="CF47" s="31" t="str">
        <f t="shared" ref="CF47:CJ47" si="255">CF46</f>
        <v>11X14</v>
      </c>
      <c r="CG47" s="78">
        <f t="shared" si="255"/>
        <v>154</v>
      </c>
      <c r="CH47" s="35">
        <f t="shared" si="255"/>
        <v>3.8582500000000004</v>
      </c>
      <c r="CI47" s="36">
        <f t="shared" si="255"/>
        <v>7.7165000000000008</v>
      </c>
      <c r="CJ47" s="58">
        <f t="shared" si="255"/>
        <v>11.574750000000002</v>
      </c>
      <c r="CL47" s="31" t="str">
        <f t="shared" ref="CL47:CP47" si="256">CL46</f>
        <v>14X17</v>
      </c>
      <c r="CM47" s="78">
        <f t="shared" si="256"/>
        <v>238</v>
      </c>
      <c r="CN47" s="35">
        <f t="shared" si="256"/>
        <v>5.9076599999999999</v>
      </c>
      <c r="CO47" s="36">
        <f t="shared" si="256"/>
        <v>11.81532</v>
      </c>
      <c r="CP47" s="58">
        <f t="shared" si="256"/>
        <v>17.72298</v>
      </c>
      <c r="CR47" s="209"/>
      <c r="CS47" s="233"/>
      <c r="CT47" s="217"/>
      <c r="CU47" s="232"/>
      <c r="CV47" s="209"/>
      <c r="CW47" s="276"/>
      <c r="CX47" s="209"/>
      <c r="CY47" s="251">
        <f t="shared" si="103"/>
        <v>1</v>
      </c>
      <c r="CZ47" s="250">
        <f t="shared" si="128"/>
        <v>1</v>
      </c>
      <c r="DA47" s="248">
        <f t="shared" si="92"/>
        <v>2</v>
      </c>
      <c r="DB47" s="248">
        <f t="shared" si="93"/>
        <v>1</v>
      </c>
      <c r="DC47" s="277"/>
      <c r="DD47" s="278"/>
      <c r="DE47" s="279"/>
      <c r="DF47" s="280"/>
      <c r="DG47" s="195">
        <f t="shared" si="217"/>
        <v>0</v>
      </c>
      <c r="DH47" s="81">
        <f t="shared" si="218"/>
        <v>0</v>
      </c>
      <c r="DI47" s="81">
        <f t="shared" si="219"/>
        <v>0</v>
      </c>
      <c r="DJ47" s="81">
        <f t="shared" si="220"/>
        <v>0</v>
      </c>
      <c r="DK47" s="82">
        <f t="shared" si="221"/>
        <v>0</v>
      </c>
      <c r="DM47" s="83">
        <f t="shared" si="222"/>
        <v>0</v>
      </c>
      <c r="DN47" s="84">
        <f t="shared" si="223"/>
        <v>0</v>
      </c>
      <c r="DO47" s="84">
        <f t="shared" si="224"/>
        <v>0</v>
      </c>
      <c r="DP47" s="105"/>
      <c r="DQ47" s="85">
        <f t="shared" si="138"/>
        <v>0</v>
      </c>
      <c r="DR47" s="108">
        <f t="shared" si="139"/>
        <v>0</v>
      </c>
      <c r="DS47" s="244">
        <f t="shared" si="140"/>
        <v>0</v>
      </c>
      <c r="DT47" s="113"/>
      <c r="DU47" s="132">
        <f t="shared" si="141"/>
        <v>0</v>
      </c>
      <c r="DV47" s="133">
        <f t="shared" si="142"/>
        <v>0</v>
      </c>
      <c r="DW47" s="128">
        <f t="shared" si="143"/>
        <v>0</v>
      </c>
      <c r="DX47" s="133">
        <f t="shared" si="144"/>
        <v>0</v>
      </c>
      <c r="DY47" s="128">
        <f t="shared" si="145"/>
        <v>0</v>
      </c>
      <c r="DZ47" s="126">
        <f t="shared" si="146"/>
        <v>0</v>
      </c>
      <c r="EA47" s="127">
        <f t="shared" si="147"/>
        <v>0</v>
      </c>
      <c r="EC47" s="132">
        <f t="shared" si="148"/>
        <v>0</v>
      </c>
      <c r="ED47" s="133">
        <v>7.1150000000000002</v>
      </c>
      <c r="EE47" s="128">
        <f t="shared" si="149"/>
        <v>0</v>
      </c>
      <c r="EF47" s="133">
        <f t="shared" si="150"/>
        <v>0</v>
      </c>
      <c r="EG47" s="128">
        <f t="shared" si="151"/>
        <v>0</v>
      </c>
      <c r="EH47" s="134">
        <f t="shared" si="152"/>
        <v>0</v>
      </c>
      <c r="EI47" s="127">
        <f t="shared" si="153"/>
        <v>0</v>
      </c>
      <c r="EK47" s="132">
        <f t="shared" si="154"/>
        <v>0</v>
      </c>
      <c r="EL47" s="133">
        <f t="shared" si="94"/>
        <v>0.125</v>
      </c>
      <c r="EM47" s="128">
        <f t="shared" si="155"/>
        <v>0</v>
      </c>
      <c r="EN47" s="133">
        <f t="shared" si="156"/>
        <v>0</v>
      </c>
      <c r="EO47" s="128">
        <f t="shared" si="157"/>
        <v>0</v>
      </c>
      <c r="EP47" s="134">
        <f t="shared" si="158"/>
        <v>0</v>
      </c>
      <c r="EQ47" s="127">
        <f t="shared" si="159"/>
        <v>0</v>
      </c>
      <c r="ER47" s="127"/>
      <c r="ES47" s="132">
        <f t="shared" si="160"/>
        <v>0</v>
      </c>
      <c r="ET47" s="133">
        <f t="shared" si="95"/>
        <v>0.13</v>
      </c>
      <c r="EU47" s="128">
        <f t="shared" si="161"/>
        <v>0</v>
      </c>
      <c r="EV47" s="133">
        <f t="shared" si="162"/>
        <v>0</v>
      </c>
      <c r="EW47" s="128">
        <f t="shared" si="163"/>
        <v>0</v>
      </c>
      <c r="EX47" s="134">
        <f t="shared" si="164"/>
        <v>0</v>
      </c>
      <c r="EY47" s="127">
        <f t="shared" si="165"/>
        <v>0</v>
      </c>
      <c r="FA47" s="132">
        <f t="shared" si="166"/>
        <v>0</v>
      </c>
      <c r="FB47" s="133">
        <f t="shared" si="167"/>
        <v>0</v>
      </c>
      <c r="FC47" s="128">
        <f t="shared" si="168"/>
        <v>0</v>
      </c>
      <c r="FD47" s="133">
        <f t="shared" si="169"/>
        <v>0</v>
      </c>
      <c r="FE47" s="128">
        <f t="shared" si="170"/>
        <v>0</v>
      </c>
      <c r="FF47" s="134">
        <f t="shared" si="171"/>
        <v>0</v>
      </c>
      <c r="FG47" s="127">
        <f t="shared" si="172"/>
        <v>0</v>
      </c>
      <c r="FI47" s="132">
        <f t="shared" si="173"/>
        <v>0</v>
      </c>
      <c r="FJ47" s="133">
        <f t="shared" si="174"/>
        <v>0</v>
      </c>
      <c r="FK47" s="128">
        <f t="shared" si="175"/>
        <v>0</v>
      </c>
      <c r="FL47" s="133">
        <f t="shared" si="176"/>
        <v>0</v>
      </c>
      <c r="FM47" s="128">
        <f t="shared" si="177"/>
        <v>0</v>
      </c>
      <c r="FN47" s="134">
        <f t="shared" si="178"/>
        <v>0</v>
      </c>
      <c r="FO47" s="127">
        <f t="shared" si="179"/>
        <v>0</v>
      </c>
      <c r="FQ47" s="132">
        <f t="shared" si="180"/>
        <v>0</v>
      </c>
      <c r="FR47" s="133">
        <f t="shared" si="181"/>
        <v>0</v>
      </c>
      <c r="FS47" s="128">
        <f t="shared" si="182"/>
        <v>0</v>
      </c>
      <c r="FT47" s="133">
        <f t="shared" si="183"/>
        <v>0</v>
      </c>
      <c r="FU47" s="128">
        <f t="shared" si="184"/>
        <v>0</v>
      </c>
      <c r="FV47" s="134">
        <f t="shared" si="185"/>
        <v>0</v>
      </c>
      <c r="FW47" s="127">
        <f t="shared" si="186"/>
        <v>0</v>
      </c>
      <c r="FY47" s="132">
        <f t="shared" si="187"/>
        <v>0</v>
      </c>
      <c r="FZ47" s="133">
        <f t="shared" si="188"/>
        <v>0</v>
      </c>
      <c r="GA47" s="128">
        <f t="shared" si="189"/>
        <v>0</v>
      </c>
      <c r="GB47" s="133">
        <f t="shared" si="190"/>
        <v>0</v>
      </c>
      <c r="GC47" s="128">
        <f t="shared" si="191"/>
        <v>0</v>
      </c>
      <c r="GD47" s="134">
        <f t="shared" si="192"/>
        <v>0</v>
      </c>
      <c r="GE47" s="127">
        <f t="shared" si="193"/>
        <v>0</v>
      </c>
      <c r="GG47" s="132">
        <f t="shared" si="194"/>
        <v>0</v>
      </c>
      <c r="GH47" s="133">
        <f t="shared" si="195"/>
        <v>0</v>
      </c>
      <c r="GI47" s="128">
        <f t="shared" si="196"/>
        <v>0</v>
      </c>
      <c r="GJ47" s="133">
        <f t="shared" si="197"/>
        <v>0</v>
      </c>
      <c r="GK47" s="128">
        <f t="shared" si="198"/>
        <v>0</v>
      </c>
      <c r="GL47" s="134">
        <f t="shared" si="199"/>
        <v>0</v>
      </c>
      <c r="GM47" s="127">
        <f t="shared" si="200"/>
        <v>0</v>
      </c>
    </row>
    <row r="48" spans="7:195" ht="18.75" x14ac:dyDescent="0.3">
      <c r="N48" s="8"/>
      <c r="O48" s="29"/>
      <c r="P48" s="8"/>
      <c r="Q48" s="8"/>
      <c r="R48" s="8"/>
      <c r="AK48" s="47">
        <f t="shared" si="81"/>
        <v>2.262</v>
      </c>
      <c r="AL48" s="46">
        <f t="shared" si="81"/>
        <v>1.131</v>
      </c>
      <c r="AM48" s="46">
        <f t="shared" si="81"/>
        <v>0.754</v>
      </c>
      <c r="AN48" s="111">
        <f t="shared" si="129"/>
        <v>0.5655</v>
      </c>
      <c r="AO48" s="46">
        <f t="shared" ref="AO48:AT48" si="257">AO47</f>
        <v>1.218</v>
      </c>
      <c r="AP48" s="46">
        <f t="shared" si="257"/>
        <v>2.4359999999999999</v>
      </c>
      <c r="AQ48" s="46">
        <f t="shared" si="257"/>
        <v>3.6539999999999999</v>
      </c>
      <c r="AR48" s="46">
        <f t="shared" si="257"/>
        <v>2.3242049999999996</v>
      </c>
      <c r="AS48" s="46">
        <f t="shared" si="257"/>
        <v>4.6484099999999993</v>
      </c>
      <c r="AT48" s="162">
        <f t="shared" si="257"/>
        <v>6.9726149999999993</v>
      </c>
      <c r="AU48" s="163">
        <f t="shared" si="116"/>
        <v>1.1000000000000001</v>
      </c>
      <c r="AV48" s="78" t="str">
        <f t="shared" si="116"/>
        <v>5X7</v>
      </c>
      <c r="AW48" s="78">
        <f t="shared" si="116"/>
        <v>35</v>
      </c>
      <c r="AX48" s="35">
        <f t="shared" si="116"/>
        <v>0.97977000000000003</v>
      </c>
      <c r="AY48" s="36">
        <f t="shared" si="116"/>
        <v>1.9595400000000001</v>
      </c>
      <c r="AZ48" s="58">
        <f t="shared" si="116"/>
        <v>2.9393099999999999</v>
      </c>
      <c r="BB48" s="31" t="str">
        <f t="shared" ref="BB48:BF48" si="258">BB47</f>
        <v>4.5X10</v>
      </c>
      <c r="BC48" s="78">
        <f t="shared" si="258"/>
        <v>45</v>
      </c>
      <c r="BD48" s="35">
        <f t="shared" si="258"/>
        <v>1.23838</v>
      </c>
      <c r="BE48" s="36">
        <f t="shared" si="258"/>
        <v>2.4767600000000001</v>
      </c>
      <c r="BF48" s="58">
        <f t="shared" si="258"/>
        <v>3.7151399999999999</v>
      </c>
      <c r="BH48" s="31" t="str">
        <f t="shared" ref="BH48:BL48" si="259">BH47</f>
        <v>4.5X17</v>
      </c>
      <c r="BI48" s="78">
        <f t="shared" si="259"/>
        <v>76.5</v>
      </c>
      <c r="BJ48" s="35">
        <f t="shared" si="259"/>
        <v>1.9836300000000002</v>
      </c>
      <c r="BK48" s="36">
        <f t="shared" si="259"/>
        <v>3.9672600000000005</v>
      </c>
      <c r="BL48" s="58">
        <f t="shared" si="259"/>
        <v>5.9508900000000011</v>
      </c>
      <c r="BN48" s="31" t="str">
        <f t="shared" ref="BN48:BR48" si="260">BN47</f>
        <v>8X10</v>
      </c>
      <c r="BO48" s="78">
        <f t="shared" si="260"/>
        <v>80</v>
      </c>
      <c r="BP48" s="35">
        <f t="shared" si="260"/>
        <v>2.0702000000000003</v>
      </c>
      <c r="BQ48" s="36">
        <f t="shared" si="260"/>
        <v>4.1404000000000005</v>
      </c>
      <c r="BR48" s="58">
        <f t="shared" si="260"/>
        <v>6.2106000000000012</v>
      </c>
      <c r="BT48" s="31" t="str">
        <f t="shared" ref="BT48:BX48" si="261">BT47</f>
        <v>7X17</v>
      </c>
      <c r="BU48" s="78">
        <f t="shared" si="261"/>
        <v>119</v>
      </c>
      <c r="BV48" s="35">
        <f t="shared" si="261"/>
        <v>3.0300600000000002</v>
      </c>
      <c r="BW48" s="36">
        <f t="shared" si="261"/>
        <v>6.0601200000000004</v>
      </c>
      <c r="BX48" s="58">
        <f t="shared" si="261"/>
        <v>9.0901800000000001</v>
      </c>
      <c r="BZ48" s="31" t="str">
        <f t="shared" ref="BZ48:CD48" si="262">BZ47</f>
        <v>10X12</v>
      </c>
      <c r="CA48" s="78">
        <f t="shared" si="262"/>
        <v>120</v>
      </c>
      <c r="CB48" s="35">
        <f t="shared" si="262"/>
        <v>3.0453500000000004</v>
      </c>
      <c r="CC48" s="36">
        <f t="shared" si="262"/>
        <v>6.0907000000000009</v>
      </c>
      <c r="CD48" s="58">
        <f t="shared" si="262"/>
        <v>9.1360500000000009</v>
      </c>
      <c r="CF48" s="31" t="str">
        <f t="shared" ref="CF48:CJ48" si="263">CF47</f>
        <v>11X14</v>
      </c>
      <c r="CG48" s="78">
        <f t="shared" si="263"/>
        <v>154</v>
      </c>
      <c r="CH48" s="35">
        <f t="shared" si="263"/>
        <v>3.8582500000000004</v>
      </c>
      <c r="CI48" s="36">
        <f t="shared" si="263"/>
        <v>7.7165000000000008</v>
      </c>
      <c r="CJ48" s="58">
        <f t="shared" si="263"/>
        <v>11.574750000000002</v>
      </c>
      <c r="CL48" s="31" t="str">
        <f t="shared" ref="CL48:CP48" si="264">CL47</f>
        <v>14X17</v>
      </c>
      <c r="CM48" s="78">
        <f t="shared" si="264"/>
        <v>238</v>
      </c>
      <c r="CN48" s="35">
        <f t="shared" si="264"/>
        <v>5.9076599999999999</v>
      </c>
      <c r="CO48" s="36">
        <f t="shared" si="264"/>
        <v>11.81532</v>
      </c>
      <c r="CP48" s="58">
        <f t="shared" si="264"/>
        <v>17.72298</v>
      </c>
      <c r="CR48" s="209"/>
      <c r="CS48" s="233"/>
      <c r="CT48" s="217"/>
      <c r="CU48" s="232"/>
      <c r="CV48" s="209"/>
      <c r="CW48" s="276"/>
      <c r="CX48" s="209"/>
      <c r="CY48" s="251">
        <f t="shared" si="103"/>
        <v>1</v>
      </c>
      <c r="CZ48" s="250">
        <f t="shared" si="128"/>
        <v>1</v>
      </c>
      <c r="DA48" s="248">
        <f t="shared" si="92"/>
        <v>2</v>
      </c>
      <c r="DB48" s="248">
        <f t="shared" si="93"/>
        <v>1</v>
      </c>
      <c r="DC48" s="277"/>
      <c r="DD48" s="278"/>
      <c r="DE48" s="279"/>
      <c r="DF48" s="280"/>
      <c r="DG48" s="195">
        <f t="shared" si="217"/>
        <v>0</v>
      </c>
      <c r="DH48" s="81">
        <f t="shared" si="218"/>
        <v>0</v>
      </c>
      <c r="DI48" s="81">
        <f t="shared" si="219"/>
        <v>0</v>
      </c>
      <c r="DJ48" s="81">
        <f t="shared" si="220"/>
        <v>0</v>
      </c>
      <c r="DK48" s="82">
        <f t="shared" si="221"/>
        <v>0</v>
      </c>
      <c r="DM48" s="83">
        <f t="shared" si="222"/>
        <v>0</v>
      </c>
      <c r="DN48" s="84">
        <f t="shared" si="223"/>
        <v>0</v>
      </c>
      <c r="DO48" s="84">
        <f t="shared" si="224"/>
        <v>0</v>
      </c>
      <c r="DP48" s="105"/>
      <c r="DQ48" s="85">
        <f t="shared" si="138"/>
        <v>0</v>
      </c>
      <c r="DR48" s="108">
        <f t="shared" si="139"/>
        <v>0</v>
      </c>
      <c r="DS48" s="244">
        <f t="shared" si="140"/>
        <v>0</v>
      </c>
      <c r="DT48" s="113"/>
      <c r="DU48" s="132">
        <f t="shared" si="141"/>
        <v>0</v>
      </c>
      <c r="DV48" s="133">
        <f t="shared" si="142"/>
        <v>0</v>
      </c>
      <c r="DW48" s="128">
        <f t="shared" si="143"/>
        <v>0</v>
      </c>
      <c r="DX48" s="133">
        <f t="shared" si="144"/>
        <v>0</v>
      </c>
      <c r="DY48" s="128">
        <f t="shared" si="145"/>
        <v>0</v>
      </c>
      <c r="DZ48" s="126">
        <f t="shared" si="146"/>
        <v>0</v>
      </c>
      <c r="EA48" s="127">
        <f t="shared" si="147"/>
        <v>0</v>
      </c>
      <c r="EC48" s="132">
        <f t="shared" si="148"/>
        <v>0</v>
      </c>
      <c r="ED48" s="133">
        <v>8.1150000000000002</v>
      </c>
      <c r="EE48" s="128">
        <f t="shared" si="149"/>
        <v>0</v>
      </c>
      <c r="EF48" s="133">
        <f t="shared" si="150"/>
        <v>0</v>
      </c>
      <c r="EG48" s="128">
        <f t="shared" si="151"/>
        <v>0</v>
      </c>
      <c r="EH48" s="134">
        <f t="shared" si="152"/>
        <v>0</v>
      </c>
      <c r="EI48" s="127">
        <f t="shared" si="153"/>
        <v>0</v>
      </c>
      <c r="EK48" s="132">
        <f t="shared" si="154"/>
        <v>0</v>
      </c>
      <c r="EL48" s="133">
        <f t="shared" si="94"/>
        <v>0.125</v>
      </c>
      <c r="EM48" s="128">
        <f t="shared" si="155"/>
        <v>0</v>
      </c>
      <c r="EN48" s="133">
        <f t="shared" si="156"/>
        <v>0</v>
      </c>
      <c r="EO48" s="128">
        <f t="shared" si="157"/>
        <v>0</v>
      </c>
      <c r="EP48" s="134">
        <f t="shared" si="158"/>
        <v>0</v>
      </c>
      <c r="EQ48" s="127">
        <f t="shared" si="159"/>
        <v>0</v>
      </c>
      <c r="ER48" s="127"/>
      <c r="ES48" s="132">
        <f t="shared" si="160"/>
        <v>0</v>
      </c>
      <c r="ET48" s="133">
        <f t="shared" si="95"/>
        <v>0.13</v>
      </c>
      <c r="EU48" s="128">
        <f t="shared" si="161"/>
        <v>0</v>
      </c>
      <c r="EV48" s="133">
        <f t="shared" si="162"/>
        <v>0</v>
      </c>
      <c r="EW48" s="128">
        <f t="shared" si="163"/>
        <v>0</v>
      </c>
      <c r="EX48" s="134">
        <f t="shared" si="164"/>
        <v>0</v>
      </c>
      <c r="EY48" s="127">
        <f t="shared" si="165"/>
        <v>0</v>
      </c>
      <c r="FA48" s="132">
        <f t="shared" si="166"/>
        <v>0</v>
      </c>
      <c r="FB48" s="133">
        <f t="shared" si="167"/>
        <v>0</v>
      </c>
      <c r="FC48" s="128">
        <f t="shared" si="168"/>
        <v>0</v>
      </c>
      <c r="FD48" s="133">
        <f t="shared" si="169"/>
        <v>0</v>
      </c>
      <c r="FE48" s="128">
        <f t="shared" si="170"/>
        <v>0</v>
      </c>
      <c r="FF48" s="134">
        <f t="shared" si="171"/>
        <v>0</v>
      </c>
      <c r="FG48" s="127">
        <f t="shared" si="172"/>
        <v>0</v>
      </c>
      <c r="FI48" s="132">
        <f t="shared" si="173"/>
        <v>0</v>
      </c>
      <c r="FJ48" s="133">
        <f t="shared" si="174"/>
        <v>0</v>
      </c>
      <c r="FK48" s="128">
        <f t="shared" si="175"/>
        <v>0</v>
      </c>
      <c r="FL48" s="133">
        <f t="shared" si="176"/>
        <v>0</v>
      </c>
      <c r="FM48" s="128">
        <f t="shared" si="177"/>
        <v>0</v>
      </c>
      <c r="FN48" s="134">
        <f t="shared" si="178"/>
        <v>0</v>
      </c>
      <c r="FO48" s="127">
        <f t="shared" si="179"/>
        <v>0</v>
      </c>
      <c r="FQ48" s="132">
        <f t="shared" si="180"/>
        <v>0</v>
      </c>
      <c r="FR48" s="133">
        <f t="shared" si="181"/>
        <v>0</v>
      </c>
      <c r="FS48" s="128">
        <f t="shared" si="182"/>
        <v>0</v>
      </c>
      <c r="FT48" s="133">
        <f t="shared" si="183"/>
        <v>0</v>
      </c>
      <c r="FU48" s="128">
        <f t="shared" si="184"/>
        <v>0</v>
      </c>
      <c r="FV48" s="134">
        <f t="shared" si="185"/>
        <v>0</v>
      </c>
      <c r="FW48" s="127">
        <f t="shared" si="186"/>
        <v>0</v>
      </c>
      <c r="FY48" s="132">
        <f t="shared" si="187"/>
        <v>0</v>
      </c>
      <c r="FZ48" s="133">
        <f t="shared" si="188"/>
        <v>0</v>
      </c>
      <c r="GA48" s="128">
        <f t="shared" si="189"/>
        <v>0</v>
      </c>
      <c r="GB48" s="133">
        <f t="shared" si="190"/>
        <v>0</v>
      </c>
      <c r="GC48" s="128">
        <f t="shared" si="191"/>
        <v>0</v>
      </c>
      <c r="GD48" s="134">
        <f t="shared" si="192"/>
        <v>0</v>
      </c>
      <c r="GE48" s="127">
        <f t="shared" si="193"/>
        <v>0</v>
      </c>
      <c r="GG48" s="132">
        <f t="shared" si="194"/>
        <v>0</v>
      </c>
      <c r="GH48" s="133">
        <f t="shared" si="195"/>
        <v>0</v>
      </c>
      <c r="GI48" s="128">
        <f t="shared" si="196"/>
        <v>0</v>
      </c>
      <c r="GJ48" s="133">
        <f t="shared" si="197"/>
        <v>0</v>
      </c>
      <c r="GK48" s="128">
        <f t="shared" si="198"/>
        <v>0</v>
      </c>
      <c r="GL48" s="134">
        <f t="shared" si="199"/>
        <v>0</v>
      </c>
      <c r="GM48" s="127">
        <f t="shared" si="200"/>
        <v>0</v>
      </c>
    </row>
    <row r="49" spans="14:195" ht="18.75" x14ac:dyDescent="0.3">
      <c r="N49" s="8"/>
      <c r="O49" s="29"/>
      <c r="P49" s="8"/>
      <c r="Q49" s="8"/>
      <c r="R49" s="8"/>
      <c r="AK49" s="47">
        <f t="shared" si="81"/>
        <v>2.262</v>
      </c>
      <c r="AL49" s="46">
        <f t="shared" si="81"/>
        <v>1.131</v>
      </c>
      <c r="AM49" s="46">
        <f t="shared" si="81"/>
        <v>0.754</v>
      </c>
      <c r="AN49" s="111">
        <f t="shared" si="129"/>
        <v>0.5655</v>
      </c>
      <c r="AO49" s="46">
        <f t="shared" ref="AO49:AT49" si="265">AO48</f>
        <v>1.218</v>
      </c>
      <c r="AP49" s="46">
        <f t="shared" si="265"/>
        <v>2.4359999999999999</v>
      </c>
      <c r="AQ49" s="46">
        <f t="shared" si="265"/>
        <v>3.6539999999999999</v>
      </c>
      <c r="AR49" s="46">
        <f t="shared" si="265"/>
        <v>2.3242049999999996</v>
      </c>
      <c r="AS49" s="46">
        <f t="shared" si="265"/>
        <v>4.6484099999999993</v>
      </c>
      <c r="AT49" s="162">
        <f t="shared" si="265"/>
        <v>6.9726149999999993</v>
      </c>
      <c r="AU49" s="163">
        <f t="shared" si="116"/>
        <v>1.1000000000000001</v>
      </c>
      <c r="AV49" s="78" t="str">
        <f t="shared" si="116"/>
        <v>5X7</v>
      </c>
      <c r="AW49" s="78">
        <f t="shared" si="116"/>
        <v>35</v>
      </c>
      <c r="AX49" s="35">
        <f t="shared" si="116"/>
        <v>0.97977000000000003</v>
      </c>
      <c r="AY49" s="36">
        <f t="shared" si="116"/>
        <v>1.9595400000000001</v>
      </c>
      <c r="AZ49" s="58">
        <f t="shared" si="116"/>
        <v>2.9393099999999999</v>
      </c>
      <c r="BB49" s="31" t="str">
        <f t="shared" ref="BB49:BF49" si="266">BB48</f>
        <v>4.5X10</v>
      </c>
      <c r="BC49" s="78">
        <f t="shared" si="266"/>
        <v>45</v>
      </c>
      <c r="BD49" s="35">
        <f t="shared" si="266"/>
        <v>1.23838</v>
      </c>
      <c r="BE49" s="36">
        <f t="shared" si="266"/>
        <v>2.4767600000000001</v>
      </c>
      <c r="BF49" s="58">
        <f t="shared" si="266"/>
        <v>3.7151399999999999</v>
      </c>
      <c r="BH49" s="31" t="str">
        <f t="shared" ref="BH49:BL49" si="267">BH48</f>
        <v>4.5X17</v>
      </c>
      <c r="BI49" s="78">
        <f t="shared" si="267"/>
        <v>76.5</v>
      </c>
      <c r="BJ49" s="35">
        <f t="shared" si="267"/>
        <v>1.9836300000000002</v>
      </c>
      <c r="BK49" s="36">
        <f t="shared" si="267"/>
        <v>3.9672600000000005</v>
      </c>
      <c r="BL49" s="58">
        <f t="shared" si="267"/>
        <v>5.9508900000000011</v>
      </c>
      <c r="BN49" s="31" t="str">
        <f t="shared" ref="BN49:BR49" si="268">BN48</f>
        <v>8X10</v>
      </c>
      <c r="BO49" s="78">
        <f t="shared" si="268"/>
        <v>80</v>
      </c>
      <c r="BP49" s="35">
        <f t="shared" si="268"/>
        <v>2.0702000000000003</v>
      </c>
      <c r="BQ49" s="36">
        <f t="shared" si="268"/>
        <v>4.1404000000000005</v>
      </c>
      <c r="BR49" s="58">
        <f t="shared" si="268"/>
        <v>6.2106000000000012</v>
      </c>
      <c r="BT49" s="31" t="str">
        <f t="shared" ref="BT49:BX49" si="269">BT48</f>
        <v>7X17</v>
      </c>
      <c r="BU49" s="78">
        <f t="shared" si="269"/>
        <v>119</v>
      </c>
      <c r="BV49" s="35">
        <f t="shared" si="269"/>
        <v>3.0300600000000002</v>
      </c>
      <c r="BW49" s="36">
        <f t="shared" si="269"/>
        <v>6.0601200000000004</v>
      </c>
      <c r="BX49" s="58">
        <f t="shared" si="269"/>
        <v>9.0901800000000001</v>
      </c>
      <c r="BZ49" s="31" t="str">
        <f t="shared" ref="BZ49:CD49" si="270">BZ48</f>
        <v>10X12</v>
      </c>
      <c r="CA49" s="78">
        <f t="shared" si="270"/>
        <v>120</v>
      </c>
      <c r="CB49" s="35">
        <f t="shared" si="270"/>
        <v>3.0453500000000004</v>
      </c>
      <c r="CC49" s="36">
        <f t="shared" si="270"/>
        <v>6.0907000000000009</v>
      </c>
      <c r="CD49" s="58">
        <f t="shared" si="270"/>
        <v>9.1360500000000009</v>
      </c>
      <c r="CF49" s="31" t="str">
        <f t="shared" ref="CF49:CJ49" si="271">CF48</f>
        <v>11X14</v>
      </c>
      <c r="CG49" s="78">
        <f t="shared" si="271"/>
        <v>154</v>
      </c>
      <c r="CH49" s="35">
        <f t="shared" si="271"/>
        <v>3.8582500000000004</v>
      </c>
      <c r="CI49" s="36">
        <f t="shared" si="271"/>
        <v>7.7165000000000008</v>
      </c>
      <c r="CJ49" s="58">
        <f t="shared" si="271"/>
        <v>11.574750000000002</v>
      </c>
      <c r="CL49" s="31" t="str">
        <f t="shared" ref="CL49:CP49" si="272">CL48</f>
        <v>14X17</v>
      </c>
      <c r="CM49" s="78">
        <f t="shared" si="272"/>
        <v>238</v>
      </c>
      <c r="CN49" s="35">
        <f t="shared" si="272"/>
        <v>5.9076599999999999</v>
      </c>
      <c r="CO49" s="36">
        <f t="shared" si="272"/>
        <v>11.81532</v>
      </c>
      <c r="CP49" s="58">
        <f t="shared" si="272"/>
        <v>17.72298</v>
      </c>
      <c r="CR49" s="209"/>
      <c r="CS49" s="233"/>
      <c r="CT49" s="217"/>
      <c r="CU49" s="232"/>
      <c r="CV49" s="209"/>
      <c r="CW49" s="276"/>
      <c r="CX49" s="209"/>
      <c r="CY49" s="251">
        <f t="shared" si="103"/>
        <v>1</v>
      </c>
      <c r="CZ49" s="250">
        <f t="shared" si="128"/>
        <v>1</v>
      </c>
      <c r="DA49" s="248">
        <f t="shared" si="92"/>
        <v>2</v>
      </c>
      <c r="DB49" s="248">
        <f t="shared" si="93"/>
        <v>1</v>
      </c>
      <c r="DC49" s="277"/>
      <c r="DD49" s="278"/>
      <c r="DE49" s="279"/>
      <c r="DF49" s="280"/>
      <c r="DG49" s="195">
        <f t="shared" si="217"/>
        <v>0</v>
      </c>
      <c r="DH49" s="81">
        <f t="shared" si="218"/>
        <v>0</v>
      </c>
      <c r="DI49" s="81">
        <f t="shared" si="219"/>
        <v>0</v>
      </c>
      <c r="DJ49" s="81">
        <f t="shared" si="220"/>
        <v>0</v>
      </c>
      <c r="DK49" s="82">
        <f t="shared" si="221"/>
        <v>0</v>
      </c>
      <c r="DM49" s="83">
        <f t="shared" si="222"/>
        <v>0</v>
      </c>
      <c r="DN49" s="84">
        <f t="shared" si="223"/>
        <v>0</v>
      </c>
      <c r="DO49" s="84">
        <f t="shared" si="224"/>
        <v>0</v>
      </c>
      <c r="DP49" s="105"/>
      <c r="DQ49" s="85">
        <f t="shared" si="138"/>
        <v>0</v>
      </c>
      <c r="DR49" s="108">
        <f t="shared" si="139"/>
        <v>0</v>
      </c>
      <c r="DS49" s="244">
        <f t="shared" si="140"/>
        <v>0</v>
      </c>
      <c r="DT49" s="113"/>
      <c r="DU49" s="132">
        <f t="shared" si="141"/>
        <v>0</v>
      </c>
      <c r="DV49" s="133">
        <f t="shared" si="142"/>
        <v>0</v>
      </c>
      <c r="DW49" s="128">
        <f t="shared" si="143"/>
        <v>0</v>
      </c>
      <c r="DX49" s="133">
        <f t="shared" si="144"/>
        <v>0</v>
      </c>
      <c r="DY49" s="128">
        <f t="shared" si="145"/>
        <v>0</v>
      </c>
      <c r="DZ49" s="126">
        <f t="shared" si="146"/>
        <v>0</v>
      </c>
      <c r="EA49" s="127">
        <f t="shared" si="147"/>
        <v>0</v>
      </c>
      <c r="EC49" s="132">
        <f t="shared" si="148"/>
        <v>0</v>
      </c>
      <c r="ED49" s="133">
        <v>9.1150000000000002</v>
      </c>
      <c r="EE49" s="128">
        <f t="shared" si="149"/>
        <v>0</v>
      </c>
      <c r="EF49" s="133">
        <f t="shared" si="150"/>
        <v>0</v>
      </c>
      <c r="EG49" s="128">
        <f t="shared" si="151"/>
        <v>0</v>
      </c>
      <c r="EH49" s="134">
        <f t="shared" si="152"/>
        <v>0</v>
      </c>
      <c r="EI49" s="127">
        <f t="shared" si="153"/>
        <v>0</v>
      </c>
      <c r="EK49" s="132">
        <f t="shared" si="154"/>
        <v>0</v>
      </c>
      <c r="EL49" s="133">
        <f t="shared" si="94"/>
        <v>0.125</v>
      </c>
      <c r="EM49" s="128">
        <f t="shared" si="155"/>
        <v>0</v>
      </c>
      <c r="EN49" s="133">
        <f t="shared" si="156"/>
        <v>0</v>
      </c>
      <c r="EO49" s="128">
        <f t="shared" si="157"/>
        <v>0</v>
      </c>
      <c r="EP49" s="134">
        <f t="shared" si="158"/>
        <v>0</v>
      </c>
      <c r="EQ49" s="127">
        <f t="shared" si="159"/>
        <v>0</v>
      </c>
      <c r="ER49" s="127"/>
      <c r="ES49" s="132">
        <f t="shared" si="160"/>
        <v>0</v>
      </c>
      <c r="ET49" s="133">
        <f t="shared" si="95"/>
        <v>0.13</v>
      </c>
      <c r="EU49" s="128">
        <f t="shared" si="161"/>
        <v>0</v>
      </c>
      <c r="EV49" s="133">
        <f t="shared" si="162"/>
        <v>0</v>
      </c>
      <c r="EW49" s="128">
        <f t="shared" si="163"/>
        <v>0</v>
      </c>
      <c r="EX49" s="134">
        <f t="shared" si="164"/>
        <v>0</v>
      </c>
      <c r="EY49" s="127">
        <f t="shared" si="165"/>
        <v>0</v>
      </c>
      <c r="FA49" s="132">
        <f t="shared" si="166"/>
        <v>0</v>
      </c>
      <c r="FB49" s="133">
        <f t="shared" si="167"/>
        <v>0</v>
      </c>
      <c r="FC49" s="128">
        <f t="shared" si="168"/>
        <v>0</v>
      </c>
      <c r="FD49" s="133">
        <f t="shared" si="169"/>
        <v>0</v>
      </c>
      <c r="FE49" s="128">
        <f t="shared" si="170"/>
        <v>0</v>
      </c>
      <c r="FF49" s="134">
        <f t="shared" si="171"/>
        <v>0</v>
      </c>
      <c r="FG49" s="127">
        <f t="shared" si="172"/>
        <v>0</v>
      </c>
      <c r="FI49" s="132">
        <f t="shared" si="173"/>
        <v>0</v>
      </c>
      <c r="FJ49" s="133">
        <f t="shared" si="174"/>
        <v>0</v>
      </c>
      <c r="FK49" s="128">
        <f t="shared" si="175"/>
        <v>0</v>
      </c>
      <c r="FL49" s="133">
        <f t="shared" si="176"/>
        <v>0</v>
      </c>
      <c r="FM49" s="128">
        <f t="shared" si="177"/>
        <v>0</v>
      </c>
      <c r="FN49" s="134">
        <f t="shared" si="178"/>
        <v>0</v>
      </c>
      <c r="FO49" s="127">
        <f t="shared" si="179"/>
        <v>0</v>
      </c>
      <c r="FQ49" s="132">
        <f t="shared" si="180"/>
        <v>0</v>
      </c>
      <c r="FR49" s="133">
        <f t="shared" si="181"/>
        <v>0</v>
      </c>
      <c r="FS49" s="128">
        <f t="shared" si="182"/>
        <v>0</v>
      </c>
      <c r="FT49" s="133">
        <f t="shared" si="183"/>
        <v>0</v>
      </c>
      <c r="FU49" s="128">
        <f t="shared" si="184"/>
        <v>0</v>
      </c>
      <c r="FV49" s="134">
        <f t="shared" si="185"/>
        <v>0</v>
      </c>
      <c r="FW49" s="127">
        <f t="shared" si="186"/>
        <v>0</v>
      </c>
      <c r="FY49" s="132">
        <f t="shared" si="187"/>
        <v>0</v>
      </c>
      <c r="FZ49" s="133">
        <f t="shared" si="188"/>
        <v>0</v>
      </c>
      <c r="GA49" s="128">
        <f t="shared" si="189"/>
        <v>0</v>
      </c>
      <c r="GB49" s="133">
        <f t="shared" si="190"/>
        <v>0</v>
      </c>
      <c r="GC49" s="128">
        <f t="shared" si="191"/>
        <v>0</v>
      </c>
      <c r="GD49" s="134">
        <f t="shared" si="192"/>
        <v>0</v>
      </c>
      <c r="GE49" s="127">
        <f t="shared" si="193"/>
        <v>0</v>
      </c>
      <c r="GG49" s="132">
        <f t="shared" si="194"/>
        <v>0</v>
      </c>
      <c r="GH49" s="133">
        <f t="shared" si="195"/>
        <v>0</v>
      </c>
      <c r="GI49" s="128">
        <f t="shared" si="196"/>
        <v>0</v>
      </c>
      <c r="GJ49" s="133">
        <f t="shared" si="197"/>
        <v>0</v>
      </c>
      <c r="GK49" s="128">
        <f t="shared" si="198"/>
        <v>0</v>
      </c>
      <c r="GL49" s="134">
        <f t="shared" si="199"/>
        <v>0</v>
      </c>
      <c r="GM49" s="127">
        <f t="shared" si="200"/>
        <v>0</v>
      </c>
    </row>
    <row r="50" spans="14:195" ht="18.75" x14ac:dyDescent="0.3">
      <c r="N50" s="8"/>
      <c r="O50" s="29"/>
      <c r="P50" s="8"/>
      <c r="Q50" s="8"/>
      <c r="R50" s="8"/>
      <c r="AK50" s="47">
        <f t="shared" si="81"/>
        <v>2.262</v>
      </c>
      <c r="AL50" s="46">
        <f t="shared" si="81"/>
        <v>1.131</v>
      </c>
      <c r="AM50" s="46">
        <f t="shared" si="81"/>
        <v>0.754</v>
      </c>
      <c r="AN50" s="111">
        <f t="shared" si="129"/>
        <v>0.5655</v>
      </c>
      <c r="AO50" s="46">
        <f t="shared" ref="AO50:AT50" si="273">AO49</f>
        <v>1.218</v>
      </c>
      <c r="AP50" s="46">
        <f t="shared" si="273"/>
        <v>2.4359999999999999</v>
      </c>
      <c r="AQ50" s="46">
        <f t="shared" si="273"/>
        <v>3.6539999999999999</v>
      </c>
      <c r="AR50" s="46">
        <f t="shared" si="273"/>
        <v>2.3242049999999996</v>
      </c>
      <c r="AS50" s="46">
        <f t="shared" si="273"/>
        <v>4.6484099999999993</v>
      </c>
      <c r="AT50" s="162">
        <f t="shared" si="273"/>
        <v>6.9726149999999993</v>
      </c>
      <c r="AU50" s="163">
        <f t="shared" si="116"/>
        <v>1.1000000000000001</v>
      </c>
      <c r="AV50" s="78" t="str">
        <f t="shared" si="116"/>
        <v>5X7</v>
      </c>
      <c r="AW50" s="78">
        <f t="shared" si="116"/>
        <v>35</v>
      </c>
      <c r="AX50" s="35">
        <f t="shared" si="116"/>
        <v>0.97977000000000003</v>
      </c>
      <c r="AY50" s="36">
        <f t="shared" si="116"/>
        <v>1.9595400000000001</v>
      </c>
      <c r="AZ50" s="58">
        <f t="shared" si="116"/>
        <v>2.9393099999999999</v>
      </c>
      <c r="BB50" s="31" t="str">
        <f t="shared" ref="BB50:BF50" si="274">BB49</f>
        <v>4.5X10</v>
      </c>
      <c r="BC50" s="78">
        <f t="shared" si="274"/>
        <v>45</v>
      </c>
      <c r="BD50" s="35">
        <f t="shared" si="274"/>
        <v>1.23838</v>
      </c>
      <c r="BE50" s="36">
        <f t="shared" si="274"/>
        <v>2.4767600000000001</v>
      </c>
      <c r="BF50" s="58">
        <f t="shared" si="274"/>
        <v>3.7151399999999999</v>
      </c>
      <c r="BH50" s="31" t="str">
        <f t="shared" ref="BH50:BL50" si="275">BH49</f>
        <v>4.5X17</v>
      </c>
      <c r="BI50" s="78">
        <f t="shared" si="275"/>
        <v>76.5</v>
      </c>
      <c r="BJ50" s="35">
        <f t="shared" si="275"/>
        <v>1.9836300000000002</v>
      </c>
      <c r="BK50" s="36">
        <f t="shared" si="275"/>
        <v>3.9672600000000005</v>
      </c>
      <c r="BL50" s="58">
        <f t="shared" si="275"/>
        <v>5.9508900000000011</v>
      </c>
      <c r="BN50" s="31" t="str">
        <f t="shared" ref="BN50:BR50" si="276">BN49</f>
        <v>8X10</v>
      </c>
      <c r="BO50" s="78">
        <f t="shared" si="276"/>
        <v>80</v>
      </c>
      <c r="BP50" s="35">
        <f t="shared" si="276"/>
        <v>2.0702000000000003</v>
      </c>
      <c r="BQ50" s="36">
        <f t="shared" si="276"/>
        <v>4.1404000000000005</v>
      </c>
      <c r="BR50" s="58">
        <f t="shared" si="276"/>
        <v>6.2106000000000012</v>
      </c>
      <c r="BT50" s="31" t="str">
        <f t="shared" ref="BT50:BX50" si="277">BT49</f>
        <v>7X17</v>
      </c>
      <c r="BU50" s="78">
        <f t="shared" si="277"/>
        <v>119</v>
      </c>
      <c r="BV50" s="35">
        <f t="shared" si="277"/>
        <v>3.0300600000000002</v>
      </c>
      <c r="BW50" s="36">
        <f t="shared" si="277"/>
        <v>6.0601200000000004</v>
      </c>
      <c r="BX50" s="58">
        <f t="shared" si="277"/>
        <v>9.0901800000000001</v>
      </c>
      <c r="BZ50" s="31" t="str">
        <f t="shared" ref="BZ50:CD50" si="278">BZ49</f>
        <v>10X12</v>
      </c>
      <c r="CA50" s="78">
        <f t="shared" si="278"/>
        <v>120</v>
      </c>
      <c r="CB50" s="35">
        <f t="shared" si="278"/>
        <v>3.0453500000000004</v>
      </c>
      <c r="CC50" s="36">
        <f t="shared" si="278"/>
        <v>6.0907000000000009</v>
      </c>
      <c r="CD50" s="58">
        <f t="shared" si="278"/>
        <v>9.1360500000000009</v>
      </c>
      <c r="CF50" s="31" t="str">
        <f t="shared" ref="CF50:CJ50" si="279">CF49</f>
        <v>11X14</v>
      </c>
      <c r="CG50" s="78">
        <f t="shared" si="279"/>
        <v>154</v>
      </c>
      <c r="CH50" s="35">
        <f t="shared" si="279"/>
        <v>3.8582500000000004</v>
      </c>
      <c r="CI50" s="36">
        <f t="shared" si="279"/>
        <v>7.7165000000000008</v>
      </c>
      <c r="CJ50" s="58">
        <f t="shared" si="279"/>
        <v>11.574750000000002</v>
      </c>
      <c r="CL50" s="31" t="str">
        <f t="shared" ref="CL50:CP50" si="280">CL49</f>
        <v>14X17</v>
      </c>
      <c r="CM50" s="78">
        <f t="shared" si="280"/>
        <v>238</v>
      </c>
      <c r="CN50" s="35">
        <f t="shared" si="280"/>
        <v>5.9076599999999999</v>
      </c>
      <c r="CO50" s="36">
        <f t="shared" si="280"/>
        <v>11.81532</v>
      </c>
      <c r="CP50" s="58">
        <f t="shared" si="280"/>
        <v>17.72298</v>
      </c>
      <c r="CR50" s="209"/>
      <c r="CS50" s="233"/>
      <c r="CT50" s="217"/>
      <c r="CU50" s="232"/>
      <c r="CV50" s="209"/>
      <c r="CW50" s="276"/>
      <c r="CX50" s="209"/>
      <c r="CY50" s="251">
        <f t="shared" si="103"/>
        <v>1</v>
      </c>
      <c r="CZ50" s="250">
        <f t="shared" si="128"/>
        <v>1</v>
      </c>
      <c r="DA50" s="248">
        <f t="shared" si="92"/>
        <v>2</v>
      </c>
      <c r="DB50" s="248">
        <f t="shared" si="93"/>
        <v>1</v>
      </c>
      <c r="DC50" s="277"/>
      <c r="DD50" s="278"/>
      <c r="DE50" s="279"/>
      <c r="DF50" s="280"/>
      <c r="DG50" s="195">
        <f t="shared" si="217"/>
        <v>0</v>
      </c>
      <c r="DH50" s="81">
        <f t="shared" si="218"/>
        <v>0</v>
      </c>
      <c r="DI50" s="81">
        <f t="shared" si="219"/>
        <v>0</v>
      </c>
      <c r="DJ50" s="81">
        <f t="shared" si="220"/>
        <v>0</v>
      </c>
      <c r="DK50" s="82">
        <f t="shared" si="221"/>
        <v>0</v>
      </c>
      <c r="DM50" s="83">
        <f t="shared" si="222"/>
        <v>0</v>
      </c>
      <c r="DN50" s="84">
        <f t="shared" si="223"/>
        <v>0</v>
      </c>
      <c r="DO50" s="84">
        <f t="shared" si="224"/>
        <v>0</v>
      </c>
      <c r="DP50" s="105"/>
      <c r="DQ50" s="85">
        <f t="shared" si="138"/>
        <v>0</v>
      </c>
      <c r="DR50" s="108">
        <f t="shared" si="139"/>
        <v>0</v>
      </c>
      <c r="DS50" s="244">
        <f t="shared" si="140"/>
        <v>0</v>
      </c>
      <c r="DT50" s="113"/>
      <c r="DU50" s="132">
        <f t="shared" si="141"/>
        <v>0</v>
      </c>
      <c r="DV50" s="133">
        <f t="shared" si="142"/>
        <v>0</v>
      </c>
      <c r="DW50" s="128">
        <f t="shared" si="143"/>
        <v>0</v>
      </c>
      <c r="DX50" s="133">
        <f t="shared" si="144"/>
        <v>0</v>
      </c>
      <c r="DY50" s="128">
        <f t="shared" si="145"/>
        <v>0</v>
      </c>
      <c r="DZ50" s="126">
        <f t="shared" si="146"/>
        <v>0</v>
      </c>
      <c r="EA50" s="127">
        <f t="shared" si="147"/>
        <v>0</v>
      </c>
      <c r="EC50" s="132">
        <f t="shared" si="148"/>
        <v>0</v>
      </c>
      <c r="ED50" s="133">
        <v>10.115</v>
      </c>
      <c r="EE50" s="128">
        <f t="shared" si="149"/>
        <v>0</v>
      </c>
      <c r="EF50" s="133">
        <f t="shared" si="150"/>
        <v>0</v>
      </c>
      <c r="EG50" s="128">
        <f t="shared" si="151"/>
        <v>0</v>
      </c>
      <c r="EH50" s="134">
        <f t="shared" si="152"/>
        <v>0</v>
      </c>
      <c r="EI50" s="127">
        <f t="shared" si="153"/>
        <v>0</v>
      </c>
      <c r="EK50" s="132">
        <f t="shared" si="154"/>
        <v>0</v>
      </c>
      <c r="EL50" s="133">
        <f t="shared" si="94"/>
        <v>0.125</v>
      </c>
      <c r="EM50" s="128">
        <f t="shared" si="155"/>
        <v>0</v>
      </c>
      <c r="EN50" s="133">
        <f t="shared" si="156"/>
        <v>0</v>
      </c>
      <c r="EO50" s="128">
        <f t="shared" si="157"/>
        <v>0</v>
      </c>
      <c r="EP50" s="134">
        <f t="shared" si="158"/>
        <v>0</v>
      </c>
      <c r="EQ50" s="127">
        <f t="shared" si="159"/>
        <v>0</v>
      </c>
      <c r="ER50" s="127"/>
      <c r="ES50" s="132">
        <f t="shared" si="160"/>
        <v>0</v>
      </c>
      <c r="ET50" s="133">
        <f t="shared" si="95"/>
        <v>0.13</v>
      </c>
      <c r="EU50" s="128">
        <f t="shared" si="161"/>
        <v>0</v>
      </c>
      <c r="EV50" s="133">
        <f t="shared" si="162"/>
        <v>0</v>
      </c>
      <c r="EW50" s="128">
        <f t="shared" si="163"/>
        <v>0</v>
      </c>
      <c r="EX50" s="134">
        <f t="shared" si="164"/>
        <v>0</v>
      </c>
      <c r="EY50" s="127">
        <f t="shared" si="165"/>
        <v>0</v>
      </c>
      <c r="FA50" s="132">
        <f t="shared" si="166"/>
        <v>0</v>
      </c>
      <c r="FB50" s="133">
        <f t="shared" si="167"/>
        <v>0</v>
      </c>
      <c r="FC50" s="128">
        <f t="shared" si="168"/>
        <v>0</v>
      </c>
      <c r="FD50" s="133">
        <f t="shared" si="169"/>
        <v>0</v>
      </c>
      <c r="FE50" s="128">
        <f t="shared" si="170"/>
        <v>0</v>
      </c>
      <c r="FF50" s="134">
        <f t="shared" si="171"/>
        <v>0</v>
      </c>
      <c r="FG50" s="127">
        <f t="shared" si="172"/>
        <v>0</v>
      </c>
      <c r="FI50" s="132">
        <f t="shared" si="173"/>
        <v>0</v>
      </c>
      <c r="FJ50" s="133">
        <f t="shared" si="174"/>
        <v>0</v>
      </c>
      <c r="FK50" s="128">
        <f t="shared" si="175"/>
        <v>0</v>
      </c>
      <c r="FL50" s="133">
        <f t="shared" si="176"/>
        <v>0</v>
      </c>
      <c r="FM50" s="128">
        <f t="shared" si="177"/>
        <v>0</v>
      </c>
      <c r="FN50" s="134">
        <f t="shared" si="178"/>
        <v>0</v>
      </c>
      <c r="FO50" s="127">
        <f t="shared" si="179"/>
        <v>0</v>
      </c>
      <c r="FQ50" s="132">
        <f t="shared" si="180"/>
        <v>0</v>
      </c>
      <c r="FR50" s="133">
        <f t="shared" si="181"/>
        <v>0</v>
      </c>
      <c r="FS50" s="128">
        <f t="shared" si="182"/>
        <v>0</v>
      </c>
      <c r="FT50" s="133">
        <f t="shared" si="183"/>
        <v>0</v>
      </c>
      <c r="FU50" s="128">
        <f t="shared" si="184"/>
        <v>0</v>
      </c>
      <c r="FV50" s="134">
        <f t="shared" si="185"/>
        <v>0</v>
      </c>
      <c r="FW50" s="127">
        <f t="shared" si="186"/>
        <v>0</v>
      </c>
      <c r="FY50" s="132">
        <f t="shared" si="187"/>
        <v>0</v>
      </c>
      <c r="FZ50" s="133">
        <f t="shared" si="188"/>
        <v>0</v>
      </c>
      <c r="GA50" s="128">
        <f t="shared" si="189"/>
        <v>0</v>
      </c>
      <c r="GB50" s="133">
        <f t="shared" si="190"/>
        <v>0</v>
      </c>
      <c r="GC50" s="128">
        <f t="shared" si="191"/>
        <v>0</v>
      </c>
      <c r="GD50" s="134">
        <f t="shared" si="192"/>
        <v>0</v>
      </c>
      <c r="GE50" s="127">
        <f t="shared" si="193"/>
        <v>0</v>
      </c>
      <c r="GG50" s="132">
        <f t="shared" si="194"/>
        <v>0</v>
      </c>
      <c r="GH50" s="133">
        <f t="shared" si="195"/>
        <v>0</v>
      </c>
      <c r="GI50" s="128">
        <f t="shared" si="196"/>
        <v>0</v>
      </c>
      <c r="GJ50" s="133">
        <f t="shared" si="197"/>
        <v>0</v>
      </c>
      <c r="GK50" s="128">
        <f t="shared" si="198"/>
        <v>0</v>
      </c>
      <c r="GL50" s="134">
        <f t="shared" si="199"/>
        <v>0</v>
      </c>
      <c r="GM50" s="127">
        <f t="shared" si="200"/>
        <v>0</v>
      </c>
    </row>
    <row r="51" spans="14:195" ht="18.75" x14ac:dyDescent="0.3">
      <c r="N51" s="8"/>
      <c r="O51" s="29"/>
      <c r="P51" s="8"/>
      <c r="Q51" s="8"/>
      <c r="R51" s="8"/>
      <c r="AK51" s="47">
        <f t="shared" si="81"/>
        <v>2.262</v>
      </c>
      <c r="AL51" s="46">
        <f t="shared" si="81"/>
        <v>1.131</v>
      </c>
      <c r="AM51" s="46">
        <f t="shared" si="81"/>
        <v>0.754</v>
      </c>
      <c r="AN51" s="111">
        <f t="shared" si="129"/>
        <v>0.5655</v>
      </c>
      <c r="AO51" s="46">
        <f t="shared" ref="AO51:AT51" si="281">AO50</f>
        <v>1.218</v>
      </c>
      <c r="AP51" s="46">
        <f t="shared" si="281"/>
        <v>2.4359999999999999</v>
      </c>
      <c r="AQ51" s="46">
        <f t="shared" si="281"/>
        <v>3.6539999999999999</v>
      </c>
      <c r="AR51" s="46">
        <f t="shared" si="281"/>
        <v>2.3242049999999996</v>
      </c>
      <c r="AS51" s="46">
        <f t="shared" si="281"/>
        <v>4.6484099999999993</v>
      </c>
      <c r="AT51" s="162">
        <f t="shared" si="281"/>
        <v>6.9726149999999993</v>
      </c>
      <c r="AU51" s="163">
        <f t="shared" si="116"/>
        <v>1.1000000000000001</v>
      </c>
      <c r="AV51" s="78" t="str">
        <f t="shared" si="116"/>
        <v>5X7</v>
      </c>
      <c r="AW51" s="78">
        <f t="shared" si="116"/>
        <v>35</v>
      </c>
      <c r="AX51" s="35">
        <f t="shared" si="116"/>
        <v>0.97977000000000003</v>
      </c>
      <c r="AY51" s="36">
        <f t="shared" si="116"/>
        <v>1.9595400000000001</v>
      </c>
      <c r="AZ51" s="58">
        <f t="shared" si="116"/>
        <v>2.9393099999999999</v>
      </c>
      <c r="BB51" s="31" t="str">
        <f t="shared" ref="BB51:BF51" si="282">BB50</f>
        <v>4.5X10</v>
      </c>
      <c r="BC51" s="78">
        <f t="shared" si="282"/>
        <v>45</v>
      </c>
      <c r="BD51" s="35">
        <f t="shared" si="282"/>
        <v>1.23838</v>
      </c>
      <c r="BE51" s="36">
        <f t="shared" si="282"/>
        <v>2.4767600000000001</v>
      </c>
      <c r="BF51" s="58">
        <f t="shared" si="282"/>
        <v>3.7151399999999999</v>
      </c>
      <c r="BH51" s="31" t="str">
        <f t="shared" ref="BH51:BL51" si="283">BH50</f>
        <v>4.5X17</v>
      </c>
      <c r="BI51" s="78">
        <f t="shared" si="283"/>
        <v>76.5</v>
      </c>
      <c r="BJ51" s="35">
        <f t="shared" si="283"/>
        <v>1.9836300000000002</v>
      </c>
      <c r="BK51" s="36">
        <f t="shared" si="283"/>
        <v>3.9672600000000005</v>
      </c>
      <c r="BL51" s="58">
        <f t="shared" si="283"/>
        <v>5.9508900000000011</v>
      </c>
      <c r="BN51" s="31" t="str">
        <f t="shared" ref="BN51:BR51" si="284">BN50</f>
        <v>8X10</v>
      </c>
      <c r="BO51" s="78">
        <f t="shared" si="284"/>
        <v>80</v>
      </c>
      <c r="BP51" s="35">
        <f t="shared" si="284"/>
        <v>2.0702000000000003</v>
      </c>
      <c r="BQ51" s="36">
        <f t="shared" si="284"/>
        <v>4.1404000000000005</v>
      </c>
      <c r="BR51" s="58">
        <f t="shared" si="284"/>
        <v>6.2106000000000012</v>
      </c>
      <c r="BT51" s="31" t="str">
        <f t="shared" ref="BT51:BX51" si="285">BT50</f>
        <v>7X17</v>
      </c>
      <c r="BU51" s="78">
        <f t="shared" si="285"/>
        <v>119</v>
      </c>
      <c r="BV51" s="35">
        <f t="shared" si="285"/>
        <v>3.0300600000000002</v>
      </c>
      <c r="BW51" s="36">
        <f t="shared" si="285"/>
        <v>6.0601200000000004</v>
      </c>
      <c r="BX51" s="58">
        <f t="shared" si="285"/>
        <v>9.0901800000000001</v>
      </c>
      <c r="BZ51" s="31" t="str">
        <f t="shared" ref="BZ51:CD51" si="286">BZ50</f>
        <v>10X12</v>
      </c>
      <c r="CA51" s="78">
        <f t="shared" si="286"/>
        <v>120</v>
      </c>
      <c r="CB51" s="35">
        <f t="shared" si="286"/>
        <v>3.0453500000000004</v>
      </c>
      <c r="CC51" s="36">
        <f t="shared" si="286"/>
        <v>6.0907000000000009</v>
      </c>
      <c r="CD51" s="58">
        <f t="shared" si="286"/>
        <v>9.1360500000000009</v>
      </c>
      <c r="CF51" s="31" t="str">
        <f t="shared" ref="CF51:CJ51" si="287">CF50</f>
        <v>11X14</v>
      </c>
      <c r="CG51" s="78">
        <f t="shared" si="287"/>
        <v>154</v>
      </c>
      <c r="CH51" s="35">
        <f t="shared" si="287"/>
        <v>3.8582500000000004</v>
      </c>
      <c r="CI51" s="36">
        <f t="shared" si="287"/>
        <v>7.7165000000000008</v>
      </c>
      <c r="CJ51" s="58">
        <f t="shared" si="287"/>
        <v>11.574750000000002</v>
      </c>
      <c r="CL51" s="31" t="str">
        <f t="shared" ref="CL51:CP51" si="288">CL50</f>
        <v>14X17</v>
      </c>
      <c r="CM51" s="78">
        <f t="shared" si="288"/>
        <v>238</v>
      </c>
      <c r="CN51" s="35">
        <f t="shared" si="288"/>
        <v>5.9076599999999999</v>
      </c>
      <c r="CO51" s="36">
        <f t="shared" si="288"/>
        <v>11.81532</v>
      </c>
      <c r="CP51" s="58">
        <f t="shared" si="288"/>
        <v>17.72298</v>
      </c>
      <c r="CR51" s="209"/>
      <c r="CS51" s="233"/>
      <c r="CT51" s="217"/>
      <c r="CU51" s="232"/>
      <c r="CV51" s="209"/>
      <c r="CW51" s="276"/>
      <c r="CX51" s="209"/>
      <c r="CY51" s="251">
        <f t="shared" si="103"/>
        <v>1</v>
      </c>
      <c r="CZ51" s="250">
        <f t="shared" si="128"/>
        <v>1</v>
      </c>
      <c r="DA51" s="248">
        <f t="shared" si="92"/>
        <v>2</v>
      </c>
      <c r="DB51" s="248">
        <f t="shared" si="93"/>
        <v>1</v>
      </c>
      <c r="DC51" s="277"/>
      <c r="DD51" s="278"/>
      <c r="DE51" s="279"/>
      <c r="DF51" s="280"/>
      <c r="DG51" s="195">
        <f t="shared" si="217"/>
        <v>0</v>
      </c>
      <c r="DH51" s="81">
        <f t="shared" si="218"/>
        <v>0</v>
      </c>
      <c r="DI51" s="81">
        <f t="shared" si="219"/>
        <v>0</v>
      </c>
      <c r="DJ51" s="81">
        <f t="shared" si="220"/>
        <v>0</v>
      </c>
      <c r="DK51" s="82">
        <f t="shared" si="221"/>
        <v>0</v>
      </c>
      <c r="DM51" s="83">
        <f t="shared" si="222"/>
        <v>0</v>
      </c>
      <c r="DN51" s="84">
        <f t="shared" si="223"/>
        <v>0</v>
      </c>
      <c r="DO51" s="84">
        <f t="shared" si="224"/>
        <v>0</v>
      </c>
      <c r="DP51" s="105"/>
      <c r="DQ51" s="85">
        <f t="shared" si="138"/>
        <v>0</v>
      </c>
      <c r="DR51" s="108">
        <f t="shared" si="139"/>
        <v>0</v>
      </c>
      <c r="DS51" s="244">
        <f t="shared" si="140"/>
        <v>0</v>
      </c>
      <c r="DT51" s="113"/>
      <c r="DU51" s="132">
        <f t="shared" si="141"/>
        <v>0</v>
      </c>
      <c r="DV51" s="133">
        <f t="shared" si="142"/>
        <v>0</v>
      </c>
      <c r="DW51" s="128">
        <f t="shared" si="143"/>
        <v>0</v>
      </c>
      <c r="DX51" s="133">
        <f t="shared" si="144"/>
        <v>0</v>
      </c>
      <c r="DY51" s="128">
        <f t="shared" si="145"/>
        <v>0</v>
      </c>
      <c r="DZ51" s="126">
        <f t="shared" si="146"/>
        <v>0</v>
      </c>
      <c r="EA51" s="127">
        <f t="shared" si="147"/>
        <v>0</v>
      </c>
      <c r="EC51" s="132">
        <f t="shared" si="148"/>
        <v>0</v>
      </c>
      <c r="ED51" s="133">
        <v>11.115</v>
      </c>
      <c r="EE51" s="128">
        <f t="shared" si="149"/>
        <v>0</v>
      </c>
      <c r="EF51" s="133">
        <f t="shared" si="150"/>
        <v>0</v>
      </c>
      <c r="EG51" s="128">
        <f t="shared" si="151"/>
        <v>0</v>
      </c>
      <c r="EH51" s="134">
        <f t="shared" si="152"/>
        <v>0</v>
      </c>
      <c r="EI51" s="127">
        <f t="shared" si="153"/>
        <v>0</v>
      </c>
      <c r="EK51" s="132">
        <f t="shared" si="154"/>
        <v>0</v>
      </c>
      <c r="EL51" s="133">
        <f t="shared" si="94"/>
        <v>0.125</v>
      </c>
      <c r="EM51" s="128">
        <f t="shared" si="155"/>
        <v>0</v>
      </c>
      <c r="EN51" s="133">
        <f t="shared" si="156"/>
        <v>0</v>
      </c>
      <c r="EO51" s="128">
        <f t="shared" si="157"/>
        <v>0</v>
      </c>
      <c r="EP51" s="134">
        <f t="shared" si="158"/>
        <v>0</v>
      </c>
      <c r="EQ51" s="127">
        <f t="shared" si="159"/>
        <v>0</v>
      </c>
      <c r="ER51" s="127"/>
      <c r="ES51" s="132">
        <f t="shared" si="160"/>
        <v>0</v>
      </c>
      <c r="ET51" s="133">
        <f t="shared" si="95"/>
        <v>0.13</v>
      </c>
      <c r="EU51" s="128">
        <f t="shared" si="161"/>
        <v>0</v>
      </c>
      <c r="EV51" s="133">
        <f t="shared" si="162"/>
        <v>0</v>
      </c>
      <c r="EW51" s="128">
        <f t="shared" si="163"/>
        <v>0</v>
      </c>
      <c r="EX51" s="134">
        <f t="shared" si="164"/>
        <v>0</v>
      </c>
      <c r="EY51" s="127">
        <f t="shared" si="165"/>
        <v>0</v>
      </c>
      <c r="FA51" s="132">
        <f t="shared" si="166"/>
        <v>0</v>
      </c>
      <c r="FB51" s="133">
        <f t="shared" si="167"/>
        <v>0</v>
      </c>
      <c r="FC51" s="128">
        <f t="shared" si="168"/>
        <v>0</v>
      </c>
      <c r="FD51" s="133">
        <f t="shared" si="169"/>
        <v>0</v>
      </c>
      <c r="FE51" s="128">
        <f t="shared" si="170"/>
        <v>0</v>
      </c>
      <c r="FF51" s="134">
        <f t="shared" si="171"/>
        <v>0</v>
      </c>
      <c r="FG51" s="127">
        <f t="shared" si="172"/>
        <v>0</v>
      </c>
      <c r="FI51" s="132">
        <f t="shared" si="173"/>
        <v>0</v>
      </c>
      <c r="FJ51" s="133">
        <f t="shared" si="174"/>
        <v>0</v>
      </c>
      <c r="FK51" s="128">
        <f t="shared" si="175"/>
        <v>0</v>
      </c>
      <c r="FL51" s="133">
        <f t="shared" si="176"/>
        <v>0</v>
      </c>
      <c r="FM51" s="128">
        <f t="shared" si="177"/>
        <v>0</v>
      </c>
      <c r="FN51" s="134">
        <f t="shared" si="178"/>
        <v>0</v>
      </c>
      <c r="FO51" s="127">
        <f t="shared" si="179"/>
        <v>0</v>
      </c>
      <c r="FQ51" s="132">
        <f t="shared" si="180"/>
        <v>0</v>
      </c>
      <c r="FR51" s="133">
        <f t="shared" si="181"/>
        <v>0</v>
      </c>
      <c r="FS51" s="128">
        <f t="shared" si="182"/>
        <v>0</v>
      </c>
      <c r="FT51" s="133">
        <f t="shared" si="183"/>
        <v>0</v>
      </c>
      <c r="FU51" s="128">
        <f t="shared" si="184"/>
        <v>0</v>
      </c>
      <c r="FV51" s="134">
        <f t="shared" si="185"/>
        <v>0</v>
      </c>
      <c r="FW51" s="127">
        <f t="shared" si="186"/>
        <v>0</v>
      </c>
      <c r="FY51" s="132">
        <f t="shared" si="187"/>
        <v>0</v>
      </c>
      <c r="FZ51" s="133">
        <f t="shared" si="188"/>
        <v>0</v>
      </c>
      <c r="GA51" s="128">
        <f t="shared" si="189"/>
        <v>0</v>
      </c>
      <c r="GB51" s="133">
        <f t="shared" si="190"/>
        <v>0</v>
      </c>
      <c r="GC51" s="128">
        <f t="shared" si="191"/>
        <v>0</v>
      </c>
      <c r="GD51" s="134">
        <f t="shared" si="192"/>
        <v>0</v>
      </c>
      <c r="GE51" s="127">
        <f t="shared" si="193"/>
        <v>0</v>
      </c>
      <c r="GG51" s="132">
        <f t="shared" si="194"/>
        <v>0</v>
      </c>
      <c r="GH51" s="133">
        <f t="shared" si="195"/>
        <v>0</v>
      </c>
      <c r="GI51" s="128">
        <f t="shared" si="196"/>
        <v>0</v>
      </c>
      <c r="GJ51" s="133">
        <f t="shared" si="197"/>
        <v>0</v>
      </c>
      <c r="GK51" s="128">
        <f t="shared" si="198"/>
        <v>0</v>
      </c>
      <c r="GL51" s="134">
        <f t="shared" si="199"/>
        <v>0</v>
      </c>
      <c r="GM51" s="127">
        <f t="shared" si="200"/>
        <v>0</v>
      </c>
    </row>
    <row r="52" spans="14:195" ht="18.75" x14ac:dyDescent="0.3">
      <c r="N52" s="8"/>
      <c r="O52" s="29"/>
      <c r="P52" s="8"/>
      <c r="Q52" s="8"/>
      <c r="R52" s="8"/>
      <c r="AK52" s="47">
        <f t="shared" si="81"/>
        <v>2.262</v>
      </c>
      <c r="AL52" s="46">
        <f t="shared" si="81"/>
        <v>1.131</v>
      </c>
      <c r="AM52" s="46">
        <f t="shared" si="81"/>
        <v>0.754</v>
      </c>
      <c r="AN52" s="111">
        <f t="shared" si="129"/>
        <v>0.5655</v>
      </c>
      <c r="AO52" s="46">
        <f t="shared" ref="AO52:AT52" si="289">AO51</f>
        <v>1.218</v>
      </c>
      <c r="AP52" s="46">
        <f t="shared" si="289"/>
        <v>2.4359999999999999</v>
      </c>
      <c r="AQ52" s="46">
        <f t="shared" si="289"/>
        <v>3.6539999999999999</v>
      </c>
      <c r="AR52" s="46">
        <f t="shared" si="289"/>
        <v>2.3242049999999996</v>
      </c>
      <c r="AS52" s="46">
        <f t="shared" si="289"/>
        <v>4.6484099999999993</v>
      </c>
      <c r="AT52" s="162">
        <f t="shared" si="289"/>
        <v>6.9726149999999993</v>
      </c>
      <c r="AU52" s="163">
        <f t="shared" si="116"/>
        <v>1.1000000000000001</v>
      </c>
      <c r="AV52" s="78" t="str">
        <f t="shared" si="116"/>
        <v>5X7</v>
      </c>
      <c r="AW52" s="78">
        <f t="shared" si="116"/>
        <v>35</v>
      </c>
      <c r="AX52" s="35">
        <f t="shared" si="116"/>
        <v>0.97977000000000003</v>
      </c>
      <c r="AY52" s="36">
        <f t="shared" si="116"/>
        <v>1.9595400000000001</v>
      </c>
      <c r="AZ52" s="58">
        <f t="shared" si="116"/>
        <v>2.9393099999999999</v>
      </c>
      <c r="BB52" s="31" t="str">
        <f t="shared" ref="BB52:BF52" si="290">BB51</f>
        <v>4.5X10</v>
      </c>
      <c r="BC52" s="78">
        <f t="shared" si="290"/>
        <v>45</v>
      </c>
      <c r="BD52" s="35">
        <f t="shared" si="290"/>
        <v>1.23838</v>
      </c>
      <c r="BE52" s="36">
        <f t="shared" si="290"/>
        <v>2.4767600000000001</v>
      </c>
      <c r="BF52" s="58">
        <f t="shared" si="290"/>
        <v>3.7151399999999999</v>
      </c>
      <c r="BH52" s="31" t="str">
        <f t="shared" ref="BH52:BL52" si="291">BH51</f>
        <v>4.5X17</v>
      </c>
      <c r="BI52" s="78">
        <f t="shared" si="291"/>
        <v>76.5</v>
      </c>
      <c r="BJ52" s="35">
        <f t="shared" si="291"/>
        <v>1.9836300000000002</v>
      </c>
      <c r="BK52" s="36">
        <f t="shared" si="291"/>
        <v>3.9672600000000005</v>
      </c>
      <c r="BL52" s="58">
        <f t="shared" si="291"/>
        <v>5.9508900000000011</v>
      </c>
      <c r="BN52" s="31" t="str">
        <f t="shared" ref="BN52:BR52" si="292">BN51</f>
        <v>8X10</v>
      </c>
      <c r="BO52" s="78">
        <f t="shared" si="292"/>
        <v>80</v>
      </c>
      <c r="BP52" s="35">
        <f t="shared" si="292"/>
        <v>2.0702000000000003</v>
      </c>
      <c r="BQ52" s="36">
        <f t="shared" si="292"/>
        <v>4.1404000000000005</v>
      </c>
      <c r="BR52" s="58">
        <f t="shared" si="292"/>
        <v>6.2106000000000012</v>
      </c>
      <c r="BT52" s="31" t="str">
        <f t="shared" ref="BT52:BX52" si="293">BT51</f>
        <v>7X17</v>
      </c>
      <c r="BU52" s="78">
        <f t="shared" si="293"/>
        <v>119</v>
      </c>
      <c r="BV52" s="35">
        <f t="shared" si="293"/>
        <v>3.0300600000000002</v>
      </c>
      <c r="BW52" s="36">
        <f t="shared" si="293"/>
        <v>6.0601200000000004</v>
      </c>
      <c r="BX52" s="58">
        <f t="shared" si="293"/>
        <v>9.0901800000000001</v>
      </c>
      <c r="BZ52" s="31" t="str">
        <f t="shared" ref="BZ52:CD52" si="294">BZ51</f>
        <v>10X12</v>
      </c>
      <c r="CA52" s="78">
        <f t="shared" si="294"/>
        <v>120</v>
      </c>
      <c r="CB52" s="35">
        <f t="shared" si="294"/>
        <v>3.0453500000000004</v>
      </c>
      <c r="CC52" s="36">
        <f t="shared" si="294"/>
        <v>6.0907000000000009</v>
      </c>
      <c r="CD52" s="58">
        <f t="shared" si="294"/>
        <v>9.1360500000000009</v>
      </c>
      <c r="CF52" s="31" t="str">
        <f t="shared" ref="CF52:CJ52" si="295">CF51</f>
        <v>11X14</v>
      </c>
      <c r="CG52" s="78">
        <f t="shared" si="295"/>
        <v>154</v>
      </c>
      <c r="CH52" s="35">
        <f t="shared" si="295"/>
        <v>3.8582500000000004</v>
      </c>
      <c r="CI52" s="36">
        <f t="shared" si="295"/>
        <v>7.7165000000000008</v>
      </c>
      <c r="CJ52" s="58">
        <f t="shared" si="295"/>
        <v>11.574750000000002</v>
      </c>
      <c r="CL52" s="31" t="str">
        <f t="shared" ref="CL52:CP52" si="296">CL51</f>
        <v>14X17</v>
      </c>
      <c r="CM52" s="78">
        <f t="shared" si="296"/>
        <v>238</v>
      </c>
      <c r="CN52" s="35">
        <f t="shared" si="296"/>
        <v>5.9076599999999999</v>
      </c>
      <c r="CO52" s="36">
        <f t="shared" si="296"/>
        <v>11.81532</v>
      </c>
      <c r="CP52" s="58">
        <f t="shared" si="296"/>
        <v>17.72298</v>
      </c>
      <c r="CR52" s="209"/>
      <c r="CS52" s="233"/>
      <c r="CT52" s="217"/>
      <c r="CU52" s="232"/>
      <c r="CV52" s="209"/>
      <c r="CW52" s="276"/>
      <c r="CX52" s="209"/>
      <c r="CY52" s="251">
        <f t="shared" si="103"/>
        <v>1</v>
      </c>
      <c r="CZ52" s="250">
        <f t="shared" si="128"/>
        <v>1</v>
      </c>
      <c r="DA52" s="248">
        <f t="shared" si="92"/>
        <v>2</v>
      </c>
      <c r="DB52" s="248">
        <f t="shared" si="93"/>
        <v>1</v>
      </c>
      <c r="DC52" s="277"/>
      <c r="DD52" s="278"/>
      <c r="DE52" s="279"/>
      <c r="DF52" s="280"/>
      <c r="DG52" s="195">
        <f t="shared" si="217"/>
        <v>0</v>
      </c>
      <c r="DH52" s="81">
        <f t="shared" si="218"/>
        <v>0</v>
      </c>
      <c r="DI52" s="81">
        <f t="shared" si="219"/>
        <v>0</v>
      </c>
      <c r="DJ52" s="81">
        <f t="shared" si="220"/>
        <v>0</v>
      </c>
      <c r="DK52" s="82">
        <f t="shared" si="221"/>
        <v>0</v>
      </c>
      <c r="DM52" s="83">
        <f t="shared" si="222"/>
        <v>0</v>
      </c>
      <c r="DN52" s="84">
        <f t="shared" si="223"/>
        <v>0</v>
      </c>
      <c r="DO52" s="84">
        <f t="shared" si="224"/>
        <v>0</v>
      </c>
      <c r="DP52" s="105"/>
      <c r="DQ52" s="85">
        <f t="shared" si="138"/>
        <v>0</v>
      </c>
      <c r="DR52" s="108">
        <f t="shared" si="139"/>
        <v>0</v>
      </c>
      <c r="DS52" s="244">
        <f t="shared" si="140"/>
        <v>0</v>
      </c>
      <c r="DT52" s="113"/>
      <c r="DU52" s="132">
        <f t="shared" si="141"/>
        <v>0</v>
      </c>
      <c r="DV52" s="133">
        <f t="shared" si="142"/>
        <v>0</v>
      </c>
      <c r="DW52" s="128">
        <f t="shared" si="143"/>
        <v>0</v>
      </c>
      <c r="DX52" s="133">
        <f t="shared" si="144"/>
        <v>0</v>
      </c>
      <c r="DY52" s="128">
        <f t="shared" si="145"/>
        <v>0</v>
      </c>
      <c r="DZ52" s="126">
        <f t="shared" si="146"/>
        <v>0</v>
      </c>
      <c r="EA52" s="127">
        <f t="shared" si="147"/>
        <v>0</v>
      </c>
      <c r="EC52" s="132">
        <f t="shared" si="148"/>
        <v>0</v>
      </c>
      <c r="ED52" s="133">
        <v>12.115</v>
      </c>
      <c r="EE52" s="128">
        <f t="shared" si="149"/>
        <v>0</v>
      </c>
      <c r="EF52" s="133">
        <f t="shared" si="150"/>
        <v>0</v>
      </c>
      <c r="EG52" s="128">
        <f t="shared" si="151"/>
        <v>0</v>
      </c>
      <c r="EH52" s="134">
        <f t="shared" si="152"/>
        <v>0</v>
      </c>
      <c r="EI52" s="127">
        <f t="shared" si="153"/>
        <v>0</v>
      </c>
      <c r="EK52" s="132">
        <f t="shared" si="154"/>
        <v>0</v>
      </c>
      <c r="EL52" s="133">
        <f t="shared" si="94"/>
        <v>0.125</v>
      </c>
      <c r="EM52" s="128">
        <f t="shared" si="155"/>
        <v>0</v>
      </c>
      <c r="EN52" s="133">
        <f t="shared" si="156"/>
        <v>0</v>
      </c>
      <c r="EO52" s="128">
        <f t="shared" si="157"/>
        <v>0</v>
      </c>
      <c r="EP52" s="134">
        <f t="shared" si="158"/>
        <v>0</v>
      </c>
      <c r="EQ52" s="127">
        <f t="shared" si="159"/>
        <v>0</v>
      </c>
      <c r="ER52" s="127"/>
      <c r="ES52" s="132">
        <f t="shared" si="160"/>
        <v>0</v>
      </c>
      <c r="ET52" s="133">
        <f t="shared" si="95"/>
        <v>0.13</v>
      </c>
      <c r="EU52" s="128">
        <f t="shared" si="161"/>
        <v>0</v>
      </c>
      <c r="EV52" s="133">
        <f t="shared" si="162"/>
        <v>0</v>
      </c>
      <c r="EW52" s="128">
        <f t="shared" si="163"/>
        <v>0</v>
      </c>
      <c r="EX52" s="134">
        <f t="shared" si="164"/>
        <v>0</v>
      </c>
      <c r="EY52" s="127">
        <f t="shared" si="165"/>
        <v>0</v>
      </c>
      <c r="FA52" s="132">
        <f t="shared" si="166"/>
        <v>0</v>
      </c>
      <c r="FB52" s="133">
        <f t="shared" si="167"/>
        <v>0</v>
      </c>
      <c r="FC52" s="128">
        <f t="shared" si="168"/>
        <v>0</v>
      </c>
      <c r="FD52" s="133">
        <f t="shared" si="169"/>
        <v>0</v>
      </c>
      <c r="FE52" s="128">
        <f t="shared" si="170"/>
        <v>0</v>
      </c>
      <c r="FF52" s="134">
        <f t="shared" si="171"/>
        <v>0</v>
      </c>
      <c r="FG52" s="127">
        <f t="shared" si="172"/>
        <v>0</v>
      </c>
      <c r="FI52" s="132">
        <f t="shared" si="173"/>
        <v>0</v>
      </c>
      <c r="FJ52" s="133">
        <f t="shared" si="174"/>
        <v>0</v>
      </c>
      <c r="FK52" s="128">
        <f t="shared" si="175"/>
        <v>0</v>
      </c>
      <c r="FL52" s="133">
        <f t="shared" si="176"/>
        <v>0</v>
      </c>
      <c r="FM52" s="128">
        <f t="shared" si="177"/>
        <v>0</v>
      </c>
      <c r="FN52" s="134">
        <f t="shared" si="178"/>
        <v>0</v>
      </c>
      <c r="FO52" s="127">
        <f t="shared" si="179"/>
        <v>0</v>
      </c>
      <c r="FQ52" s="132">
        <f t="shared" si="180"/>
        <v>0</v>
      </c>
      <c r="FR52" s="133">
        <f t="shared" si="181"/>
        <v>0</v>
      </c>
      <c r="FS52" s="128">
        <f t="shared" si="182"/>
        <v>0</v>
      </c>
      <c r="FT52" s="133">
        <f t="shared" si="183"/>
        <v>0</v>
      </c>
      <c r="FU52" s="128">
        <f t="shared" si="184"/>
        <v>0</v>
      </c>
      <c r="FV52" s="134">
        <f t="shared" si="185"/>
        <v>0</v>
      </c>
      <c r="FW52" s="127">
        <f t="shared" si="186"/>
        <v>0</v>
      </c>
      <c r="FY52" s="132">
        <f t="shared" si="187"/>
        <v>0</v>
      </c>
      <c r="FZ52" s="133">
        <f t="shared" si="188"/>
        <v>0</v>
      </c>
      <c r="GA52" s="128">
        <f t="shared" si="189"/>
        <v>0</v>
      </c>
      <c r="GB52" s="133">
        <f t="shared" si="190"/>
        <v>0</v>
      </c>
      <c r="GC52" s="128">
        <f t="shared" si="191"/>
        <v>0</v>
      </c>
      <c r="GD52" s="134">
        <f t="shared" si="192"/>
        <v>0</v>
      </c>
      <c r="GE52" s="127">
        <f t="shared" si="193"/>
        <v>0</v>
      </c>
      <c r="GG52" s="132">
        <f t="shared" si="194"/>
        <v>0</v>
      </c>
      <c r="GH52" s="133">
        <f t="shared" si="195"/>
        <v>0</v>
      </c>
      <c r="GI52" s="128">
        <f t="shared" si="196"/>
        <v>0</v>
      </c>
      <c r="GJ52" s="133">
        <f t="shared" si="197"/>
        <v>0</v>
      </c>
      <c r="GK52" s="128">
        <f t="shared" si="198"/>
        <v>0</v>
      </c>
      <c r="GL52" s="134">
        <f t="shared" si="199"/>
        <v>0</v>
      </c>
      <c r="GM52" s="127">
        <f t="shared" si="200"/>
        <v>0</v>
      </c>
    </row>
    <row r="53" spans="14:195" ht="19.5" thickBot="1" x14ac:dyDescent="0.35">
      <c r="N53" s="8"/>
      <c r="O53" s="29"/>
      <c r="P53" s="8"/>
      <c r="Q53" s="8"/>
      <c r="R53" s="8"/>
      <c r="AK53" s="47">
        <f>AK40</f>
        <v>2.262</v>
      </c>
      <c r="AL53" s="46">
        <f>AL40</f>
        <v>1.131</v>
      </c>
      <c r="AM53" s="46">
        <f>AM40</f>
        <v>0.754</v>
      </c>
      <c r="AN53" s="111">
        <f t="shared" si="39"/>
        <v>0.5655</v>
      </c>
      <c r="AO53" s="46">
        <f t="shared" ref="AO53:AT53" si="297">AO40</f>
        <v>1.218</v>
      </c>
      <c r="AP53" s="46">
        <f t="shared" si="297"/>
        <v>2.4359999999999999</v>
      </c>
      <c r="AQ53" s="46">
        <f t="shared" si="297"/>
        <v>3.6539999999999999</v>
      </c>
      <c r="AR53" s="46">
        <f t="shared" si="297"/>
        <v>2.3242049999999996</v>
      </c>
      <c r="AS53" s="46">
        <f t="shared" si="297"/>
        <v>4.6484099999999993</v>
      </c>
      <c r="AT53" s="162">
        <f t="shared" si="297"/>
        <v>6.9726149999999993</v>
      </c>
      <c r="AU53" s="163">
        <f t="shared" si="116"/>
        <v>1.1000000000000001</v>
      </c>
      <c r="AV53" s="78" t="str">
        <f>AV40</f>
        <v>5X7</v>
      </c>
      <c r="AW53" s="78">
        <f>AW40</f>
        <v>35</v>
      </c>
      <c r="AX53" s="35">
        <f>AX40</f>
        <v>0.97977000000000003</v>
      </c>
      <c r="AY53" s="36">
        <f>AY40</f>
        <v>1.9595400000000001</v>
      </c>
      <c r="AZ53" s="58">
        <f>AZ40</f>
        <v>2.9393099999999999</v>
      </c>
      <c r="BB53" s="31" t="str">
        <f>BB40</f>
        <v>4.5X10</v>
      </c>
      <c r="BC53" s="78">
        <f>BC40</f>
        <v>45</v>
      </c>
      <c r="BD53" s="35">
        <f>BD40</f>
        <v>1.23838</v>
      </c>
      <c r="BE53" s="36">
        <f>BE40</f>
        <v>2.4767600000000001</v>
      </c>
      <c r="BF53" s="58">
        <f>BF40</f>
        <v>3.7151399999999999</v>
      </c>
      <c r="BH53" s="31" t="str">
        <f>BH40</f>
        <v>4.5X17</v>
      </c>
      <c r="BI53" s="78">
        <f>BI40</f>
        <v>76.5</v>
      </c>
      <c r="BJ53" s="35">
        <f>BJ40</f>
        <v>1.9836300000000002</v>
      </c>
      <c r="BK53" s="36">
        <f>BK40</f>
        <v>3.9672600000000005</v>
      </c>
      <c r="BL53" s="58">
        <f>BL40</f>
        <v>5.9508900000000011</v>
      </c>
      <c r="BN53" s="31" t="str">
        <f>BN40</f>
        <v>8X10</v>
      </c>
      <c r="BO53" s="78">
        <f>BO40</f>
        <v>80</v>
      </c>
      <c r="BP53" s="35">
        <f>BP40</f>
        <v>2.0702000000000003</v>
      </c>
      <c r="BQ53" s="36">
        <f>BQ40</f>
        <v>4.1404000000000005</v>
      </c>
      <c r="BR53" s="58">
        <f>BR40</f>
        <v>6.2106000000000012</v>
      </c>
      <c r="BT53" s="31" t="str">
        <f>BT40</f>
        <v>7X17</v>
      </c>
      <c r="BU53" s="78">
        <f>BU40</f>
        <v>119</v>
      </c>
      <c r="BV53" s="35">
        <f>BV40</f>
        <v>3.0300600000000002</v>
      </c>
      <c r="BW53" s="36">
        <f>BW40</f>
        <v>6.0601200000000004</v>
      </c>
      <c r="BX53" s="58">
        <f>BX40</f>
        <v>9.0901800000000001</v>
      </c>
      <c r="BZ53" s="31" t="str">
        <f>BZ40</f>
        <v>10X12</v>
      </c>
      <c r="CA53" s="78">
        <f>CA40</f>
        <v>120</v>
      </c>
      <c r="CB53" s="35">
        <f>CB40</f>
        <v>3.0453500000000004</v>
      </c>
      <c r="CC53" s="36">
        <f>CC40</f>
        <v>6.0907000000000009</v>
      </c>
      <c r="CD53" s="58">
        <f>CD40</f>
        <v>9.1360500000000009</v>
      </c>
      <c r="CF53" s="31" t="str">
        <f>CF40</f>
        <v>11X14</v>
      </c>
      <c r="CG53" s="78">
        <f>CG40</f>
        <v>154</v>
      </c>
      <c r="CH53" s="35">
        <f>CH40</f>
        <v>3.8582500000000004</v>
      </c>
      <c r="CI53" s="36">
        <f>CI40</f>
        <v>7.7165000000000008</v>
      </c>
      <c r="CJ53" s="58">
        <f>CJ40</f>
        <v>11.574750000000002</v>
      </c>
      <c r="CL53" s="31" t="str">
        <f>CL40</f>
        <v>14X17</v>
      </c>
      <c r="CM53" s="78">
        <f>CM40</f>
        <v>238</v>
      </c>
      <c r="CN53" s="35">
        <f>CN40</f>
        <v>5.9076599999999999</v>
      </c>
      <c r="CO53" s="36">
        <f>CO40</f>
        <v>11.81532</v>
      </c>
      <c r="CP53" s="58">
        <f>CP40</f>
        <v>17.72298</v>
      </c>
      <c r="CR53" s="209"/>
      <c r="CS53" s="275"/>
      <c r="CT53" s="217"/>
      <c r="CU53" s="232"/>
      <c r="CV53" s="265"/>
      <c r="CW53" s="266"/>
      <c r="CX53" s="265">
        <v>0</v>
      </c>
      <c r="CY53" s="251">
        <v>0</v>
      </c>
      <c r="CZ53" s="250">
        <v>0</v>
      </c>
      <c r="DA53" s="248">
        <v>0</v>
      </c>
      <c r="DB53" s="248">
        <v>0</v>
      </c>
      <c r="DC53" s="267">
        <v>0</v>
      </c>
      <c r="DD53" s="260"/>
      <c r="DE53" s="204"/>
      <c r="DF53" s="205"/>
      <c r="DG53" s="195">
        <f t="shared" si="217"/>
        <v>0</v>
      </c>
      <c r="DH53" s="81">
        <f t="shared" si="218"/>
        <v>0</v>
      </c>
      <c r="DI53" s="81">
        <f t="shared" si="219"/>
        <v>0</v>
      </c>
      <c r="DJ53" s="81">
        <f t="shared" si="220"/>
        <v>0</v>
      </c>
      <c r="DK53" s="82">
        <f t="shared" si="221"/>
        <v>0</v>
      </c>
      <c r="DL53" s="21"/>
      <c r="DM53" s="83">
        <f t="shared" si="222"/>
        <v>0</v>
      </c>
      <c r="DN53" s="84">
        <f t="shared" si="223"/>
        <v>0</v>
      </c>
      <c r="DO53" s="84">
        <f t="shared" si="224"/>
        <v>0</v>
      </c>
      <c r="DP53" s="105"/>
      <c r="DQ53" s="85">
        <f t="shared" si="138"/>
        <v>0</v>
      </c>
      <c r="DR53" s="108">
        <f t="shared" si="139"/>
        <v>0</v>
      </c>
      <c r="DS53" s="244">
        <f t="shared" si="140"/>
        <v>0</v>
      </c>
      <c r="DT53" s="113"/>
      <c r="DU53" s="132">
        <f t="shared" si="141"/>
        <v>0</v>
      </c>
      <c r="DV53" s="133">
        <f t="shared" si="142"/>
        <v>0</v>
      </c>
      <c r="DW53" s="128">
        <f t="shared" si="143"/>
        <v>0</v>
      </c>
      <c r="DX53" s="133">
        <f t="shared" si="144"/>
        <v>0</v>
      </c>
      <c r="DY53" s="128">
        <f t="shared" si="145"/>
        <v>0</v>
      </c>
      <c r="DZ53" s="126">
        <f t="shared" si="146"/>
        <v>0</v>
      </c>
      <c r="EA53" s="127">
        <f t="shared" si="147"/>
        <v>0</v>
      </c>
      <c r="EC53" s="132">
        <f t="shared" si="148"/>
        <v>0</v>
      </c>
      <c r="ED53" s="133">
        <v>13.115</v>
      </c>
      <c r="EE53" s="128">
        <f t="shared" si="149"/>
        <v>0</v>
      </c>
      <c r="EF53" s="133">
        <f t="shared" si="150"/>
        <v>0</v>
      </c>
      <c r="EG53" s="128">
        <f t="shared" si="151"/>
        <v>0</v>
      </c>
      <c r="EH53" s="134">
        <f t="shared" si="152"/>
        <v>0</v>
      </c>
      <c r="EI53" s="127">
        <f t="shared" si="153"/>
        <v>0</v>
      </c>
      <c r="EK53" s="132">
        <f t="shared" si="154"/>
        <v>0</v>
      </c>
      <c r="EL53" s="133">
        <f t="shared" si="94"/>
        <v>0.125</v>
      </c>
      <c r="EM53" s="128">
        <f t="shared" si="155"/>
        <v>0</v>
      </c>
      <c r="EN53" s="133">
        <f t="shared" si="156"/>
        <v>0</v>
      </c>
      <c r="EO53" s="128">
        <f t="shared" si="157"/>
        <v>0</v>
      </c>
      <c r="EP53" s="134">
        <f t="shared" si="158"/>
        <v>0</v>
      </c>
      <c r="EQ53" s="127">
        <f t="shared" si="159"/>
        <v>0</v>
      </c>
      <c r="ER53" s="127"/>
      <c r="ES53" s="132">
        <f t="shared" si="160"/>
        <v>0</v>
      </c>
      <c r="ET53" s="133">
        <f t="shared" si="95"/>
        <v>0.13</v>
      </c>
      <c r="EU53" s="128">
        <f t="shared" si="161"/>
        <v>0</v>
      </c>
      <c r="EV53" s="133">
        <f t="shared" si="162"/>
        <v>0</v>
      </c>
      <c r="EW53" s="128">
        <f t="shared" si="163"/>
        <v>0</v>
      </c>
      <c r="EX53" s="134">
        <f t="shared" si="164"/>
        <v>0</v>
      </c>
      <c r="EY53" s="127">
        <f t="shared" si="165"/>
        <v>0</v>
      </c>
      <c r="FA53" s="132">
        <f t="shared" si="166"/>
        <v>0</v>
      </c>
      <c r="FB53" s="133">
        <f t="shared" si="167"/>
        <v>0</v>
      </c>
      <c r="FC53" s="128">
        <f t="shared" si="168"/>
        <v>0</v>
      </c>
      <c r="FD53" s="133">
        <f t="shared" si="169"/>
        <v>0</v>
      </c>
      <c r="FE53" s="128">
        <f t="shared" si="170"/>
        <v>0</v>
      </c>
      <c r="FF53" s="134">
        <f t="shared" si="171"/>
        <v>0</v>
      </c>
      <c r="FG53" s="127">
        <f t="shared" si="172"/>
        <v>0</v>
      </c>
      <c r="FI53" s="132">
        <f t="shared" si="173"/>
        <v>0</v>
      </c>
      <c r="FJ53" s="133">
        <f t="shared" si="174"/>
        <v>0</v>
      </c>
      <c r="FK53" s="128">
        <f t="shared" si="175"/>
        <v>0</v>
      </c>
      <c r="FL53" s="133">
        <f t="shared" si="176"/>
        <v>0</v>
      </c>
      <c r="FM53" s="128">
        <f t="shared" si="177"/>
        <v>0</v>
      </c>
      <c r="FN53" s="134">
        <f t="shared" si="178"/>
        <v>0</v>
      </c>
      <c r="FO53" s="127">
        <f t="shared" si="179"/>
        <v>0</v>
      </c>
      <c r="FQ53" s="132">
        <f t="shared" si="180"/>
        <v>0</v>
      </c>
      <c r="FR53" s="133">
        <f t="shared" si="181"/>
        <v>0</v>
      </c>
      <c r="FS53" s="128">
        <f t="shared" si="182"/>
        <v>0</v>
      </c>
      <c r="FT53" s="133">
        <f t="shared" si="183"/>
        <v>0</v>
      </c>
      <c r="FU53" s="128">
        <f t="shared" si="184"/>
        <v>0</v>
      </c>
      <c r="FV53" s="134">
        <f t="shared" si="185"/>
        <v>0</v>
      </c>
      <c r="FW53" s="127">
        <f t="shared" si="186"/>
        <v>0</v>
      </c>
      <c r="FY53" s="132">
        <f t="shared" si="187"/>
        <v>0</v>
      </c>
      <c r="FZ53" s="133">
        <f t="shared" si="188"/>
        <v>0</v>
      </c>
      <c r="GA53" s="128">
        <f t="shared" si="189"/>
        <v>0</v>
      </c>
      <c r="GB53" s="133">
        <f t="shared" si="190"/>
        <v>0</v>
      </c>
      <c r="GC53" s="128">
        <f t="shared" si="191"/>
        <v>0</v>
      </c>
      <c r="GD53" s="134">
        <f t="shared" si="192"/>
        <v>0</v>
      </c>
      <c r="GE53" s="127">
        <f t="shared" si="193"/>
        <v>0</v>
      </c>
      <c r="GG53" s="132">
        <f t="shared" si="194"/>
        <v>0</v>
      </c>
      <c r="GH53" s="133">
        <f t="shared" si="195"/>
        <v>0</v>
      </c>
      <c r="GI53" s="128">
        <f t="shared" si="196"/>
        <v>0</v>
      </c>
      <c r="GJ53" s="133">
        <f t="shared" si="197"/>
        <v>0</v>
      </c>
      <c r="GK53" s="128">
        <f t="shared" si="198"/>
        <v>0</v>
      </c>
      <c r="GL53" s="134">
        <f t="shared" si="199"/>
        <v>0</v>
      </c>
      <c r="GM53" s="127">
        <f t="shared" si="200"/>
        <v>0</v>
      </c>
    </row>
    <row r="54" spans="14:195" ht="30.75" x14ac:dyDescent="0.3">
      <c r="N54" s="8"/>
      <c r="O54" s="29"/>
      <c r="P54" s="8"/>
      <c r="Q54" s="8"/>
      <c r="R54" s="8"/>
      <c r="AK54"/>
      <c r="AL54"/>
      <c r="AM54"/>
      <c r="AN54"/>
      <c r="AO54"/>
      <c r="AP54"/>
      <c r="AQ54"/>
      <c r="AR54"/>
      <c r="AS54"/>
      <c r="AT54"/>
      <c r="AU54"/>
      <c r="AX54"/>
      <c r="AY54"/>
      <c r="AZ54"/>
      <c r="BA54"/>
      <c r="BD54"/>
      <c r="BE54"/>
      <c r="BF54"/>
      <c r="BG54"/>
      <c r="BJ54"/>
      <c r="BK54"/>
      <c r="BL54"/>
      <c r="BP54"/>
      <c r="BQ54"/>
      <c r="BR54"/>
      <c r="BV54"/>
      <c r="BW54"/>
      <c r="BX54"/>
      <c r="CB54"/>
      <c r="CC54"/>
      <c r="CD54"/>
      <c r="CH54"/>
      <c r="CI54"/>
      <c r="CJ54"/>
      <c r="CN54"/>
      <c r="CO54"/>
      <c r="CP54"/>
      <c r="CR54" s="181"/>
      <c r="CS54" s="181">
        <v>28</v>
      </c>
      <c r="CT54" s="182"/>
      <c r="CU54" s="182"/>
      <c r="CV54" s="181"/>
      <c r="CW54" s="182"/>
      <c r="CX54" s="181"/>
      <c r="CY54" s="183"/>
      <c r="CZ54" s="183"/>
      <c r="DA54" s="183"/>
      <c r="DB54" s="184"/>
      <c r="DC54" s="181"/>
      <c r="DD54" s="189"/>
      <c r="DE54" s="189"/>
      <c r="DG54" s="1"/>
      <c r="DJ54" s="1" t="s">
        <v>58</v>
      </c>
      <c r="DK54" s="23">
        <f>SUM(DK4:DK53)</f>
        <v>230.33445749999993</v>
      </c>
      <c r="DQ54" t="s">
        <v>57</v>
      </c>
      <c r="DR54" s="23">
        <f>SUM(DR4:DR53)</f>
        <v>93.35402999999998</v>
      </c>
      <c r="DS54" s="245">
        <f>SUM(DS4:DS53)</f>
        <v>323.68848749999995</v>
      </c>
      <c r="DT54" s="113"/>
      <c r="DU54" s="135"/>
      <c r="EA54" s="125">
        <f>SUM(EA4:EA53)</f>
        <v>242.25000000000006</v>
      </c>
      <c r="EE54" s="128"/>
      <c r="EI54" s="125">
        <f>SUM(EI4:EI53)</f>
        <v>325.50749999999994</v>
      </c>
      <c r="EQ54" s="125">
        <f>SUM(EQ4:EQ53)</f>
        <v>353.8125</v>
      </c>
      <c r="ER54" s="125"/>
      <c r="EY54" s="125">
        <f>SUM(EY4:EY53)</f>
        <v>367.96499999999997</v>
      </c>
      <c r="FE54" s="125" t="s">
        <v>8</v>
      </c>
      <c r="FG54" s="125">
        <f>SUM(FG4:FG53)</f>
        <v>397.54500000000013</v>
      </c>
      <c r="FM54" s="125" t="s">
        <v>8</v>
      </c>
      <c r="FO54" s="125">
        <f>SUM(FO4:FO53)</f>
        <v>425.84999999999985</v>
      </c>
      <c r="FU54" s="125" t="s">
        <v>8</v>
      </c>
      <c r="FW54" s="125">
        <f>SUM(FW4:FW53)</f>
        <v>454.53750000000002</v>
      </c>
      <c r="GA54" s="126"/>
      <c r="GB54" s="126"/>
      <c r="GC54" s="125" t="s">
        <v>8</v>
      </c>
      <c r="GD54" s="126"/>
      <c r="GE54" s="125">
        <f>SUM(GE4:GE53)</f>
        <v>482.8425000000002</v>
      </c>
      <c r="GG54" s="126"/>
      <c r="GH54" s="126"/>
      <c r="GI54" s="126"/>
      <c r="GJ54" s="126"/>
      <c r="GK54" s="125" t="s">
        <v>8</v>
      </c>
      <c r="GL54" s="126"/>
      <c r="GM54" s="125">
        <f>SUM(GM4:GM53)</f>
        <v>511.14749999999992</v>
      </c>
    </row>
    <row r="55" spans="14:195" x14ac:dyDescent="0.25">
      <c r="N55" s="8"/>
      <c r="O55" s="29"/>
      <c r="P55" s="8"/>
      <c r="Q55" s="8"/>
      <c r="R55" s="8"/>
      <c r="CR55" s="185"/>
      <c r="CS55" s="116"/>
      <c r="CT55" s="185"/>
      <c r="CU55" s="185"/>
      <c r="CV55" s="185"/>
      <c r="CW55" s="185"/>
      <c r="CX55" s="185"/>
      <c r="CY55" s="185"/>
      <c r="CZ55" s="185"/>
      <c r="DA55" s="185"/>
      <c r="DB55" s="185"/>
      <c r="DC55" s="185"/>
      <c r="DD55" s="189"/>
      <c r="DE55" s="189"/>
      <c r="DG55" s="1"/>
      <c r="DT55" s="114"/>
      <c r="DU55" s="135"/>
      <c r="DV55" s="135"/>
    </row>
    <row r="56" spans="14:195" ht="18.75" x14ac:dyDescent="0.3">
      <c r="N56" s="8"/>
      <c r="O56" s="29"/>
      <c r="P56" s="8"/>
      <c r="Q56" s="8"/>
      <c r="R56" s="8"/>
      <c r="CR56" s="116"/>
      <c r="CS56" s="116"/>
      <c r="CT56" s="185"/>
      <c r="CU56" s="30"/>
      <c r="CV56" s="116"/>
      <c r="CW56" s="185"/>
      <c r="CX56" s="116"/>
      <c r="CY56" s="30"/>
      <c r="CZ56" s="30"/>
      <c r="DA56" s="30"/>
      <c r="DB56" s="184"/>
      <c r="DC56" s="116"/>
      <c r="DD56" s="189"/>
      <c r="DE56" s="189"/>
      <c r="DG56" s="1"/>
      <c r="DH56" s="1"/>
      <c r="DU56" s="135"/>
      <c r="DV56" s="135"/>
    </row>
    <row r="57" spans="14:195" x14ac:dyDescent="0.25">
      <c r="N57" s="8"/>
      <c r="O57" s="29"/>
      <c r="P57" s="8"/>
      <c r="Q57" s="8"/>
      <c r="R57" s="8"/>
      <c r="DG57" s="1"/>
      <c r="DH57" s="1"/>
      <c r="DU57" s="135"/>
      <c r="DV57" s="135"/>
    </row>
    <row r="58" spans="14:195" x14ac:dyDescent="0.25">
      <c r="N58" s="8"/>
      <c r="O58" s="29"/>
      <c r="P58" s="8"/>
      <c r="Q58" s="8"/>
      <c r="R58" s="8"/>
      <c r="CR58" s="101"/>
      <c r="CV58" s="101"/>
      <c r="CX58" s="101"/>
      <c r="CY58" s="281"/>
      <c r="CZ58" s="281"/>
      <c r="DA58" s="281"/>
      <c r="DB58" s="281"/>
      <c r="DC58" s="101"/>
      <c r="DE58" s="282"/>
      <c r="DG58" s="1"/>
      <c r="DH58" s="1"/>
    </row>
    <row r="59" spans="14:195" x14ac:dyDescent="0.25">
      <c r="N59" s="8"/>
      <c r="O59" s="29"/>
      <c r="P59" s="8"/>
      <c r="Q59" s="8"/>
      <c r="R59" s="8"/>
      <c r="DG59" s="1"/>
      <c r="DH59" s="1"/>
    </row>
    <row r="60" spans="14:195" x14ac:dyDescent="0.25">
      <c r="N60" s="8"/>
      <c r="O60" s="29"/>
      <c r="P60" s="8"/>
      <c r="Q60" s="8"/>
      <c r="R60" s="8"/>
      <c r="DD60" s="191"/>
      <c r="DE60" s="191"/>
      <c r="DF60" s="191"/>
      <c r="DG60" s="1"/>
      <c r="DH60" s="1"/>
    </row>
    <row r="61" spans="14:195" x14ac:dyDescent="0.25">
      <c r="N61" s="8"/>
      <c r="O61" s="29"/>
      <c r="P61" s="8"/>
      <c r="Q61" s="8"/>
      <c r="R61" s="8"/>
      <c r="DG61" s="100"/>
      <c r="DH61" s="100"/>
    </row>
    <row r="62" spans="14:195" x14ac:dyDescent="0.25">
      <c r="N62" s="8"/>
      <c r="O62" s="29"/>
      <c r="P62" s="8"/>
      <c r="Q62" s="8"/>
      <c r="R62" s="8"/>
    </row>
    <row r="63" spans="14:195" x14ac:dyDescent="0.25">
      <c r="N63" s="8"/>
      <c r="O63" s="29"/>
      <c r="P63" s="8"/>
      <c r="Q63" s="8"/>
      <c r="R63" s="8"/>
    </row>
    <row r="64" spans="14:195" x14ac:dyDescent="0.25">
      <c r="N64" s="8"/>
      <c r="O64" s="29"/>
      <c r="P64" s="8"/>
      <c r="Q64" s="8"/>
      <c r="R64" s="8"/>
    </row>
    <row r="65" spans="14:113" x14ac:dyDescent="0.25">
      <c r="N65" s="8"/>
      <c r="O65" s="29"/>
      <c r="P65" s="8"/>
      <c r="Q65" s="8"/>
      <c r="R65" s="8"/>
    </row>
    <row r="66" spans="14:113" x14ac:dyDescent="0.25">
      <c r="N66" s="8"/>
      <c r="O66" s="29"/>
      <c r="P66" s="8"/>
      <c r="Q66" s="8"/>
      <c r="R66" s="8"/>
    </row>
    <row r="67" spans="14:113" x14ac:dyDescent="0.25">
      <c r="N67" s="8"/>
      <c r="O67" s="29"/>
      <c r="P67" s="8"/>
      <c r="Q67" s="8"/>
      <c r="R67" s="8"/>
    </row>
    <row r="68" spans="14:113" x14ac:dyDescent="0.25">
      <c r="N68" s="8"/>
      <c r="O68" s="29"/>
      <c r="P68" s="8"/>
      <c r="Q68" s="8"/>
      <c r="R68" s="8"/>
    </row>
    <row r="73" spans="14:113" x14ac:dyDescent="0.25">
      <c r="AJ73" t="s">
        <v>88</v>
      </c>
    </row>
    <row r="74" spans="14:113" x14ac:dyDescent="0.25">
      <c r="AI74" s="80" t="s">
        <v>2</v>
      </c>
      <c r="DF74" s="192"/>
      <c r="DG74" s="80"/>
      <c r="DH74" s="2"/>
      <c r="DI74" s="2"/>
    </row>
    <row r="75" spans="14:113" x14ac:dyDescent="0.25">
      <c r="AI75" s="40" t="s">
        <v>0</v>
      </c>
      <c r="DF75" s="192"/>
      <c r="DG75" s="40"/>
      <c r="DH75" s="2"/>
      <c r="DI75" s="2"/>
    </row>
    <row r="76" spans="14:113" x14ac:dyDescent="0.25">
      <c r="AG76" s="2" t="e">
        <f>AVERAGE(AG79:AG81)</f>
        <v>#DIV/0!</v>
      </c>
      <c r="AI76" s="40" t="s">
        <v>1</v>
      </c>
      <c r="DF76" s="192"/>
      <c r="DG76" s="40"/>
      <c r="DH76" s="2"/>
      <c r="DI76" s="2"/>
    </row>
    <row r="77" spans="14:113" x14ac:dyDescent="0.25">
      <c r="AI77" s="40" t="s">
        <v>4</v>
      </c>
      <c r="DF77" s="192"/>
      <c r="DG77" s="40"/>
      <c r="DH77" s="2"/>
      <c r="DI77" s="2"/>
    </row>
    <row r="78" spans="14:113" x14ac:dyDescent="0.25">
      <c r="AI78" s="40" t="s">
        <v>3</v>
      </c>
      <c r="DF78" s="192"/>
      <c r="DG78" s="40"/>
      <c r="DH78" s="2"/>
      <c r="DI78" s="2"/>
    </row>
    <row r="79" spans="14:113" x14ac:dyDescent="0.25">
      <c r="AG79" s="2" t="e">
        <f>AH79/DB79</f>
        <v>#DIV/0!</v>
      </c>
      <c r="AH79" s="2">
        <v>120</v>
      </c>
      <c r="AI79" s="40" t="s">
        <v>5</v>
      </c>
      <c r="AJ79">
        <v>17</v>
      </c>
      <c r="DF79" s="192"/>
      <c r="DG79" s="40"/>
      <c r="DH79" s="2"/>
      <c r="DI79" s="2"/>
    </row>
    <row r="80" spans="14:113" x14ac:dyDescent="0.25">
      <c r="AG80" s="2" t="s">
        <v>8</v>
      </c>
      <c r="AI80" s="40" t="s">
        <v>6</v>
      </c>
      <c r="DF80" s="192"/>
      <c r="DG80" s="40"/>
      <c r="DH80" s="2"/>
      <c r="DI80" s="2"/>
    </row>
    <row r="81" spans="33:113" ht="16.5" thickBot="1" x14ac:dyDescent="0.3">
      <c r="AG81" s="2" t="e">
        <f>AH81/DB81</f>
        <v>#DIV/0!</v>
      </c>
      <c r="AH81" s="2">
        <v>238</v>
      </c>
      <c r="AI81" s="79" t="s">
        <v>7</v>
      </c>
      <c r="AJ81">
        <v>12</v>
      </c>
      <c r="DF81" s="192"/>
      <c r="DG81" s="79"/>
      <c r="DH81" s="2"/>
      <c r="DI81" s="2"/>
    </row>
    <row r="83" spans="33:113" x14ac:dyDescent="0.25">
      <c r="AG83" s="2" t="e">
        <f>(AG79-AG81)/AG79</f>
        <v>#DIV/0!</v>
      </c>
    </row>
  </sheetData>
  <mergeCells count="18">
    <mergeCell ref="T21:U23"/>
    <mergeCell ref="T25:U27"/>
    <mergeCell ref="T30:U32"/>
    <mergeCell ref="T8:W8"/>
    <mergeCell ref="DD2:DF2"/>
    <mergeCell ref="CV2:CX2"/>
    <mergeCell ref="CY2:DC2"/>
    <mergeCell ref="A1:B1"/>
    <mergeCell ref="N1:R1"/>
    <mergeCell ref="D1:F1"/>
    <mergeCell ref="G1:I1"/>
    <mergeCell ref="J1:L1"/>
    <mergeCell ref="DG1:DQ1"/>
    <mergeCell ref="AK1:AT1"/>
    <mergeCell ref="AV1:CP1"/>
    <mergeCell ref="Z1:AJ1"/>
    <mergeCell ref="CS2:CU2"/>
    <mergeCell ref="CS1:DB1"/>
  </mergeCells>
  <phoneticPr fontId="5" type="noConversion"/>
  <conditionalFormatting sqref="Z4:Z11 BC4:BC53">
    <cfRule type="expression" dxfId="15" priority="35">
      <formula>#REF!=1</formula>
    </cfRule>
    <cfRule type="expression" dxfId="14" priority="36">
      <formula>"If(blnBinNo=""True"")"</formula>
    </cfRule>
  </conditionalFormatting>
  <conditionalFormatting sqref="AI74:AI81">
    <cfRule type="expression" dxfId="13" priority="3">
      <formula>#REF!=1</formula>
    </cfRule>
    <cfRule type="expression" dxfId="12" priority="4">
      <formula>"If(blnBinNo=""True"")"</formula>
    </cfRule>
  </conditionalFormatting>
  <conditionalFormatting sqref="AV4:BB4 BD4:BH4 AV5:AZ53 BB5:BB53 BD5:BF53">
    <cfRule type="expression" dxfId="11" priority="41">
      <formula>#REF!=1</formula>
    </cfRule>
    <cfRule type="expression" dxfId="10" priority="42">
      <formula>"If(blnBinNo=""True"")"</formula>
    </cfRule>
  </conditionalFormatting>
  <conditionalFormatting sqref="BH5:BH53">
    <cfRule type="expression" dxfId="9" priority="37">
      <formula>#REF!=1</formula>
    </cfRule>
    <cfRule type="expression" dxfId="8" priority="38">
      <formula>"If(blnBinNo=""True"")"</formula>
    </cfRule>
  </conditionalFormatting>
  <conditionalFormatting sqref="BI4:BL53 BN4:BR53 BT4:BX53 BZ4:CD53 CF4:CJ53 CL4:CP53">
    <cfRule type="expression" dxfId="7" priority="33">
      <formula>#REF!=1</formula>
    </cfRule>
    <cfRule type="expression" dxfId="6" priority="34">
      <formula>"If(blnBinNo=""True"")"</formula>
    </cfRule>
  </conditionalFormatting>
  <conditionalFormatting sqref="DD4:DF11">
    <cfRule type="expression" dxfId="5" priority="11">
      <formula>#REF!=1</formula>
    </cfRule>
    <cfRule type="expression" dxfId="4" priority="12">
      <formula>"If(blnBinNo=""True"")"</formula>
    </cfRule>
  </conditionalFormatting>
  <conditionalFormatting sqref="DF13:DF14">
    <cfRule type="expression" dxfId="3" priority="5">
      <formula>#REF!=1</formula>
    </cfRule>
    <cfRule type="expression" dxfId="2" priority="6">
      <formula>"If(blnBinNo=""True"")"</formula>
    </cfRule>
  </conditionalFormatting>
  <conditionalFormatting sqref="DG74:DG81">
    <cfRule type="expression" dxfId="1" priority="13">
      <formula>#REF!=1</formula>
    </cfRule>
    <cfRule type="expression" dxfId="0" priority="14">
      <formula>"If(blnBinNo=""True"")"</formula>
    </cfRule>
  </conditionalFormatting>
  <dataValidations count="1">
    <dataValidation allowBlank="1" showInputMessage="1" showErrorMessage="1" prompt="Enter a description of the item in this column" sqref="Z5 AV5:AZ53 BD4:BG4 DG75 BB5:BF53 BH5:BL53 BB4 BN5:BR53 DD5:DE5 AI75 CL5:CP53 CF5:CJ53 BT5:BX53 BZ5:CD53" xr:uid="{D2847976-8520-404D-BD99-68D57BA4850A}"/>
  </dataValidations>
  <pageMargins left="0.7" right="0.7" top="0.75" bottom="0.75" header="0.3" footer="0.3"/>
  <pageSetup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F28B-AB25-4998-B3AF-7DEEC76AF146}">
  <dimension ref="E8:G10"/>
  <sheetViews>
    <sheetView workbookViewId="0">
      <selection activeCell="G11" sqref="G11"/>
    </sheetView>
  </sheetViews>
  <sheetFormatPr defaultRowHeight="15" x14ac:dyDescent="0.25"/>
  <sheetData>
    <row r="8" spans="5:7" x14ac:dyDescent="0.25">
      <c r="E8">
        <v>80000</v>
      </c>
    </row>
    <row r="9" spans="5:7" x14ac:dyDescent="0.25">
      <c r="E9">
        <v>35000</v>
      </c>
    </row>
    <row r="10" spans="5:7" x14ac:dyDescent="0.25">
      <c r="E10">
        <f>SUM(E8:E9)</f>
        <v>115000</v>
      </c>
      <c r="F10">
        <f>E10/9</f>
        <v>12777.777777777777</v>
      </c>
      <c r="G10">
        <f>F10*12</f>
        <v>153333.33333333331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 Costing Worksheet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Quesada Sr</dc:creator>
  <cp:lastModifiedBy>Dan Price</cp:lastModifiedBy>
  <cp:lastPrinted>2025-11-04T18:09:48Z</cp:lastPrinted>
  <dcterms:created xsi:type="dcterms:W3CDTF">2021-08-26T13:40:30Z</dcterms:created>
  <dcterms:modified xsi:type="dcterms:W3CDTF">2025-11-04T18:12:04Z</dcterms:modified>
</cp:coreProperties>
</file>