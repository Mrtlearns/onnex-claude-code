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1.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omments/comment2.xml" ContentType="application/vnd.openxmlformats-officedocument.spreadsheetml.comments+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drawings/drawing1.xml" ContentType="application/vnd.openxmlformats-officedocument.drawing+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4560" windowHeight="19820" tabRatio="600" firstSheet="4" activeTab="4" autoFilterDateGrouping="1"/>
  </bookViews>
  <sheets>
    <sheet xmlns:r="http://schemas.openxmlformats.org/officeDocument/2006/relationships" name="Version Control" sheetId="1" state="visible" r:id="rId1"/>
    <sheet xmlns:r="http://schemas.openxmlformats.org/officeDocument/2006/relationships" name="Introduction" sheetId="2" state="visible" r:id="rId2"/>
    <sheet xmlns:r="http://schemas.openxmlformats.org/officeDocument/2006/relationships" name="Questionnaire" sheetId="3" state="visible" r:id="rId3"/>
    <sheet xmlns:r="http://schemas.openxmlformats.org/officeDocument/2006/relationships" name="System Overview &amp; SSP Preamble" sheetId="4" state="visible" r:id="rId4"/>
    <sheet xmlns:r="http://schemas.openxmlformats.org/officeDocument/2006/relationships" name="SSP - DoD SPRS &amp; FAR and Above" sheetId="5" state="visible" r:id="rId5"/>
    <sheet xmlns:r="http://schemas.openxmlformats.org/officeDocument/2006/relationships" name="POA&amp;Ms" sheetId="6" state="visible" r:id="rId6"/>
    <sheet xmlns:r="http://schemas.openxmlformats.org/officeDocument/2006/relationships" name="Privileged Accounts" sheetId="7" state="visible" r:id="rId7"/>
    <sheet xmlns:r="http://schemas.openxmlformats.org/officeDocument/2006/relationships" name="Physical Location(s) Info." sheetId="8" state="visible" r:id="rId8"/>
    <sheet xmlns:r="http://schemas.openxmlformats.org/officeDocument/2006/relationships" name="Users Auth. to Access System" sheetId="9" state="visible" r:id="rId9"/>
    <sheet xmlns:r="http://schemas.openxmlformats.org/officeDocument/2006/relationships" name="User Roles" sheetId="10" state="visible" r:id="rId10"/>
    <sheet xmlns:r="http://schemas.openxmlformats.org/officeDocument/2006/relationships" name="Authorized Visitor List" sheetId="11" state="visible" r:id="rId11"/>
    <sheet xmlns:r="http://schemas.openxmlformats.org/officeDocument/2006/relationships" name="Visitor Access Log" sheetId="12" state="visible" r:id="rId12"/>
    <sheet xmlns:r="http://schemas.openxmlformats.org/officeDocument/2006/relationships" name="Sub-Systems" sheetId="13" state="visible" r:id="rId13"/>
    <sheet xmlns:r="http://schemas.openxmlformats.org/officeDocument/2006/relationships" name="Hardware Inventory" sheetId="14" state="visible" r:id="rId14"/>
    <sheet xmlns:r="http://schemas.openxmlformats.org/officeDocument/2006/relationships" name="Software Inventory" sheetId="15" state="visible" r:id="rId15"/>
    <sheet xmlns:r="http://schemas.openxmlformats.org/officeDocument/2006/relationships" name="Cloud Svc. &amp; Ext. Syst Invent." sheetId="16" state="visible" r:id="rId16"/>
    <sheet xmlns:r="http://schemas.openxmlformats.org/officeDocument/2006/relationships" name="Info. Sources and Destinations" sheetId="17" state="visible" r:id="rId17"/>
    <sheet xmlns:r="http://schemas.openxmlformats.org/officeDocument/2006/relationships" name="Media Library or Catalog" sheetId="18" state="visible" r:id="rId18"/>
    <sheet xmlns:r="http://schemas.openxmlformats.org/officeDocument/2006/relationships" name="Media Access Log" sheetId="19" state="visible" r:id="rId19"/>
    <sheet xmlns:r="http://schemas.openxmlformats.org/officeDocument/2006/relationships" name="SRM Template" sheetId="20" state="visible" r:id="rId20"/>
    <sheet xmlns:r="http://schemas.openxmlformats.org/officeDocument/2006/relationships" name="Potential Assessment Consid." sheetId="21" state="visible" r:id="rId21"/>
    <sheet xmlns:r="http://schemas.openxmlformats.org/officeDocument/2006/relationships" name="CUI Types" sheetId="22" state="visible" r:id="rId22"/>
    <sheet xmlns:r="http://schemas.openxmlformats.org/officeDocument/2006/relationships" name="Old DoD 800-171 Score Template" sheetId="23" state="visible" r:id="rId23"/>
    <sheet xmlns:r="http://schemas.openxmlformats.org/officeDocument/2006/relationships" name="References" sheetId="24" state="visible" r:id="rId24"/>
    <sheet xmlns:r="http://schemas.openxmlformats.org/officeDocument/2006/relationships" name="Change Log" sheetId="25" state="visible" r:id="rId25"/>
  </sheets>
  <definedNames>
    <definedName name="_xlnm._FilterDatabase" localSheetId="4" hidden="1">'SSP - DoD SPRS &amp; FAR and Above'!$A$2:$OS$409</definedName>
    <definedName name="_xlnm._FilterDatabase" localSheetId="5" hidden="1">'POA&amp;Ms'!$A$3:$J$3</definedName>
  </definedNames>
  <calcPr calcId="191028" fullCalcOnLoad="1"/>
</workbook>
</file>

<file path=xl/styles.xml><?xml version="1.0" encoding="utf-8"?>
<styleSheet xmlns="http://schemas.openxmlformats.org/spreadsheetml/2006/main">
  <numFmts count="2">
    <numFmt numFmtId="164" formatCode="mm/dd/yyyy"/>
    <numFmt numFmtId="165" formatCode="m&quot;.&quot;d&quot;.&quot;yy"/>
  </numFmts>
  <fonts count="48">
    <font>
      <name val="Times New Roman"/>
      <color indexed="8"/>
      <sz val="10"/>
    </font>
    <font>
      <name val="Calibri"/>
      <family val="2"/>
      <color indexed="8"/>
      <sz val="15"/>
    </font>
    <font>
      <name val="Helvetica Neue"/>
      <family val="2"/>
      <b val="1"/>
      <color indexed="8"/>
      <sz val="11"/>
    </font>
    <font>
      <name val="Helvetica Neue"/>
      <family val="2"/>
      <color indexed="8"/>
      <sz val="11"/>
    </font>
    <font>
      <name val="Helvetica Neue"/>
      <family val="2"/>
      <color indexed="11"/>
      <sz val="11"/>
      <u val="single"/>
    </font>
    <font>
      <name val="Calibri"/>
      <family val="2"/>
      <color indexed="8"/>
      <sz val="14"/>
    </font>
    <font>
      <name val="Calibri"/>
      <family val="2"/>
      <color indexed="11"/>
      <sz val="14"/>
      <u val="single"/>
    </font>
    <font>
      <name val="Arial"/>
      <family val="2"/>
      <b val="1"/>
      <color indexed="15"/>
      <sz val="11"/>
    </font>
    <font>
      <name val="Calibri"/>
      <family val="2"/>
      <b val="1"/>
      <color indexed="8"/>
      <sz val="14"/>
    </font>
    <font>
      <name val="Calibri"/>
      <family val="2"/>
      <color indexed="8"/>
      <sz val="14"/>
      <u val="single"/>
    </font>
    <font>
      <name val="Calibri"/>
      <family val="2"/>
      <b val="1"/>
      <color indexed="8"/>
      <sz val="12"/>
    </font>
    <font>
      <name val="Calibri"/>
      <family val="2"/>
      <b val="1"/>
      <color indexed="23"/>
      <sz val="12"/>
    </font>
    <font>
      <name val="Calibri"/>
      <family val="2"/>
      <b val="1"/>
      <color indexed="8"/>
      <sz val="10"/>
    </font>
    <font>
      <name val="Calibri"/>
      <family val="2"/>
      <color indexed="8"/>
      <sz val="10"/>
    </font>
    <font>
      <name val="Calibri"/>
      <family val="2"/>
      <b val="1"/>
      <color indexed="8"/>
      <sz val="11"/>
    </font>
    <font>
      <name val="Calibri"/>
      <family val="2"/>
      <b val="1"/>
      <color indexed="26"/>
      <sz val="9"/>
    </font>
    <font>
      <name val="Calibri"/>
      <family val="2"/>
      <b val="1"/>
      <color indexed="26"/>
      <sz val="10"/>
    </font>
    <font>
      <name val="Calibri"/>
      <family val="2"/>
      <b val="1"/>
      <color indexed="27"/>
      <sz val="10"/>
    </font>
    <font>
      <name val="Calibri"/>
      <family val="2"/>
      <color indexed="11"/>
      <sz val="10"/>
      <u val="single"/>
    </font>
    <font>
      <name val="Times New Roman"/>
      <family val="1"/>
      <color indexed="11"/>
      <sz val="10"/>
      <u val="single"/>
    </font>
    <font>
      <name val="Calibri"/>
      <family val="2"/>
      <color indexed="8"/>
      <sz val="11"/>
    </font>
    <font>
      <name val="Calibri"/>
      <family val="2"/>
      <color indexed="8"/>
      <sz val="20"/>
    </font>
    <font>
      <name val="Calibri"/>
      <family val="2"/>
      <b val="1"/>
      <color indexed="8"/>
      <sz val="20"/>
    </font>
    <font>
      <name val="Calibri"/>
      <family val="2"/>
      <b val="1"/>
      <color indexed="8"/>
      <sz val="18"/>
    </font>
    <font>
      <name val="Calibri"/>
      <family val="2"/>
      <color indexed="8"/>
      <sz val="36"/>
    </font>
    <font>
      <name val="Calibri"/>
      <family val="2"/>
      <b val="1"/>
      <color indexed="8"/>
      <sz val="10"/>
      <u val="single"/>
    </font>
    <font>
      <name val="Calibri"/>
      <family val="2"/>
      <color indexed="11"/>
      <sz val="11"/>
      <u val="single"/>
    </font>
    <font>
      <name val="Times New Roman"/>
      <family val="1"/>
      <b val="1"/>
      <color indexed="8"/>
      <sz val="10"/>
    </font>
    <font>
      <name val="Calibri"/>
      <family val="2"/>
      <color indexed="8"/>
      <sz val="12"/>
    </font>
    <font>
      <name val="Calibri"/>
      <family val="2"/>
      <b val="1"/>
      <color indexed="8"/>
      <sz val="12"/>
      <u val="single"/>
    </font>
    <font>
      <name val="Calibri"/>
      <family val="2"/>
      <color indexed="8"/>
      <sz val="10"/>
      <u val="single"/>
    </font>
    <font>
      <name val="Calibri"/>
      <family val="2"/>
      <b val="1"/>
      <color indexed="33"/>
      <sz val="12"/>
    </font>
    <font>
      <name val="Calibri"/>
      <family val="2"/>
      <color rgb="FF000000"/>
      <sz val="11"/>
    </font>
    <font>
      <name val="Times New Roman"/>
      <family val="1"/>
      <color theme="10"/>
      <sz val="10"/>
      <u val="single"/>
    </font>
    <font>
      <name val="Times New Roman"/>
      <family val="1"/>
      <color rgb="FFFF0000"/>
      <sz val="10"/>
    </font>
    <font>
      <name val="Aptos Narrow"/>
      <color rgb="FF242424"/>
      <sz val="11"/>
    </font>
    <font>
      <name val="Google Sans"/>
      <charset val="1"/>
      <b val="1"/>
      <color rgb="FF0A0A0A"/>
      <sz val="12"/>
    </font>
    <font>
      <name val="Arial"/>
      <family val="2"/>
      <color indexed="8"/>
      <sz val="10"/>
    </font>
    <font>
      <name val="Arial"/>
      <family val="2"/>
      <b val="1"/>
      <color rgb="FF0A0A0A"/>
      <sz val="10"/>
    </font>
    <font>
      <name val="Arial"/>
      <family val="2"/>
      <color rgb="FF0A0A0A"/>
      <sz val="10"/>
    </font>
    <font>
      <name val="Arial"/>
      <family val="2"/>
      <color rgb="FF000000"/>
      <sz val="10"/>
    </font>
    <font>
      <name val="Times New Roman"/>
      <family val="1"/>
      <color indexed="8"/>
      <sz val="9"/>
    </font>
    <font>
      <name val="Helvetica Neue"/>
      <family val="2"/>
      <color rgb="FF000000"/>
      <sz val="10"/>
    </font>
    <font>
      <name val="Helvetica Neue"/>
      <family val="2"/>
      <b val="1"/>
      <color rgb="FF000000"/>
      <sz val="10"/>
      <u val="single"/>
    </font>
    <font>
      <name val="Times New Roman"/>
      <family val="1"/>
      <color indexed="8"/>
      <sz val="10"/>
    </font>
    <font>
      <name val="Calibri"/>
      <b val="1"/>
      <color rgb="FF000000"/>
      <sz val="36"/>
    </font>
    <font>
      <name val="Calibri"/>
      <b val="1"/>
      <color rgb="FF000000"/>
      <sz val="28"/>
      <vertAlign val="superscript"/>
    </font>
    <font>
      <name val="Calibri"/>
      <color rgb="FF000000"/>
      <sz val="36"/>
    </font>
  </fonts>
  <fills count="20">
    <fill>
      <patternFill/>
    </fill>
    <fill>
      <patternFill patternType="gray125"/>
    </fill>
    <fill>
      <patternFill patternType="solid">
        <fgColor indexed="13"/>
        <bgColor auto="1"/>
      </patternFill>
    </fill>
    <fill>
      <patternFill patternType="solid">
        <fgColor indexed="14"/>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19"/>
        <bgColor auto="1"/>
      </patternFill>
    </fill>
    <fill>
      <patternFill patternType="solid">
        <fgColor indexed="20"/>
        <bgColor auto="1"/>
      </patternFill>
    </fill>
    <fill>
      <patternFill patternType="solid">
        <fgColor indexed="21"/>
        <bgColor auto="1"/>
      </patternFill>
    </fill>
    <fill>
      <patternFill patternType="solid">
        <fgColor indexed="22"/>
        <bgColor auto="1"/>
      </patternFill>
    </fill>
    <fill>
      <patternFill patternType="solid">
        <fgColor indexed="24"/>
        <bgColor auto="1"/>
      </patternFill>
    </fill>
    <fill>
      <patternFill patternType="solid">
        <fgColor indexed="25"/>
        <bgColor auto="1"/>
      </patternFill>
    </fill>
    <fill>
      <patternFill patternType="solid">
        <fgColor indexed="28"/>
        <bgColor auto="1"/>
      </patternFill>
    </fill>
    <fill>
      <patternFill patternType="solid">
        <fgColor indexed="29"/>
        <bgColor auto="1"/>
      </patternFill>
    </fill>
    <fill>
      <patternFill patternType="solid">
        <fgColor indexed="30"/>
        <bgColor auto="1"/>
      </patternFill>
    </fill>
    <fill>
      <patternFill patternType="solid">
        <fgColor indexed="31"/>
        <bgColor auto="1"/>
      </patternFill>
    </fill>
    <fill>
      <patternFill patternType="solid">
        <fgColor indexed="32"/>
        <bgColor auto="1"/>
      </patternFill>
    </fill>
    <fill>
      <patternFill patternType="solid">
        <fgColor rgb="FFFFFFFF"/>
        <bgColor indexed="64"/>
      </patternFill>
    </fill>
    <fill>
      <patternFill patternType="solid">
        <fgColor theme="0"/>
        <bgColor indexed="64"/>
      </patternFill>
    </fill>
  </fills>
  <borders count="153">
    <border>
      <left/>
      <right/>
      <top/>
      <bottom/>
      <diagonal/>
    </border>
    <border>
      <left style="thin">
        <color indexed="9"/>
      </left>
      <right style="thin">
        <color indexed="9"/>
      </right>
      <top style="thin">
        <color indexed="9"/>
      </top>
      <bottom style="thin">
        <color indexed="10"/>
      </bottom>
      <diagonal/>
    </border>
    <border>
      <left style="thin">
        <color indexed="9"/>
      </left>
      <right style="thin">
        <color indexed="10"/>
      </right>
      <top style="thin">
        <color indexed="10"/>
      </top>
      <bottom style="thin">
        <color indexed="9"/>
      </bottom>
      <diagonal/>
    </border>
    <border>
      <left style="thin">
        <color indexed="10"/>
      </left>
      <right style="thin">
        <color indexed="9"/>
      </right>
      <top style="thin">
        <color indexed="10"/>
      </top>
      <bottom style="thin">
        <color indexed="9"/>
      </bottom>
      <diagonal/>
    </border>
    <border>
      <left style="thin">
        <color indexed="9"/>
      </left>
      <right style="thin">
        <color indexed="9"/>
      </right>
      <top style="thin">
        <color indexed="10"/>
      </top>
      <bottom style="thin">
        <color indexed="9"/>
      </bottom>
      <diagonal/>
    </border>
    <border>
      <left style="thin">
        <color indexed="9"/>
      </left>
      <right style="thin">
        <color indexed="10"/>
      </right>
      <top style="thin">
        <color indexed="9"/>
      </top>
      <bottom style="thin">
        <color indexed="9"/>
      </bottom>
      <diagonal/>
    </border>
    <border>
      <left style="thin">
        <color indexed="10"/>
      </left>
      <right style="thin">
        <color indexed="9"/>
      </right>
      <top style="thin">
        <color indexed="9"/>
      </top>
      <bottom style="thin">
        <color indexed="9"/>
      </bottom>
      <diagonal/>
    </border>
    <border>
      <left style="thin">
        <color indexed="9"/>
      </left>
      <right style="thin">
        <color indexed="9"/>
      </right>
      <top style="thin">
        <color indexed="9"/>
      </top>
      <bottom style="thin">
        <color indexed="9"/>
      </bottom>
      <diagonal/>
    </border>
    <border>
      <left style="medium">
        <color indexed="8"/>
      </left>
      <right style="thin">
        <color indexed="12"/>
      </right>
      <top style="medium">
        <color indexed="8"/>
      </top>
      <bottom style="thin">
        <color indexed="12"/>
      </bottom>
      <diagonal/>
    </border>
    <border>
      <left style="thin">
        <color indexed="12"/>
      </left>
      <right style="thin">
        <color indexed="12"/>
      </right>
      <top style="medium">
        <color indexed="8"/>
      </top>
      <bottom style="thin">
        <color indexed="12"/>
      </bottom>
      <diagonal/>
    </border>
    <border>
      <left style="thin">
        <color indexed="12"/>
      </left>
      <right style="medium">
        <color indexed="8"/>
      </right>
      <top style="medium">
        <color indexed="8"/>
      </top>
      <bottom style="thin">
        <color indexed="12"/>
      </bottom>
      <diagonal/>
    </border>
    <border>
      <left style="medium">
        <color indexed="8"/>
      </left>
      <right style="medium">
        <color indexed="8"/>
      </right>
      <top style="medium">
        <color indexed="8"/>
      </top>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12"/>
      </right>
      <top style="thin">
        <color indexed="12"/>
      </top>
      <bottom style="thin">
        <color indexed="12"/>
      </bottom>
      <diagonal/>
    </border>
    <border>
      <left style="thin">
        <color indexed="12"/>
      </left>
      <right style="thin">
        <color indexed="12"/>
      </right>
      <top style="thin">
        <color indexed="12"/>
      </top>
      <bottom style="thin">
        <color indexed="12"/>
      </bottom>
      <diagonal/>
    </border>
    <border>
      <left style="thin">
        <color indexed="12"/>
      </left>
      <right style="medium">
        <color indexed="8"/>
      </right>
      <top style="thin">
        <color indexed="12"/>
      </top>
      <bottom style="thin">
        <color indexed="12"/>
      </bottom>
      <diagonal/>
    </border>
    <border>
      <left style="medium">
        <color indexed="8"/>
      </left>
      <right style="medium">
        <color indexed="8"/>
      </right>
      <top/>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style="thin">
        <color indexed="12"/>
      </right>
      <top style="thin">
        <color indexed="12"/>
      </top>
      <bottom style="medium">
        <color indexed="8"/>
      </bottom>
      <diagonal/>
    </border>
    <border>
      <left style="thin">
        <color indexed="12"/>
      </left>
      <right style="thin">
        <color indexed="12"/>
      </right>
      <top style="thin">
        <color indexed="12"/>
      </top>
      <bottom style="medium">
        <color indexed="8"/>
      </bottom>
      <diagonal/>
    </border>
    <border>
      <left style="thin">
        <color indexed="12"/>
      </left>
      <right style="medium">
        <color indexed="8"/>
      </right>
      <top style="thin">
        <color indexed="12"/>
      </top>
      <bottom style="medium">
        <color indexed="8"/>
      </bottom>
      <diagonal/>
    </border>
    <border>
      <left style="medium">
        <color indexed="8"/>
      </left>
      <right style="thin">
        <color indexed="12"/>
      </right>
      <top style="thin">
        <color indexed="8"/>
      </top>
      <bottom style="thin">
        <color indexed="8"/>
      </bottom>
      <diagonal/>
    </border>
    <border>
      <left style="thin">
        <color indexed="12"/>
      </left>
      <right style="thin">
        <color indexed="12"/>
      </right>
      <top style="thin">
        <color indexed="8"/>
      </top>
      <bottom style="thin">
        <color indexed="8"/>
      </bottom>
      <diagonal/>
    </border>
    <border>
      <left style="thin">
        <color indexed="12"/>
      </left>
      <right style="medium">
        <color indexed="8"/>
      </right>
      <top style="thin">
        <color indexed="8"/>
      </top>
      <bottom style="thin">
        <color indexed="8"/>
      </bottom>
      <diagonal/>
    </border>
    <border>
      <left style="medium">
        <color indexed="8"/>
      </left>
      <right/>
      <top style="thin">
        <color indexed="8"/>
      </top>
      <bottom style="thin">
        <color indexed="8"/>
      </bottom>
      <diagonal/>
    </border>
    <border>
      <left/>
      <right/>
      <top style="thin">
        <color indexed="8"/>
      </top>
      <bottom style="thin">
        <color indexed="8"/>
      </bottom>
      <diagonal/>
    </border>
    <border>
      <left/>
      <right style="medium">
        <color indexed="8"/>
      </right>
      <top style="thin">
        <color indexed="8"/>
      </top>
      <bottom style="thin">
        <color indexed="8"/>
      </bottom>
      <diagonal/>
    </border>
    <border>
      <left style="medium">
        <color indexed="8"/>
      </left>
      <right style="thin">
        <color indexed="12"/>
      </right>
      <top style="thin">
        <color indexed="12"/>
      </top>
      <bottom style="thin">
        <color indexed="8"/>
      </bottom>
      <diagonal/>
    </border>
    <border>
      <left style="thin">
        <color indexed="12"/>
      </left>
      <right style="thin">
        <color indexed="12"/>
      </right>
      <top style="thin">
        <color indexed="12"/>
      </top>
      <bottom style="thin">
        <color indexed="8"/>
      </bottom>
      <diagonal/>
    </border>
    <border>
      <left style="thin">
        <color indexed="12"/>
      </left>
      <right style="medium">
        <color indexed="8"/>
      </right>
      <top style="thin">
        <color indexed="12"/>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medium">
        <color indexed="8"/>
      </left>
      <right style="medium">
        <color indexed="8"/>
      </right>
      <top/>
      <bottom style="medium">
        <color indexed="8"/>
      </bottom>
      <diagonal/>
    </border>
    <border>
      <left style="thin">
        <color indexed="12"/>
      </left>
      <right style="thin">
        <color indexed="12"/>
      </right>
      <top style="medium">
        <color indexed="8"/>
      </top>
      <bottom style="medium">
        <color indexed="8"/>
      </bottom>
      <diagonal/>
    </border>
    <border>
      <left style="medium">
        <color indexed="8"/>
      </left>
      <right style="medium">
        <color indexed="8"/>
      </right>
      <top style="thin">
        <color indexed="12"/>
      </top>
      <bottom style="thin">
        <color indexed="12"/>
      </bottom>
      <diagonal/>
    </border>
    <border>
      <left style="medium">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style="thin">
        <color indexed="8"/>
      </left>
      <right style="thin">
        <color indexed="8"/>
      </right>
      <top style="medium">
        <color indexed="8"/>
      </top>
      <bottom style="medium">
        <color indexed="8"/>
      </bottom>
      <diagonal/>
    </border>
    <border>
      <left style="thin">
        <color indexed="8"/>
      </left>
      <right style="thin">
        <color indexed="12"/>
      </right>
      <top style="thin">
        <color indexed="8"/>
      </top>
      <bottom style="medium">
        <color indexed="8"/>
      </bottom>
      <diagonal/>
    </border>
    <border>
      <left style="thin">
        <color indexed="12"/>
      </left>
      <right style="thin">
        <color indexed="8"/>
      </right>
      <top style="thin">
        <color indexed="8"/>
      </top>
      <bottom style="medium">
        <color indexed="8"/>
      </bottom>
      <diagonal/>
    </border>
    <border>
      <left style="thin">
        <color indexed="8"/>
      </left>
      <right/>
      <top style="medium">
        <color indexed="8"/>
      </top>
      <bottom style="thin">
        <color indexed="8"/>
      </bottom>
      <diagonal/>
    </border>
    <border>
      <left/>
      <right style="thin">
        <color indexed="8"/>
      </right>
      <top style="medium">
        <color indexed="8"/>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style="medium">
        <color indexed="8"/>
      </bottom>
      <diagonal/>
    </border>
    <border>
      <left/>
      <right style="thin">
        <color indexed="8"/>
      </right>
      <top style="thin">
        <color indexed="8"/>
      </top>
      <bottom style="medium">
        <color indexed="8"/>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style="medium">
        <color indexed="8"/>
      </top>
      <bottom style="thin">
        <color indexed="8"/>
      </bottom>
      <diagonal/>
    </border>
    <border>
      <left style="medium">
        <color indexed="8"/>
      </left>
      <right style="medium">
        <color indexed="8"/>
      </right>
      <top style="thin">
        <color indexed="8"/>
      </top>
      <bottom style="thin">
        <color indexed="8"/>
      </bottom>
      <diagonal/>
    </border>
    <border>
      <left style="medium">
        <color indexed="8"/>
      </left>
      <right style="medium">
        <color indexed="8"/>
      </right>
      <top style="thin">
        <color indexed="8"/>
      </top>
      <bottom style="medium">
        <color indexed="8"/>
      </bottom>
      <diagonal/>
    </border>
    <border>
      <left/>
      <right/>
      <top style="medium">
        <color indexed="8"/>
      </top>
      <bottom style="thin">
        <color indexed="12"/>
      </bottom>
      <diagonal/>
    </border>
    <border>
      <left/>
      <right/>
      <top style="thin">
        <color indexed="12"/>
      </top>
      <bottom style="thin">
        <color indexed="12"/>
      </bottom>
      <diagonal/>
    </border>
    <border>
      <left/>
      <right/>
      <top style="thin">
        <color indexed="12"/>
      </top>
      <bottom style="thin">
        <color indexed="8"/>
      </bottom>
      <diagonal/>
    </border>
    <border>
      <left style="medium">
        <color indexed="8"/>
      </left>
      <right/>
      <top style="medium">
        <color indexed="8"/>
      </top>
      <bottom style="thin">
        <color indexed="8"/>
      </bottom>
      <diagonal/>
    </border>
    <border>
      <left style="medium">
        <color indexed="8"/>
      </left>
      <right/>
      <top style="thin">
        <color indexed="8"/>
      </top>
      <bottom style="medium">
        <color indexed="8"/>
      </bottom>
      <diagonal/>
    </border>
    <border>
      <left style="medium">
        <color indexed="8"/>
      </left>
      <right style="thin">
        <color indexed="8"/>
      </right>
      <top style="medium">
        <color indexed="8"/>
      </top>
      <bottom/>
      <diagonal/>
    </border>
    <border>
      <left style="medium">
        <color indexed="8"/>
      </left>
      <right style="thin">
        <color indexed="8"/>
      </right>
      <top/>
      <bottom/>
      <diagonal/>
    </border>
    <border>
      <left style="medium">
        <color indexed="8"/>
      </left>
      <right style="thin">
        <color indexed="8"/>
      </right>
      <top/>
      <bottom style="medium">
        <color indexed="8"/>
      </bottom>
      <diagonal/>
    </border>
    <border>
      <left style="thin">
        <color indexed="8"/>
      </left>
      <right style="thin">
        <color indexed="12"/>
      </right>
      <top style="medium">
        <color indexed="8"/>
      </top>
      <bottom style="medium">
        <color indexed="8"/>
      </bottom>
      <diagonal/>
    </border>
    <border>
      <left style="thin">
        <color indexed="12"/>
      </left>
      <right style="medium">
        <color indexed="8"/>
      </right>
      <top style="medium">
        <color indexed="8"/>
      </top>
      <bottom style="medium">
        <color indexed="8"/>
      </bottom>
      <diagonal/>
    </border>
    <border>
      <left style="thin">
        <color indexed="8"/>
      </left>
      <right style="thin">
        <color indexed="8"/>
      </right>
      <top style="medium">
        <color indexed="8"/>
      </top>
      <bottom/>
      <diagonal/>
    </border>
    <border>
      <left style="thin">
        <color indexed="8"/>
      </left>
      <right style="thin">
        <color indexed="8"/>
      </right>
      <top/>
      <bottom style="medium">
        <color indexed="8"/>
      </bottom>
      <diagonal/>
    </border>
    <border>
      <left style="medium">
        <color indexed="8"/>
      </left>
      <right style="thin">
        <color indexed="8"/>
      </right>
      <top style="medium">
        <color indexed="8"/>
      </top>
      <bottom style="thin">
        <color indexed="12"/>
      </bottom>
      <diagonal/>
    </border>
    <border>
      <left style="thin">
        <color indexed="8"/>
      </left>
      <right style="thin">
        <color indexed="12"/>
      </right>
      <top style="medium">
        <color indexed="8"/>
      </top>
      <bottom style="thin">
        <color indexed="12"/>
      </bottom>
      <diagonal/>
    </border>
    <border>
      <left style="medium">
        <color indexed="8"/>
      </left>
      <right/>
      <top style="thin">
        <color indexed="12"/>
      </top>
      <bottom/>
      <diagonal/>
    </border>
    <border>
      <left/>
      <right style="medium">
        <color indexed="8"/>
      </right>
      <top style="thin">
        <color indexed="12"/>
      </top>
      <bottom style="thin">
        <color indexed="12"/>
      </bottom>
      <diagonal/>
    </border>
    <border>
      <left style="medium">
        <color indexed="8"/>
      </left>
      <right/>
      <top/>
      <bottom/>
      <diagonal/>
    </border>
    <border>
      <left/>
      <right style="medium">
        <color indexed="8"/>
      </right>
      <top style="thin">
        <color indexed="12"/>
      </top>
      <bottom style="medium">
        <color indexed="8"/>
      </bottom>
      <diagonal/>
    </border>
    <border>
      <left style="thin">
        <color indexed="12"/>
      </left>
      <right/>
      <top style="medium">
        <color indexed="8"/>
      </top>
      <bottom style="thin">
        <color indexed="12"/>
      </bottom>
      <diagonal/>
    </border>
    <border>
      <left/>
      <right style="medium">
        <color indexed="8"/>
      </right>
      <top/>
      <bottom/>
      <diagonal/>
    </border>
    <border>
      <left style="thin">
        <color indexed="8"/>
      </left>
      <right style="thin">
        <color indexed="12"/>
      </right>
      <top style="thin">
        <color indexed="12"/>
      </top>
      <bottom style="thin">
        <color indexed="12"/>
      </bottom>
      <diagonal/>
    </border>
    <border>
      <left style="thin">
        <color indexed="12"/>
      </left>
      <right/>
      <top style="thin">
        <color indexed="12"/>
      </top>
      <bottom style="thin">
        <color indexed="12"/>
      </bottom>
      <diagonal/>
    </border>
    <border>
      <left style="thin">
        <color indexed="12"/>
      </left>
      <right style="thin">
        <color indexed="12"/>
      </right>
      <top style="thin">
        <color indexed="8"/>
      </top>
      <bottom style="thin">
        <color indexed="12"/>
      </bottom>
      <diagonal/>
    </border>
    <border>
      <left/>
      <right/>
      <top/>
      <bottom style="thin">
        <color indexed="12"/>
      </bottom>
      <diagonal/>
    </border>
    <border>
      <left/>
      <right style="medium">
        <color indexed="8"/>
      </right>
      <top style="medium">
        <color indexed="8"/>
      </top>
      <bottom style="thin">
        <color indexed="12"/>
      </bottom>
      <diagonal/>
    </border>
    <border>
      <left style="medium">
        <color indexed="8"/>
      </left>
      <right style="thin">
        <color indexed="12"/>
      </right>
      <top style="medium">
        <color indexed="8"/>
      </top>
      <bottom style="medium">
        <color indexed="8"/>
      </bottom>
      <diagonal/>
    </border>
    <border>
      <left/>
      <right/>
      <top style="medium">
        <color indexed="8"/>
      </top>
      <bottom/>
      <diagonal/>
    </border>
    <border>
      <left/>
      <right style="thin">
        <color indexed="12"/>
      </right>
      <top style="medium">
        <color indexed="8"/>
      </top>
      <bottom style="thin">
        <color indexed="12"/>
      </bottom>
      <diagonal/>
    </border>
    <border>
      <left style="thin">
        <color indexed="12"/>
      </left>
      <right style="thin">
        <color indexed="12"/>
      </right>
      <top/>
      <bottom style="thin">
        <color indexed="12"/>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bottom style="thin">
        <color rgb="FFAAAAAA"/>
      </bottom>
      <diagonal/>
    </border>
    <border>
      <left/>
      <right style="thin">
        <color rgb="FFAAAAAA"/>
      </right>
      <top/>
      <bottom style="thin">
        <color rgb="FFAAAAAA"/>
      </bottom>
      <diagonal/>
    </border>
    <border>
      <left style="thin">
        <color rgb="FF000000"/>
      </left>
      <right style="thin">
        <color rgb="FF000000"/>
      </right>
      <top style="thin">
        <color rgb="FF000000"/>
      </top>
      <bottom style="thin">
        <color rgb="FF000000"/>
      </bottom>
      <diagonal/>
    </border>
    <border>
      <left/>
      <right/>
      <top style="medium">
        <color indexed="8"/>
      </top>
      <bottom style="thin">
        <color indexed="8"/>
      </bottom>
      <diagonal/>
    </border>
    <border>
      <left/>
      <right/>
      <top style="thin">
        <color indexed="8"/>
      </top>
      <bottom style="medium">
        <color indexed="8"/>
      </bottom>
      <diagonal/>
    </border>
    <border>
      <left/>
      <right style="thin">
        <color indexed="12"/>
      </right>
      <top style="thin">
        <color indexed="12"/>
      </top>
      <bottom style="thin">
        <color indexed="12"/>
      </bottom>
      <diagonal/>
    </border>
    <border>
      <left style="medium">
        <color rgb="FF000000"/>
      </left>
      <right style="thin">
        <color indexed="8"/>
      </right>
      <top style="medium">
        <color rgb="FF000000"/>
      </top>
      <bottom style="thin">
        <color indexed="8"/>
      </bottom>
      <diagonal/>
    </border>
    <border>
      <left style="thin">
        <color indexed="8"/>
      </left>
      <right style="medium">
        <color indexed="8"/>
      </right>
      <top style="medium">
        <color rgb="FF000000"/>
      </top>
      <bottom style="thin">
        <color indexed="8"/>
      </bottom>
      <diagonal/>
    </border>
    <border>
      <left style="medium">
        <color indexed="8"/>
      </left>
      <right style="medium">
        <color indexed="8"/>
      </right>
      <top style="medium">
        <color rgb="FF000000"/>
      </top>
      <bottom style="thin">
        <color indexed="8"/>
      </bottom>
      <diagonal/>
    </border>
    <border>
      <left style="medium">
        <color indexed="8"/>
      </left>
      <right style="thin">
        <color indexed="8"/>
      </right>
      <top style="medium">
        <color rgb="FF000000"/>
      </top>
      <bottom style="thin">
        <color indexed="8"/>
      </bottom>
      <diagonal/>
    </border>
    <border>
      <left style="thin">
        <color indexed="8"/>
      </left>
      <right style="thin">
        <color indexed="8"/>
      </right>
      <top style="medium">
        <color rgb="FF000000"/>
      </top>
      <bottom style="thin">
        <color indexed="8"/>
      </bottom>
      <diagonal/>
    </border>
    <border>
      <left style="thin">
        <color indexed="8"/>
      </left>
      <right style="medium">
        <color rgb="FF000000"/>
      </right>
      <top style="medium">
        <color rgb="FF000000"/>
      </top>
      <bottom style="thin">
        <color indexed="8"/>
      </bottom>
      <diagonal/>
    </border>
    <border>
      <left style="medium">
        <color rgb="FF000000"/>
      </left>
      <right style="thin">
        <color indexed="8"/>
      </right>
      <top style="thin">
        <color indexed="8"/>
      </top>
      <bottom style="thin">
        <color indexed="8"/>
      </bottom>
      <diagonal/>
    </border>
    <border>
      <left style="thin">
        <color indexed="8"/>
      </left>
      <right style="medium">
        <color rgb="FF000000"/>
      </right>
      <top style="thin">
        <color indexed="8"/>
      </top>
      <bottom style="thin">
        <color indexed="8"/>
      </bottom>
      <diagonal/>
    </border>
    <border>
      <left style="medium">
        <color rgb="FF000000"/>
      </left>
      <right style="thin">
        <color indexed="8"/>
      </right>
      <top style="thin">
        <color indexed="8"/>
      </top>
      <bottom style="medium">
        <color rgb="FF000000"/>
      </bottom>
      <diagonal/>
    </border>
    <border>
      <left style="thin">
        <color indexed="8"/>
      </left>
      <right style="medium">
        <color indexed="8"/>
      </right>
      <top style="thin">
        <color indexed="8"/>
      </top>
      <bottom style="medium">
        <color rgb="FF000000"/>
      </bottom>
      <diagonal/>
    </border>
    <border>
      <left style="medium">
        <color indexed="8"/>
      </left>
      <right style="medium">
        <color indexed="8"/>
      </right>
      <top style="thin">
        <color indexed="8"/>
      </top>
      <bottom style="medium">
        <color rgb="FF000000"/>
      </bottom>
      <diagonal/>
    </border>
    <border>
      <left style="medium">
        <color indexed="8"/>
      </left>
      <right style="thin">
        <color indexed="8"/>
      </right>
      <top style="thin">
        <color indexed="8"/>
      </top>
      <bottom style="medium">
        <color rgb="FF000000"/>
      </bottom>
      <diagonal/>
    </border>
    <border>
      <left style="thin">
        <color indexed="8"/>
      </left>
      <right style="thin">
        <color indexed="8"/>
      </right>
      <top style="thin">
        <color indexed="8"/>
      </top>
      <bottom style="medium">
        <color rgb="FF000000"/>
      </bottom>
      <diagonal/>
    </border>
    <border>
      <left style="thin">
        <color indexed="8"/>
      </left>
      <right style="medium">
        <color rgb="FF000000"/>
      </right>
      <top style="thin">
        <color indexed="8"/>
      </top>
      <bottom style="medium">
        <color rgb="FF000000"/>
      </bottom>
      <diagonal/>
    </border>
    <border>
      <left style="medium">
        <color indexed="8"/>
      </left>
      <right style="thin">
        <color indexed="8"/>
      </right>
      <top style="thin">
        <color indexed="8"/>
      </top>
      <bottom/>
      <diagonal/>
    </border>
    <border>
      <left style="thin">
        <color indexed="8"/>
      </left>
      <right style="medium">
        <color indexed="8"/>
      </right>
      <top style="thin">
        <color indexed="8"/>
      </top>
      <bottom/>
      <diagonal/>
    </border>
    <border>
      <left style="medium">
        <color indexed="8"/>
      </left>
      <right style="medium">
        <color indexed="8"/>
      </right>
      <top style="thin">
        <color indexed="8"/>
      </top>
      <bottom/>
      <diagonal/>
    </border>
    <border>
      <left style="thin">
        <color indexed="8"/>
      </left>
      <right style="thin">
        <color indexed="8"/>
      </right>
      <top style="thin">
        <color indexed="8"/>
      </top>
      <bottom/>
      <diagonal/>
    </border>
    <border>
      <left style="thin">
        <color indexed="12"/>
      </left>
      <right style="thin">
        <color indexed="12"/>
      </right>
      <top style="thin">
        <color indexed="12"/>
      </top>
      <bottom/>
      <diagonal/>
    </border>
    <border>
      <left style="medium">
        <color indexed="8"/>
      </left>
      <right style="thin">
        <color indexed="8"/>
      </right>
      <top/>
      <bottom style="thin">
        <color indexed="8"/>
      </bottom>
      <diagonal/>
    </border>
    <border>
      <left style="thin">
        <color indexed="8"/>
      </left>
      <right style="medium">
        <color indexed="8"/>
      </right>
      <top/>
      <bottom style="thin">
        <color indexed="8"/>
      </bottom>
      <diagonal/>
    </border>
    <border>
      <left style="medium">
        <color indexed="8"/>
      </left>
      <right style="medium">
        <color indexed="8"/>
      </right>
      <top/>
      <bottom style="thin">
        <color indexed="8"/>
      </bottom>
      <diagonal/>
    </border>
    <border>
      <left style="thin">
        <color indexed="8"/>
      </left>
      <right style="thin">
        <color indexed="8"/>
      </right>
      <top/>
      <bottom style="thin">
        <color indexed="8"/>
      </bottom>
      <diagonal/>
    </border>
    <border>
      <left style="thin">
        <color indexed="64"/>
      </left>
      <right style="thin">
        <color indexed="64"/>
      </right>
      <top style="thin">
        <color indexed="64"/>
      </top>
      <bottom style="thin">
        <color indexed="64"/>
      </bottom>
      <diagonal/>
    </border>
    <border>
      <left style="thin">
        <color indexed="8"/>
      </left>
      <right style="medium">
        <color indexed="8"/>
      </right>
      <top style="medium">
        <color indexed="8"/>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rgb="FF000000"/>
      </top>
      <bottom style="medium">
        <color rgb="FF000000"/>
      </bottom>
      <diagonal/>
    </border>
    <border>
      <left style="medium">
        <color indexed="8"/>
      </left>
      <right style="thin">
        <color indexed="12"/>
      </right>
      <top style="thin">
        <color indexed="12"/>
      </top>
      <bottom/>
      <diagonal/>
    </border>
    <border>
      <left/>
      <right style="thin">
        <color indexed="12"/>
      </right>
      <top style="medium">
        <color indexed="8"/>
      </top>
      <bottom/>
      <diagonal/>
    </border>
    <border>
      <left/>
      <right style="thin">
        <color indexed="12"/>
      </right>
      <top/>
      <bottom/>
      <diagonal/>
    </border>
    <border>
      <left style="medium">
        <color indexed="8"/>
      </left>
      <right/>
      <top/>
      <bottom style="thin">
        <color indexed="12"/>
      </bottom>
      <diagonal/>
    </border>
    <border>
      <left/>
      <right style="thin">
        <color indexed="12"/>
      </right>
      <top/>
      <bottom style="thin">
        <color indexed="12"/>
      </bottom>
      <diagonal/>
    </border>
    <border>
      <left/>
      <right/>
      <top style="thin">
        <color indexed="8"/>
      </top>
      <bottom/>
      <diagonal/>
    </border>
    <border>
      <left/>
      <right style="thin">
        <color indexed="8"/>
      </right>
      <top style="thin">
        <color indexed="8"/>
      </top>
      <bottom/>
      <diagonal/>
    </border>
    <border>
      <left/>
      <right style="medium">
        <color indexed="8"/>
      </right>
      <top style="thin">
        <color indexed="8"/>
      </top>
      <bottom/>
      <diagonal/>
    </border>
    <border>
      <left/>
      <right style="thin">
        <color indexed="12"/>
      </right>
      <top style="thin">
        <color indexed="8"/>
      </top>
      <bottom/>
      <diagonal/>
    </border>
    <border>
      <left/>
      <right style="thin">
        <color indexed="12"/>
      </right>
      <top style="thin">
        <color indexed="8"/>
      </top>
      <bottom style="thin">
        <color indexed="8"/>
      </bottom>
      <diagonal/>
    </border>
    <border>
      <left/>
      <right style="thin">
        <color indexed="8"/>
      </right>
      <top style="medium">
        <color indexed="8"/>
      </top>
      <bottom/>
      <diagonal/>
    </border>
    <border>
      <left/>
      <right style="thin">
        <color indexed="8"/>
      </right>
      <top/>
      <bottom/>
      <diagonal/>
    </border>
    <border>
      <left style="medium">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right/>
      <top style="thin">
        <color indexed="12"/>
      </top>
      <bottom/>
      <diagonal/>
    </border>
    <border>
      <left/>
      <right style="thin">
        <color indexed="12"/>
      </right>
      <top style="thin">
        <color indexed="12"/>
      </top>
      <bottom/>
      <diagonal/>
    </border>
    <border>
      <left/>
      <right style="thin">
        <color indexed="8"/>
      </right>
      <top style="medium">
        <color indexed="8"/>
      </top>
      <bottom style="medium">
        <color indexed="8"/>
      </bottom>
      <diagonal/>
    </border>
    <border>
      <left style="thin">
        <color indexed="8"/>
      </left>
      <right/>
      <top/>
      <bottom/>
      <diagonal/>
    </border>
    <border>
      <left style="thin">
        <color indexed="8"/>
      </left>
      <right style="thin">
        <color indexed="8"/>
      </right>
      <top/>
      <bottom/>
      <diagonal/>
    </border>
    <border>
      <left/>
      <right style="thin">
        <color indexed="12"/>
      </right>
      <top style="thin">
        <color indexed="8"/>
      </top>
      <bottom style="medium">
        <color indexed="8"/>
      </bottom>
      <diagonal/>
    </border>
    <border>
      <left/>
      <right style="medium">
        <color indexed="8"/>
      </right>
      <top style="medium">
        <color indexed="8"/>
      </top>
      <bottom/>
      <diagonal/>
    </border>
    <border>
      <left style="thin">
        <color indexed="8"/>
      </left>
      <right style="medium">
        <color indexed="8"/>
      </right>
      <top/>
      <bottom/>
      <diagonal/>
    </border>
    <border>
      <left/>
      <right style="thin">
        <color indexed="12"/>
      </right>
      <top style="medium">
        <color indexed="8"/>
      </top>
      <bottom style="medium">
        <color indexed="8"/>
      </bottom>
      <diagonal/>
    </border>
    <border>
      <left/>
      <right style="thin">
        <color indexed="12"/>
      </right>
      <top style="thin">
        <color indexed="12"/>
      </top>
      <bottom style="medium">
        <color indexed="8"/>
      </bottom>
      <diagonal/>
    </border>
  </borders>
  <cellStyleXfs count="2">
    <xf numFmtId="0" fontId="0" fillId="0" borderId="0" applyAlignment="1">
      <alignment horizontal="left" vertical="top"/>
    </xf>
    <xf numFmtId="0" fontId="33" fillId="0" borderId="0" applyAlignment="1">
      <alignment horizontal="left" vertical="top"/>
    </xf>
  </cellStyleXfs>
  <cellXfs count="915">
    <xf numFmtId="0" fontId="0" fillId="0" borderId="0" applyAlignment="1" pivotButton="0" quotePrefix="0" xfId="0">
      <alignment horizontal="left" vertical="top"/>
    </xf>
    <xf numFmtId="0" fontId="0" fillId="0" borderId="0" applyAlignment="1" pivotButton="0" quotePrefix="0" xfId="0">
      <alignment horizontal="left" vertical="top"/>
    </xf>
    <xf numFmtId="49" fontId="2" fillId="0" borderId="1" applyAlignment="1" pivotButton="0" quotePrefix="0" xfId="0">
      <alignment vertical="top" wrapText="1"/>
    </xf>
    <xf numFmtId="49" fontId="3" fillId="0" borderId="2" applyAlignment="1" pivotButton="0" quotePrefix="0" xfId="0">
      <alignment vertical="top" wrapText="1"/>
    </xf>
    <xf numFmtId="49" fontId="3" fillId="0" borderId="3" applyAlignment="1" pivotButton="0" quotePrefix="0" xfId="0">
      <alignment vertical="top" wrapText="1"/>
    </xf>
    <xf numFmtId="164" fontId="3" fillId="0" borderId="4" applyAlignment="1" pivotButton="0" quotePrefix="0" xfId="0">
      <alignment vertical="top" wrapText="1"/>
    </xf>
    <xf numFmtId="49" fontId="3" fillId="0" borderId="4" applyAlignment="1" pivotButton="0" quotePrefix="0" xfId="0">
      <alignment vertical="top" wrapText="1"/>
    </xf>
    <xf numFmtId="49" fontId="3" fillId="0" borderId="5" applyAlignment="1" pivotButton="0" quotePrefix="0" xfId="0">
      <alignment vertical="top" wrapText="1"/>
    </xf>
    <xf numFmtId="49" fontId="3" fillId="0" borderId="6" applyAlignment="1" pivotButton="0" quotePrefix="0" xfId="0">
      <alignment vertical="top" wrapText="1"/>
    </xf>
    <xf numFmtId="164" fontId="3" fillId="0" borderId="7" applyAlignment="1" pivotButton="0" quotePrefix="0" xfId="0">
      <alignment vertical="top" wrapText="1"/>
    </xf>
    <xf numFmtId="49" fontId="3" fillId="0" borderId="7" applyAlignment="1" pivotButton="0" quotePrefix="0" xfId="0">
      <alignment vertical="top" wrapText="1"/>
    </xf>
    <xf numFmtId="0" fontId="3" fillId="0" borderId="5" applyAlignment="1" pivotButton="0" quotePrefix="0" xfId="0">
      <alignment vertical="top" wrapText="1"/>
    </xf>
    <xf numFmtId="0" fontId="3" fillId="0" borderId="6" applyAlignment="1" pivotButton="0" quotePrefix="0" xfId="0">
      <alignment vertical="top" wrapText="1"/>
    </xf>
    <xf numFmtId="0" fontId="3" fillId="0" borderId="7" applyAlignment="1" pivotButton="0" quotePrefix="0" xfId="0">
      <alignment vertical="top" wrapText="1"/>
    </xf>
    <xf numFmtId="0" fontId="0" fillId="3" borderId="11" applyAlignment="1" pivotButton="0" quotePrefix="0" xfId="0">
      <alignment horizontal="left" vertical="top"/>
    </xf>
    <xf numFmtId="0" fontId="5" fillId="2" borderId="15" applyAlignment="1" pivotButton="0" quotePrefix="0" xfId="0">
      <alignment vertical="top" wrapText="1"/>
    </xf>
    <xf numFmtId="0" fontId="0" fillId="0" borderId="16" applyAlignment="1" pivotButton="0" quotePrefix="0" xfId="0">
      <alignment horizontal="left" vertical="top"/>
    </xf>
    <xf numFmtId="0" fontId="0" fillId="3" borderId="18" applyAlignment="1" pivotButton="0" quotePrefix="0" xfId="0">
      <alignment horizontal="left" vertical="top"/>
    </xf>
    <xf numFmtId="0" fontId="0" fillId="3" borderId="37" applyAlignment="1" pivotButton="0" quotePrefix="0" xfId="0">
      <alignment horizontal="left" vertical="top"/>
    </xf>
    <xf numFmtId="0" fontId="0" fillId="0" borderId="38" applyAlignment="1" pivotButton="0" quotePrefix="0" xfId="0">
      <alignment horizontal="left" vertical="top"/>
    </xf>
    <xf numFmtId="0" fontId="5" fillId="2" borderId="38" applyAlignment="1" pivotButton="0" quotePrefix="0" xfId="0">
      <alignment vertical="top" wrapText="1"/>
    </xf>
    <xf numFmtId="0" fontId="5" fillId="2" borderId="16" applyAlignment="1" pivotButton="0" quotePrefix="0" xfId="0">
      <alignment vertical="top" wrapText="1"/>
    </xf>
    <xf numFmtId="49" fontId="12" fillId="11" borderId="12" applyAlignment="1" pivotButton="0" quotePrefix="0" xfId="0">
      <alignment horizontal="right" vertical="top" wrapText="1"/>
    </xf>
    <xf numFmtId="0" fontId="0" fillId="2" borderId="14" applyAlignment="1" pivotButton="0" quotePrefix="0" xfId="0">
      <alignment horizontal="left" vertical="top" wrapText="1"/>
    </xf>
    <xf numFmtId="0" fontId="0" fillId="2" borderId="39" applyAlignment="1" pivotButton="0" quotePrefix="0" xfId="0">
      <alignment horizontal="left" vertical="top" wrapText="1"/>
    </xf>
    <xf numFmtId="0" fontId="0" fillId="2" borderId="15" applyAlignment="1" pivotButton="0" quotePrefix="0" xfId="0">
      <alignment horizontal="left" vertical="top" wrapText="1"/>
    </xf>
    <xf numFmtId="0" fontId="0" fillId="2" borderId="16" applyAlignment="1" pivotButton="0" quotePrefix="0" xfId="0">
      <alignment horizontal="left" vertical="top" wrapText="1"/>
    </xf>
    <xf numFmtId="49" fontId="12" fillId="11" borderId="19" applyAlignment="1" pivotButton="0" quotePrefix="0" xfId="0">
      <alignment horizontal="right" vertical="top" wrapText="1"/>
    </xf>
    <xf numFmtId="0" fontId="0" fillId="2" borderId="21" applyAlignment="1" pivotButton="0" quotePrefix="0" xfId="0">
      <alignment horizontal="left" vertical="top" wrapText="1"/>
    </xf>
    <xf numFmtId="49" fontId="12" fillId="11" borderId="34" applyAlignment="1" pivotButton="0" quotePrefix="0" xfId="0">
      <alignment horizontal="right" vertical="top" wrapText="1"/>
    </xf>
    <xf numFmtId="0" fontId="0" fillId="2" borderId="36" applyAlignment="1" pivotButton="0" quotePrefix="0" xfId="0">
      <alignment horizontal="left" vertical="top" wrapText="1"/>
    </xf>
    <xf numFmtId="49" fontId="12" fillId="11" borderId="40" applyAlignment="1" pivotButton="0" quotePrefix="0" xfId="0">
      <alignment horizontal="right" vertical="top" wrapText="1"/>
    </xf>
    <xf numFmtId="0" fontId="0" fillId="2" borderId="41" applyAlignment="1" pivotButton="0" quotePrefix="0" xfId="0">
      <alignment horizontal="left" vertical="top" wrapText="1"/>
    </xf>
    <xf numFmtId="0" fontId="0" fillId="2" borderId="38" applyAlignment="1" pivotButton="0" quotePrefix="0" xfId="0">
      <alignment horizontal="left" vertical="top" wrapText="1"/>
    </xf>
    <xf numFmtId="0" fontId="13" fillId="11" borderId="21" applyAlignment="1" pivotButton="0" quotePrefix="0" xfId="0">
      <alignment horizontal="right" vertical="top" wrapText="1"/>
    </xf>
    <xf numFmtId="49" fontId="13" fillId="3" borderId="19" applyAlignment="1" pivotButton="0" quotePrefix="0" xfId="0">
      <alignment horizontal="right" vertical="top" wrapText="1"/>
    </xf>
    <xf numFmtId="0" fontId="0" fillId="2" borderId="39" applyAlignment="1" pivotButton="0" quotePrefix="0" xfId="0">
      <alignment horizontal="left" vertical="top" wrapText="1"/>
    </xf>
    <xf numFmtId="49" fontId="8" fillId="11" borderId="42" applyAlignment="1" pivotButton="0" quotePrefix="0" xfId="0">
      <alignment horizontal="left" vertical="top"/>
    </xf>
    <xf numFmtId="49" fontId="5" fillId="11" borderId="41" applyAlignment="1" pivotButton="0" quotePrefix="0" xfId="0">
      <alignment horizontal="left" vertical="top"/>
    </xf>
    <xf numFmtId="0" fontId="0" fillId="2" borderId="15" applyAlignment="1" pivotButton="0" quotePrefix="0" xfId="0">
      <alignment horizontal="left" vertical="top"/>
    </xf>
    <xf numFmtId="0" fontId="0" fillId="2" borderId="16" applyAlignment="1" pivotButton="0" quotePrefix="0" xfId="0">
      <alignment horizontal="left" vertical="top"/>
    </xf>
    <xf numFmtId="0" fontId="0" fillId="2" borderId="42" applyAlignment="1" pivotButton="0" quotePrefix="0" xfId="0">
      <alignment horizontal="left" vertical="top"/>
    </xf>
    <xf numFmtId="0" fontId="0" fillId="2" borderId="41" applyAlignment="1" pivotButton="0" quotePrefix="0" xfId="0">
      <alignment horizontal="left" vertical="top"/>
    </xf>
    <xf numFmtId="49" fontId="12" fillId="11" borderId="13" applyAlignment="1" pivotButton="0" quotePrefix="0" xfId="0">
      <alignment horizontal="right" wrapText="1"/>
    </xf>
    <xf numFmtId="0" fontId="0" fillId="2" borderId="13" applyAlignment="1" pivotButton="0" quotePrefix="0" xfId="0">
      <alignment horizontal="left" vertical="top"/>
    </xf>
    <xf numFmtId="0" fontId="0" fillId="2" borderId="14" applyAlignment="1" pivotButton="0" quotePrefix="0" xfId="0">
      <alignment horizontal="left" vertical="top"/>
    </xf>
    <xf numFmtId="49" fontId="12" fillId="11" borderId="20" applyAlignment="1" pivotButton="0" quotePrefix="0" xfId="0">
      <alignment horizontal="right" wrapText="1"/>
    </xf>
    <xf numFmtId="0" fontId="0" fillId="2" borderId="20" applyAlignment="1" pivotButton="0" quotePrefix="0" xfId="0">
      <alignment horizontal="left" vertical="top"/>
    </xf>
    <xf numFmtId="0" fontId="0" fillId="2" borderId="21" applyAlignment="1" pivotButton="0" quotePrefix="0" xfId="0">
      <alignment horizontal="left" vertical="top"/>
    </xf>
    <xf numFmtId="0" fontId="13" fillId="2" borderId="20" applyAlignment="1" pivotButton="0" quotePrefix="0" xfId="0">
      <alignment horizontal="center" vertical="top"/>
    </xf>
    <xf numFmtId="14" fontId="0" fillId="2" borderId="16" applyAlignment="1" pivotButton="0" quotePrefix="0" xfId="0">
      <alignment horizontal="left" vertical="top"/>
    </xf>
    <xf numFmtId="49" fontId="12" fillId="11" borderId="35" applyAlignment="1" pivotButton="0" quotePrefix="0" xfId="0">
      <alignment horizontal="right" wrapText="1"/>
    </xf>
    <xf numFmtId="0" fontId="0" fillId="2" borderId="35" applyAlignment="1" pivotButton="0" quotePrefix="0" xfId="0">
      <alignment horizontal="left" vertical="top"/>
    </xf>
    <xf numFmtId="0" fontId="0" fillId="2" borderId="36" applyAlignment="1" pivotButton="0" quotePrefix="0" xfId="0">
      <alignment horizontal="left" vertical="top"/>
    </xf>
    <xf numFmtId="0" fontId="0" fillId="2" borderId="13" applyAlignment="1" pivotButton="0" quotePrefix="0" xfId="0">
      <alignment horizontal="left" vertical="top" wrapText="1"/>
    </xf>
    <xf numFmtId="49" fontId="13" fillId="3" borderId="20" applyAlignment="1" pivotButton="0" quotePrefix="0" xfId="0">
      <alignment horizontal="right" vertical="top"/>
    </xf>
    <xf numFmtId="0" fontId="0" fillId="2" borderId="20" applyAlignment="1" pivotButton="0" quotePrefix="0" xfId="0">
      <alignment horizontal="left" vertical="top" wrapText="1"/>
    </xf>
    <xf numFmtId="0" fontId="13" fillId="3" borderId="20" applyAlignment="1" pivotButton="0" quotePrefix="0" xfId="0">
      <alignment horizontal="right" vertical="top"/>
    </xf>
    <xf numFmtId="49" fontId="0" fillId="2" borderId="20" applyAlignment="1" pivotButton="0" quotePrefix="0" xfId="0">
      <alignment horizontal="left" vertical="top" wrapText="1"/>
    </xf>
    <xf numFmtId="49" fontId="13" fillId="3" borderId="35" applyAlignment="1" pivotButton="0" quotePrefix="0" xfId="0">
      <alignment horizontal="right" vertical="top" wrapText="1"/>
    </xf>
    <xf numFmtId="0" fontId="0" fillId="2" borderId="35" applyAlignment="1" pivotButton="0" quotePrefix="0" xfId="0">
      <alignment horizontal="left" vertical="top" wrapText="1"/>
    </xf>
    <xf numFmtId="49" fontId="0" fillId="2" borderId="21" applyAlignment="1" pivotButton="0" quotePrefix="0" xfId="0">
      <alignment horizontal="left" vertical="top" wrapText="1"/>
    </xf>
    <xf numFmtId="49" fontId="17" fillId="2" borderId="20" applyAlignment="1" pivotButton="0" quotePrefix="0" xfId="0">
      <alignment horizontal="left" vertical="top" wrapText="1"/>
    </xf>
    <xf numFmtId="49" fontId="0" fillId="2" borderId="35" applyAlignment="1" pivotButton="0" quotePrefix="0" xfId="0">
      <alignment horizontal="left" vertical="top" wrapText="1"/>
    </xf>
    <xf numFmtId="49" fontId="17" fillId="2" borderId="13" applyAlignment="1" pivotButton="0" quotePrefix="0" xfId="0">
      <alignment horizontal="left" vertical="top" wrapText="1"/>
    </xf>
    <xf numFmtId="0" fontId="17" fillId="2" borderId="20" applyAlignment="1" pivotButton="0" quotePrefix="0" xfId="0">
      <alignment horizontal="left" vertical="top" wrapText="1"/>
    </xf>
    <xf numFmtId="49" fontId="10" fillId="11" borderId="40" applyAlignment="1" pivotButton="0" quotePrefix="0" xfId="0">
      <alignment horizontal="center" vertical="center" wrapText="1"/>
    </xf>
    <xf numFmtId="49" fontId="12" fillId="11" borderId="42" applyAlignment="1" pivotButton="0" quotePrefix="0" xfId="0">
      <alignment horizontal="right" wrapText="1"/>
    </xf>
    <xf numFmtId="0" fontId="0" fillId="2" borderId="42" applyAlignment="1" pivotButton="0" quotePrefix="0" xfId="0">
      <alignment horizontal="left" vertical="top" wrapText="1"/>
    </xf>
    <xf numFmtId="0" fontId="0" fillId="2" borderId="38" applyAlignment="1" pivotButton="0" quotePrefix="0" xfId="0">
      <alignment horizontal="left" vertical="top"/>
    </xf>
    <xf numFmtId="0" fontId="0" fillId="2" borderId="9" applyAlignment="1" pivotButton="0" quotePrefix="0" xfId="0">
      <alignment horizontal="left" vertical="top"/>
    </xf>
    <xf numFmtId="0" fontId="0" fillId="2" borderId="9" applyAlignment="1" pivotButton="0" quotePrefix="0" xfId="0">
      <alignment horizontal="left" vertical="top" wrapText="1"/>
    </xf>
    <xf numFmtId="49" fontId="12" fillId="2" borderId="12" applyAlignment="1" pivotButton="0" quotePrefix="0" xfId="0">
      <alignment horizontal="left" vertical="top"/>
    </xf>
    <xf numFmtId="49" fontId="0" fillId="2" borderId="14" applyAlignment="1" pivotButton="0" quotePrefix="0" xfId="0">
      <alignment horizontal="left" vertical="top"/>
    </xf>
    <xf numFmtId="49" fontId="12" fillId="2" borderId="19" applyAlignment="1" pivotButton="0" quotePrefix="0" xfId="0">
      <alignment horizontal="left" vertical="top"/>
    </xf>
    <xf numFmtId="49" fontId="0" fillId="2" borderId="21" applyAlignment="1" pivotButton="0" quotePrefix="0" xfId="0">
      <alignment horizontal="left" vertical="top"/>
    </xf>
    <xf numFmtId="49" fontId="12" fillId="2" borderId="34" applyAlignment="1" pivotButton="0" quotePrefix="0" xfId="0">
      <alignment horizontal="left" vertical="top"/>
    </xf>
    <xf numFmtId="49" fontId="0" fillId="2" borderId="36" applyAlignment="1" pivotButton="0" quotePrefix="0" xfId="0">
      <alignment horizontal="left" vertical="top"/>
    </xf>
    <xf numFmtId="0" fontId="20" fillId="2" borderId="16" applyAlignment="1" pivotButton="0" quotePrefix="0" xfId="0">
      <alignment wrapText="1"/>
    </xf>
    <xf numFmtId="0" fontId="20" fillId="2" borderId="16" applyAlignment="1" pivotButton="0" quotePrefix="0" xfId="0">
      <alignment horizontal="center" wrapText="1"/>
    </xf>
    <xf numFmtId="0" fontId="20" fillId="2" borderId="16" applyAlignment="1" pivotButton="0" quotePrefix="0" xfId="0">
      <alignment horizontal="left" vertical="top" wrapText="1"/>
    </xf>
    <xf numFmtId="0" fontId="0" fillId="0" borderId="16" applyAlignment="1" pivotButton="0" quotePrefix="0" xfId="0">
      <alignment horizontal="left" vertical="top"/>
    </xf>
    <xf numFmtId="49" fontId="21" fillId="13" borderId="40" applyAlignment="1" pivotButton="0" quotePrefix="0" xfId="0">
      <alignment horizontal="right" vertical="center" wrapText="1"/>
    </xf>
    <xf numFmtId="0" fontId="22" fillId="13" borderId="41" applyAlignment="1" pivotButton="0" quotePrefix="0" xfId="0">
      <alignment horizontal="center" vertical="center" wrapText="1"/>
    </xf>
    <xf numFmtId="49" fontId="8" fillId="12" borderId="40" applyAlignment="1" pivotButton="0" quotePrefix="0" xfId="0">
      <alignment horizontal="right" vertical="center" wrapText="1"/>
    </xf>
    <xf numFmtId="0" fontId="23" fillId="12" borderId="41" applyAlignment="1" pivotButton="0" quotePrefix="0" xfId="0">
      <alignment horizontal="center" vertical="center" wrapText="1"/>
    </xf>
    <xf numFmtId="49" fontId="14" fillId="11" borderId="40" applyAlignment="1" pivotButton="0" quotePrefix="0" xfId="0">
      <alignment horizontal="center" wrapText="1"/>
    </xf>
    <xf numFmtId="49" fontId="14" fillId="11" borderId="41" applyAlignment="1" pivotButton="0" quotePrefix="0" xfId="0">
      <alignment horizontal="center" wrapText="1"/>
    </xf>
    <xf numFmtId="49" fontId="14" fillId="11" borderId="54" applyAlignment="1" pivotButton="0" quotePrefix="0" xfId="0">
      <alignment horizontal="center" wrapText="1"/>
    </xf>
    <xf numFmtId="49" fontId="14" fillId="11" borderId="42" applyAlignment="1" pivotButton="0" quotePrefix="0" xfId="0">
      <alignment horizontal="center" wrapText="1"/>
    </xf>
    <xf numFmtId="49" fontId="0" fillId="2" borderId="16" applyAlignment="1" pivotButton="0" quotePrefix="0" xfId="0">
      <alignment horizontal="left" wrapText="1"/>
    </xf>
    <xf numFmtId="49" fontId="0" fillId="6" borderId="12" applyAlignment="1" pivotButton="0" quotePrefix="0" xfId="0">
      <alignment horizontal="left" wrapText="1"/>
    </xf>
    <xf numFmtId="49" fontId="0" fillId="6" borderId="14" applyAlignment="1" pivotButton="0" quotePrefix="0" xfId="0">
      <alignment horizontal="left" wrapText="1"/>
    </xf>
    <xf numFmtId="49" fontId="0" fillId="2" borderId="55" applyAlignment="1" pivotButton="0" quotePrefix="0" xfId="0">
      <alignment horizontal="left" wrapText="1"/>
    </xf>
    <xf numFmtId="49" fontId="0" fillId="2" borderId="12" applyAlignment="1" pivotButton="0" quotePrefix="0" xfId="0">
      <alignment horizontal="left" wrapText="1"/>
    </xf>
    <xf numFmtId="49" fontId="0" fillId="2" borderId="13" applyAlignment="1" pivotButton="0" quotePrefix="0" xfId="0">
      <alignment horizontal="left" wrapText="1"/>
    </xf>
    <xf numFmtId="49" fontId="0" fillId="2" borderId="14" applyAlignment="1" pivotButton="0" quotePrefix="0" xfId="0">
      <alignment horizontal="left" wrapText="1"/>
    </xf>
    <xf numFmtId="0" fontId="0" fillId="2" borderId="55" applyAlignment="1" pivotButton="0" quotePrefix="0" xfId="0">
      <alignment horizontal="left" wrapText="1"/>
    </xf>
    <xf numFmtId="49" fontId="0" fillId="3" borderId="12" applyAlignment="1" pivotButton="0" quotePrefix="0" xfId="0">
      <alignment horizontal="left" vertical="center" wrapText="1"/>
    </xf>
    <xf numFmtId="0" fontId="0" fillId="6" borderId="12" applyAlignment="1" pivotButton="0" quotePrefix="0" xfId="0">
      <alignment horizontal="left" vertical="top" wrapText="1"/>
    </xf>
    <xf numFmtId="14" fontId="0" fillId="2" borderId="13" applyAlignment="1" pivotButton="0" quotePrefix="0" xfId="0">
      <alignment horizontal="left" vertical="top" wrapText="1"/>
    </xf>
    <xf numFmtId="0" fontId="20" fillId="3" borderId="14" applyAlignment="1" pivotButton="0" quotePrefix="0" xfId="0">
      <alignment vertical="center" wrapText="1"/>
    </xf>
    <xf numFmtId="0" fontId="0" fillId="2" borderId="16" applyAlignment="1" pivotButton="0" quotePrefix="0" xfId="0">
      <alignment horizontal="left" wrapText="1"/>
    </xf>
    <xf numFmtId="49" fontId="0" fillId="6" borderId="19" applyAlignment="1" pivotButton="0" quotePrefix="0" xfId="0">
      <alignment horizontal="left" wrapText="1"/>
    </xf>
    <xf numFmtId="49" fontId="0" fillId="6" borderId="21" applyAlignment="1" pivotButton="0" quotePrefix="0" xfId="0">
      <alignment horizontal="left" wrapText="1"/>
    </xf>
    <xf numFmtId="49" fontId="0" fillId="2" borderId="56" applyAlignment="1" pivotButton="0" quotePrefix="0" xfId="0">
      <alignment horizontal="left" wrapText="1"/>
    </xf>
    <xf numFmtId="49" fontId="0" fillId="2" borderId="19" applyAlignment="1" pivotButton="0" quotePrefix="0" xfId="0">
      <alignment horizontal="left" wrapText="1"/>
    </xf>
    <xf numFmtId="49" fontId="0" fillId="2" borderId="20" applyAlignment="1" pivotButton="0" quotePrefix="0" xfId="0">
      <alignment horizontal="left" wrapText="1"/>
    </xf>
    <xf numFmtId="49" fontId="0" fillId="2" borderId="21" applyAlignment="1" pivotButton="0" quotePrefix="0" xfId="0">
      <alignment horizontal="left" wrapText="1"/>
    </xf>
    <xf numFmtId="0" fontId="0" fillId="6" borderId="56" applyAlignment="1" pivotButton="0" quotePrefix="0" xfId="0">
      <alignment horizontal="left" wrapText="1"/>
    </xf>
    <xf numFmtId="0" fontId="0" fillId="6" borderId="19" applyAlignment="1" pivotButton="0" quotePrefix="0" xfId="0">
      <alignment horizontal="left" wrapText="1"/>
    </xf>
    <xf numFmtId="0" fontId="0" fillId="6" borderId="19" applyAlignment="1" pivotButton="0" quotePrefix="0" xfId="0">
      <alignment horizontal="left" vertical="top" wrapText="1"/>
    </xf>
    <xf numFmtId="49" fontId="20" fillId="2" borderId="19" applyAlignment="1" pivotButton="0" quotePrefix="0" xfId="0">
      <alignment vertical="center" wrapText="1"/>
    </xf>
    <xf numFmtId="0" fontId="0" fillId="6" borderId="21" applyAlignment="1" pivotButton="0" quotePrefix="0" xfId="0">
      <alignment horizontal="left" vertical="top" wrapText="1"/>
    </xf>
    <xf numFmtId="49" fontId="0" fillId="6" borderId="34" applyAlignment="1" pivotButton="0" quotePrefix="0" xfId="0">
      <alignment horizontal="left" wrapText="1"/>
    </xf>
    <xf numFmtId="49" fontId="0" fillId="6" borderId="36" applyAlignment="1" pivotButton="0" quotePrefix="0" xfId="0">
      <alignment horizontal="left" wrapText="1"/>
    </xf>
    <xf numFmtId="49" fontId="0" fillId="2" borderId="57" applyAlignment="1" pivotButton="0" quotePrefix="0" xfId="0">
      <alignment horizontal="left" wrapText="1"/>
    </xf>
    <xf numFmtId="49" fontId="0" fillId="2" borderId="34" applyAlignment="1" pivotButton="0" quotePrefix="0" xfId="0">
      <alignment horizontal="left" wrapText="1"/>
    </xf>
    <xf numFmtId="49" fontId="0" fillId="2" borderId="35" applyAlignment="1" pivotButton="0" quotePrefix="0" xfId="0">
      <alignment horizontal="left" wrapText="1"/>
    </xf>
    <xf numFmtId="49" fontId="0" fillId="2" borderId="36" applyAlignment="1" pivotButton="0" quotePrefix="0" xfId="0">
      <alignment horizontal="left" wrapText="1"/>
    </xf>
    <xf numFmtId="0" fontId="0" fillId="6" borderId="57" applyAlignment="1" pivotButton="0" quotePrefix="0" xfId="0">
      <alignment horizontal="left" wrapText="1"/>
    </xf>
    <xf numFmtId="0" fontId="0" fillId="6" borderId="34" applyAlignment="1" pivotButton="0" quotePrefix="0" xfId="0">
      <alignment horizontal="left" wrapText="1"/>
    </xf>
    <xf numFmtId="0" fontId="0" fillId="6" borderId="34" applyAlignment="1" pivotButton="0" quotePrefix="0" xfId="0">
      <alignment horizontal="left" vertical="top" wrapText="1"/>
    </xf>
    <xf numFmtId="49" fontId="20" fillId="2" borderId="34" applyAlignment="1" pivotButton="0" quotePrefix="0" xfId="0">
      <alignment vertical="center" wrapText="1"/>
    </xf>
    <xf numFmtId="14" fontId="0" fillId="2" borderId="35" applyAlignment="1" pivotButton="0" quotePrefix="0" xfId="0">
      <alignment horizontal="left" vertical="top" wrapText="1"/>
    </xf>
    <xf numFmtId="0" fontId="0" fillId="6" borderId="36" applyAlignment="1" pivotButton="0" quotePrefix="0" xfId="0">
      <alignment horizontal="left" vertical="top" wrapText="1"/>
    </xf>
    <xf numFmtId="0" fontId="20" fillId="2" borderId="16" applyAlignment="1" pivotButton="0" quotePrefix="0" xfId="0">
      <alignment horizontal="left" vertical="top" wrapText="1"/>
    </xf>
    <xf numFmtId="0" fontId="0" fillId="2" borderId="14" applyAlignment="1" pivotButton="0" quotePrefix="0" xfId="0">
      <alignment horizontal="left" wrapText="1"/>
    </xf>
    <xf numFmtId="49" fontId="0" fillId="6" borderId="40" applyAlignment="1" pivotButton="0" quotePrefix="0" xfId="0">
      <alignment horizontal="left" wrapText="1"/>
    </xf>
    <xf numFmtId="49" fontId="0" fillId="6" borderId="41" applyAlignment="1" pivotButton="0" quotePrefix="0" xfId="0">
      <alignment horizontal="left" wrapText="1"/>
    </xf>
    <xf numFmtId="49" fontId="0" fillId="2" borderId="54" applyAlignment="1" pivotButton="0" quotePrefix="0" xfId="0">
      <alignment horizontal="left" wrapText="1"/>
    </xf>
    <xf numFmtId="49" fontId="0" fillId="2" borderId="40" applyAlignment="1" pivotButton="0" quotePrefix="0" xfId="0">
      <alignment horizontal="left" wrapText="1"/>
    </xf>
    <xf numFmtId="49" fontId="0" fillId="2" borderId="42" applyAlignment="1" pivotButton="0" quotePrefix="0" xfId="0">
      <alignment horizontal="left" wrapText="1"/>
    </xf>
    <xf numFmtId="49" fontId="0" fillId="2" borderId="41" applyAlignment="1" pivotButton="0" quotePrefix="0" xfId="0">
      <alignment horizontal="left" wrapText="1"/>
    </xf>
    <xf numFmtId="0" fontId="0" fillId="2" borderId="54" applyAlignment="1" pivotButton="0" quotePrefix="0" xfId="0">
      <alignment horizontal="left" wrapText="1"/>
    </xf>
    <xf numFmtId="49" fontId="0" fillId="3" borderId="40" applyAlignment="1" pivotButton="0" quotePrefix="0" xfId="0">
      <alignment horizontal="left" vertical="center" wrapText="1"/>
    </xf>
    <xf numFmtId="14" fontId="0" fillId="2" borderId="42" applyAlignment="1" pivotButton="0" quotePrefix="0" xfId="0">
      <alignment horizontal="left" vertical="top" wrapText="1"/>
    </xf>
    <xf numFmtId="0" fontId="20" fillId="3" borderId="41" applyAlignment="1" pivotButton="0" quotePrefix="0" xfId="0">
      <alignment vertical="center" wrapText="1"/>
    </xf>
    <xf numFmtId="49" fontId="0" fillId="3" borderId="12" applyAlignment="1" pivotButton="0" quotePrefix="0" xfId="0">
      <alignment horizontal="left" vertical="top" wrapText="1"/>
    </xf>
    <xf numFmtId="14" fontId="20" fillId="2" borderId="13" applyAlignment="1" pivotButton="0" quotePrefix="0" xfId="0">
      <alignment wrapText="1"/>
    </xf>
    <xf numFmtId="14" fontId="20" fillId="2" borderId="13" applyAlignment="1" pivotButton="0" quotePrefix="0" xfId="0">
      <alignment vertical="center" wrapText="1"/>
    </xf>
    <xf numFmtId="49" fontId="20" fillId="2" borderId="40" applyAlignment="1" pivotButton="0" quotePrefix="0" xfId="0">
      <alignment vertical="center" wrapText="1"/>
    </xf>
    <xf numFmtId="14" fontId="20" fillId="2" borderId="42" applyAlignment="1" pivotButton="0" quotePrefix="0" xfId="0">
      <alignment vertical="center" wrapText="1"/>
    </xf>
    <xf numFmtId="0" fontId="0" fillId="6" borderId="19" applyAlignment="1" pivotButton="0" quotePrefix="0" xfId="0">
      <alignment horizontal="left" vertical="center" wrapText="1"/>
    </xf>
    <xf numFmtId="0" fontId="0" fillId="6" borderId="34" applyAlignment="1" pivotButton="0" quotePrefix="0" xfId="0">
      <alignment horizontal="left" vertical="center" wrapText="1"/>
    </xf>
    <xf numFmtId="49" fontId="0" fillId="4" borderId="12" applyAlignment="1" pivotButton="0" quotePrefix="0" xfId="0">
      <alignment horizontal="left" wrapText="1"/>
    </xf>
    <xf numFmtId="49" fontId="0" fillId="4" borderId="14" applyAlignment="1" pivotButton="0" quotePrefix="0" xfId="0">
      <alignment horizontal="left" wrapText="1"/>
    </xf>
    <xf numFmtId="0" fontId="0" fillId="4" borderId="12" applyAlignment="1" pivotButton="0" quotePrefix="0" xfId="0">
      <alignment horizontal="left" vertical="top" wrapText="1"/>
    </xf>
    <xf numFmtId="49" fontId="0" fillId="4" borderId="19" applyAlignment="1" pivotButton="0" quotePrefix="0" xfId="0">
      <alignment horizontal="left" wrapText="1"/>
    </xf>
    <xf numFmtId="49" fontId="0" fillId="4" borderId="21" applyAlignment="1" pivotButton="0" quotePrefix="0" xfId="0">
      <alignment horizontal="left" wrapText="1"/>
    </xf>
    <xf numFmtId="0" fontId="0" fillId="4" borderId="56" applyAlignment="1" pivotButton="0" quotePrefix="0" xfId="0">
      <alignment horizontal="left" wrapText="1"/>
    </xf>
    <xf numFmtId="0" fontId="0" fillId="4" borderId="19" applyAlignment="1" pivotButton="0" quotePrefix="0" xfId="0">
      <alignment horizontal="left" wrapText="1"/>
    </xf>
    <xf numFmtId="0" fontId="0" fillId="4" borderId="19" applyAlignment="1" pivotButton="0" quotePrefix="0" xfId="0">
      <alignment horizontal="left" vertical="top" wrapText="1"/>
    </xf>
    <xf numFmtId="0" fontId="0" fillId="4" borderId="21" applyAlignment="1" pivotButton="0" quotePrefix="0" xfId="0">
      <alignment horizontal="left" vertical="top" wrapText="1"/>
    </xf>
    <xf numFmtId="49" fontId="0" fillId="4" borderId="34" applyAlignment="1" pivotButton="0" quotePrefix="0" xfId="0">
      <alignment horizontal="left" wrapText="1"/>
    </xf>
    <xf numFmtId="49" fontId="0" fillId="4" borderId="36" applyAlignment="1" pivotButton="0" quotePrefix="0" xfId="0">
      <alignment horizontal="left" wrapText="1"/>
    </xf>
    <xf numFmtId="0" fontId="0" fillId="4" borderId="57" applyAlignment="1" pivotButton="0" quotePrefix="0" xfId="0">
      <alignment horizontal="left" wrapText="1"/>
    </xf>
    <xf numFmtId="0" fontId="0" fillId="4" borderId="34" applyAlignment="1" pivotButton="0" quotePrefix="0" xfId="0">
      <alignment horizontal="left" wrapText="1"/>
    </xf>
    <xf numFmtId="0" fontId="0" fillId="4" borderId="34" applyAlignment="1" pivotButton="0" quotePrefix="0" xfId="0">
      <alignment horizontal="left" vertical="top" wrapText="1"/>
    </xf>
    <xf numFmtId="0" fontId="0" fillId="4" borderId="36" applyAlignment="1" pivotButton="0" quotePrefix="0" xfId="0">
      <alignment horizontal="left" vertical="top" wrapText="1"/>
    </xf>
    <xf numFmtId="0" fontId="0" fillId="4" borderId="34" applyAlignment="1" pivotButton="0" quotePrefix="0" xfId="0">
      <alignment horizontal="left" wrapText="1"/>
    </xf>
    <xf numFmtId="49" fontId="0" fillId="4" borderId="40" applyAlignment="1" pivotButton="0" quotePrefix="0" xfId="0">
      <alignment horizontal="left" wrapText="1"/>
    </xf>
    <xf numFmtId="49" fontId="0" fillId="4" borderId="41" applyAlignment="1" pivotButton="0" quotePrefix="0" xfId="0">
      <alignment horizontal="left" wrapText="1"/>
    </xf>
    <xf numFmtId="49" fontId="0" fillId="3" borderId="40" applyAlignment="1" pivotButton="0" quotePrefix="0" xfId="0">
      <alignment horizontal="left" vertical="top" wrapText="1"/>
    </xf>
    <xf numFmtId="49" fontId="0" fillId="15" borderId="12" applyAlignment="1" pivotButton="0" quotePrefix="0" xfId="0">
      <alignment horizontal="left" wrapText="1"/>
    </xf>
    <xf numFmtId="49" fontId="0" fillId="15" borderId="14" applyAlignment="1" pivotButton="0" quotePrefix="0" xfId="0">
      <alignment horizontal="left" wrapText="1"/>
    </xf>
    <xf numFmtId="49" fontId="0" fillId="15" borderId="19" applyAlignment="1" pivotButton="0" quotePrefix="0" xfId="0">
      <alignment horizontal="left" wrapText="1"/>
    </xf>
    <xf numFmtId="49" fontId="0" fillId="15" borderId="21" applyAlignment="1" pivotButton="0" quotePrefix="0" xfId="0">
      <alignment horizontal="left" wrapText="1"/>
    </xf>
    <xf numFmtId="0" fontId="0" fillId="15" borderId="56" applyAlignment="1" pivotButton="0" quotePrefix="0" xfId="0">
      <alignment horizontal="left" wrapText="1"/>
    </xf>
    <xf numFmtId="0" fontId="0" fillId="15" borderId="19" applyAlignment="1" pivotButton="0" quotePrefix="0" xfId="0">
      <alignment horizontal="left" wrapText="1"/>
    </xf>
    <xf numFmtId="0" fontId="0" fillId="15" borderId="19" applyAlignment="1" pivotButton="0" quotePrefix="0" xfId="0">
      <alignment horizontal="left" vertical="top" wrapText="1"/>
    </xf>
    <xf numFmtId="0" fontId="0" fillId="11" borderId="21" applyAlignment="1" pivotButton="0" quotePrefix="0" xfId="0">
      <alignment horizontal="left" vertical="top" wrapText="1"/>
    </xf>
    <xf numFmtId="49" fontId="0" fillId="15" borderId="34" applyAlignment="1" pivotButton="0" quotePrefix="0" xfId="0">
      <alignment horizontal="left" wrapText="1"/>
    </xf>
    <xf numFmtId="49" fontId="0" fillId="15" borderId="36" applyAlignment="1" pivotButton="0" quotePrefix="0" xfId="0">
      <alignment horizontal="left" wrapText="1"/>
    </xf>
    <xf numFmtId="0" fontId="0" fillId="15" borderId="57" applyAlignment="1" pivotButton="0" quotePrefix="0" xfId="0">
      <alignment horizontal="left" wrapText="1"/>
    </xf>
    <xf numFmtId="0" fontId="0" fillId="15" borderId="34" applyAlignment="1" pivotButton="0" quotePrefix="0" xfId="0">
      <alignment horizontal="left" wrapText="1"/>
    </xf>
    <xf numFmtId="0" fontId="0" fillId="15" borderId="34" applyAlignment="1" pivotButton="0" quotePrefix="0" xfId="0">
      <alignment horizontal="left" vertical="top" wrapText="1"/>
    </xf>
    <xf numFmtId="0" fontId="0" fillId="11" borderId="36" applyAlignment="1" pivotButton="0" quotePrefix="0" xfId="0">
      <alignment horizontal="left" vertical="top" wrapText="1"/>
    </xf>
    <xf numFmtId="0" fontId="0" fillId="15" borderId="12" applyAlignment="1" pivotButton="0" quotePrefix="0" xfId="0">
      <alignment horizontal="left" vertical="top" wrapText="1"/>
    </xf>
    <xf numFmtId="0" fontId="0" fillId="15" borderId="21" applyAlignment="1" pivotButton="0" quotePrefix="0" xfId="0">
      <alignment horizontal="left" vertical="top" wrapText="1"/>
    </xf>
    <xf numFmtId="0" fontId="0" fillId="15" borderId="36" applyAlignment="1" pivotButton="0" quotePrefix="0" xfId="0">
      <alignment horizontal="left" vertical="top" wrapText="1"/>
    </xf>
    <xf numFmtId="49" fontId="0" fillId="15" borderId="40" applyAlignment="1" pivotButton="0" quotePrefix="0" xfId="0">
      <alignment horizontal="left" wrapText="1"/>
    </xf>
    <xf numFmtId="49" fontId="0" fillId="15" borderId="41" applyAlignment="1" pivotButton="0" quotePrefix="0" xfId="0">
      <alignment horizontal="left" wrapText="1"/>
    </xf>
    <xf numFmtId="14" fontId="20" fillId="2" borderId="13" applyAlignment="1" pivotButton="0" quotePrefix="0" xfId="0">
      <alignment vertical="top" wrapText="1"/>
    </xf>
    <xf numFmtId="49" fontId="0" fillId="16" borderId="12" applyAlignment="1" pivotButton="0" quotePrefix="0" xfId="0">
      <alignment horizontal="left" wrapText="1"/>
    </xf>
    <xf numFmtId="49" fontId="0" fillId="16" borderId="14" applyAlignment="1" pivotButton="0" quotePrefix="0" xfId="0">
      <alignment horizontal="left" wrapText="1"/>
    </xf>
    <xf numFmtId="0" fontId="0" fillId="16" borderId="12" applyAlignment="1" pivotButton="0" quotePrefix="0" xfId="0">
      <alignment horizontal="left" vertical="top" wrapText="1"/>
    </xf>
    <xf numFmtId="49" fontId="0" fillId="16" borderId="19" applyAlignment="1" pivotButton="0" quotePrefix="0" xfId="0">
      <alignment horizontal="left" wrapText="1"/>
    </xf>
    <xf numFmtId="49" fontId="0" fillId="16" borderId="21" applyAlignment="1" pivotButton="0" quotePrefix="0" xfId="0">
      <alignment horizontal="left" wrapText="1"/>
    </xf>
    <xf numFmtId="0" fontId="0" fillId="16" borderId="56" applyAlignment="1" pivotButton="0" quotePrefix="0" xfId="0">
      <alignment horizontal="left" wrapText="1"/>
    </xf>
    <xf numFmtId="0" fontId="0" fillId="16" borderId="19" applyAlignment="1" pivotButton="0" quotePrefix="0" xfId="0">
      <alignment horizontal="left" wrapText="1"/>
    </xf>
    <xf numFmtId="0" fontId="0" fillId="16" borderId="19" applyAlignment="1" pivotButton="0" quotePrefix="0" xfId="0">
      <alignment horizontal="left" vertical="top" wrapText="1"/>
    </xf>
    <xf numFmtId="0" fontId="0" fillId="16" borderId="21" applyAlignment="1" pivotButton="0" quotePrefix="0" xfId="0">
      <alignment horizontal="left" vertical="top" wrapText="1"/>
    </xf>
    <xf numFmtId="49" fontId="0" fillId="16" borderId="34" applyAlignment="1" pivotButton="0" quotePrefix="0" xfId="0">
      <alignment horizontal="left" wrapText="1"/>
    </xf>
    <xf numFmtId="49" fontId="0" fillId="16" borderId="36" applyAlignment="1" pivotButton="0" quotePrefix="0" xfId="0">
      <alignment horizontal="left" wrapText="1"/>
    </xf>
    <xf numFmtId="0" fontId="0" fillId="16" borderId="57" applyAlignment="1" pivotButton="0" quotePrefix="0" xfId="0">
      <alignment horizontal="left" wrapText="1"/>
    </xf>
    <xf numFmtId="0" fontId="0" fillId="16" borderId="34" applyAlignment="1" pivotButton="0" quotePrefix="0" xfId="0">
      <alignment horizontal="left" wrapText="1"/>
    </xf>
    <xf numFmtId="0" fontId="0" fillId="16" borderId="34" applyAlignment="1" pivotButton="0" quotePrefix="0" xfId="0">
      <alignment horizontal="left" vertical="top" wrapText="1"/>
    </xf>
    <xf numFmtId="0" fontId="0" fillId="16" borderId="36" applyAlignment="1" pivotButton="0" quotePrefix="0" xfId="0">
      <alignment horizontal="left" vertical="top" wrapText="1"/>
    </xf>
    <xf numFmtId="49" fontId="0" fillId="16" borderId="40" applyAlignment="1" pivotButton="0" quotePrefix="0" xfId="0">
      <alignment horizontal="left" wrapText="1"/>
    </xf>
    <xf numFmtId="49" fontId="0" fillId="16" borderId="41" applyAlignment="1" pivotButton="0" quotePrefix="0" xfId="0">
      <alignment horizontal="left" wrapText="1"/>
    </xf>
    <xf numFmtId="49" fontId="0" fillId="5" borderId="12" applyAlignment="1" pivotButton="0" quotePrefix="0" xfId="0">
      <alignment horizontal="left" wrapText="1"/>
    </xf>
    <xf numFmtId="49" fontId="0" fillId="5" borderId="14" applyAlignment="1" pivotButton="0" quotePrefix="0" xfId="0">
      <alignment horizontal="left" wrapText="1"/>
    </xf>
    <xf numFmtId="49" fontId="0" fillId="5" borderId="19" applyAlignment="1" pivotButton="0" quotePrefix="0" xfId="0">
      <alignment horizontal="left" wrapText="1"/>
    </xf>
    <xf numFmtId="49" fontId="0" fillId="5" borderId="21" applyAlignment="1" pivotButton="0" quotePrefix="0" xfId="0">
      <alignment horizontal="left" wrapText="1"/>
    </xf>
    <xf numFmtId="0" fontId="0" fillId="5" borderId="56" applyAlignment="1" pivotButton="0" quotePrefix="0" xfId="0">
      <alignment horizontal="left" wrapText="1"/>
    </xf>
    <xf numFmtId="0" fontId="0" fillId="5" borderId="19" applyAlignment="1" pivotButton="0" quotePrefix="0" xfId="0">
      <alignment horizontal="left" wrapText="1"/>
    </xf>
    <xf numFmtId="0" fontId="0" fillId="5" borderId="19" applyAlignment="1" pivotButton="0" quotePrefix="0" xfId="0">
      <alignment horizontal="left" vertical="top" wrapText="1"/>
    </xf>
    <xf numFmtId="0" fontId="0" fillId="5" borderId="21" applyAlignment="1" pivotButton="0" quotePrefix="0" xfId="0">
      <alignment horizontal="left" vertical="top" wrapText="1"/>
    </xf>
    <xf numFmtId="49" fontId="0" fillId="5" borderId="34" applyAlignment="1" pivotButton="0" quotePrefix="0" xfId="0">
      <alignment horizontal="left" wrapText="1"/>
    </xf>
    <xf numFmtId="49" fontId="0" fillId="5" borderId="36" applyAlignment="1" pivotButton="0" quotePrefix="0" xfId="0">
      <alignment horizontal="left" wrapText="1"/>
    </xf>
    <xf numFmtId="0" fontId="0" fillId="5" borderId="57" applyAlignment="1" pivotButton="0" quotePrefix="0" xfId="0">
      <alignment horizontal="left" wrapText="1"/>
    </xf>
    <xf numFmtId="0" fontId="0" fillId="5" borderId="34" applyAlignment="1" pivotButton="0" quotePrefix="0" xfId="0">
      <alignment horizontal="left" wrapText="1"/>
    </xf>
    <xf numFmtId="0" fontId="0" fillId="5" borderId="34" applyAlignment="1" pivotButton="0" quotePrefix="0" xfId="0">
      <alignment horizontal="left" vertical="top" wrapText="1"/>
    </xf>
    <xf numFmtId="0" fontId="0" fillId="5" borderId="36" applyAlignment="1" pivotButton="0" quotePrefix="0" xfId="0">
      <alignment horizontal="left" vertical="top" wrapText="1"/>
    </xf>
    <xf numFmtId="49" fontId="0" fillId="5" borderId="40" applyAlignment="1" pivotButton="0" quotePrefix="0" xfId="0">
      <alignment horizontal="left" wrapText="1"/>
    </xf>
    <xf numFmtId="49" fontId="0" fillId="5" borderId="41" applyAlignment="1" pivotButton="0" quotePrefix="0" xfId="0">
      <alignment horizontal="left" wrapText="1"/>
    </xf>
    <xf numFmtId="14" fontId="0" fillId="2" borderId="58" applyAlignment="1" pivotButton="0" quotePrefix="0" xfId="0">
      <alignment horizontal="left" vertical="top" wrapText="1"/>
    </xf>
    <xf numFmtId="14" fontId="0" fillId="2" borderId="59" applyAlignment="1" pivotButton="0" quotePrefix="0" xfId="0">
      <alignment horizontal="left" vertical="top" wrapText="1"/>
    </xf>
    <xf numFmtId="0" fontId="20" fillId="11" borderId="42" applyAlignment="1" pivotButton="0" quotePrefix="0" xfId="0">
      <alignment horizontal="center" wrapText="1"/>
    </xf>
    <xf numFmtId="49" fontId="0" fillId="11" borderId="42" applyAlignment="1" pivotButton="0" quotePrefix="0" xfId="0">
      <alignment horizontal="left" wrapText="1"/>
    </xf>
    <xf numFmtId="0" fontId="20" fillId="11" borderId="41" applyAlignment="1" pivotButton="0" quotePrefix="0" xfId="0">
      <alignment wrapText="1"/>
    </xf>
    <xf numFmtId="14" fontId="0" fillId="2" borderId="60" applyAlignment="1" pivotButton="0" quotePrefix="0" xfId="0">
      <alignment horizontal="left" vertical="top" wrapText="1"/>
    </xf>
    <xf numFmtId="49" fontId="12" fillId="3" borderId="54" applyAlignment="1" pivotButton="0" quotePrefix="0" xfId="0">
      <alignment horizontal="right" wrapText="1"/>
    </xf>
    <xf numFmtId="49" fontId="13" fillId="2" borderId="54" applyAlignment="1" pivotButton="0" quotePrefix="0" xfId="0">
      <alignment vertical="top" wrapText="1"/>
    </xf>
    <xf numFmtId="49" fontId="12" fillId="3" borderId="40" applyAlignment="1" pivotButton="0" quotePrefix="0" xfId="0">
      <alignment horizontal="right" wrapText="1"/>
    </xf>
    <xf numFmtId="0" fontId="13" fillId="2" borderId="16" applyAlignment="1" pivotButton="0" quotePrefix="0" xfId="0">
      <alignment vertical="top"/>
    </xf>
    <xf numFmtId="49" fontId="10" fillId="11" borderId="40" applyAlignment="1" pivotButton="0" quotePrefix="0" xfId="0">
      <alignment horizontal="center" wrapText="1"/>
    </xf>
    <xf numFmtId="49" fontId="10" fillId="11" borderId="42" applyAlignment="1" pivotButton="0" quotePrefix="0" xfId="0">
      <alignment horizontal="center" wrapText="1"/>
    </xf>
    <xf numFmtId="49" fontId="10" fillId="11" borderId="41" applyAlignment="1" pivotButton="0" quotePrefix="0" xfId="0">
      <alignment horizontal="center" wrapText="1"/>
    </xf>
    <xf numFmtId="49" fontId="12" fillId="11" borderId="40" applyAlignment="1" pivotButton="0" quotePrefix="0" xfId="0">
      <alignment horizontal="right" wrapText="1"/>
    </xf>
    <xf numFmtId="49" fontId="13" fillId="2" borderId="42" applyAlignment="1" pivotButton="0" quotePrefix="0" xfId="0">
      <alignment vertical="top" wrapText="1"/>
    </xf>
    <xf numFmtId="0" fontId="13" fillId="2" borderId="42" applyAlignment="1" pivotButton="0" quotePrefix="0" xfId="0">
      <alignment vertical="top" wrapText="1"/>
    </xf>
    <xf numFmtId="0" fontId="13" fillId="2" borderId="41" applyAlignment="1" pivotButton="0" quotePrefix="0" xfId="0">
      <alignment vertical="top" wrapText="1"/>
    </xf>
    <xf numFmtId="0" fontId="13" fillId="2" borderId="22" applyAlignment="1" pivotButton="0" quotePrefix="0" xfId="0">
      <alignment vertical="top" wrapText="1"/>
    </xf>
    <xf numFmtId="0" fontId="13" fillId="2" borderId="23" applyAlignment="1" pivotButton="0" quotePrefix="0" xfId="0">
      <alignment vertical="top" wrapText="1"/>
    </xf>
    <xf numFmtId="0" fontId="0" fillId="0" borderId="23" applyAlignment="1" pivotButton="0" quotePrefix="0" xfId="0">
      <alignment horizontal="left" vertical="top"/>
    </xf>
    <xf numFmtId="49" fontId="12" fillId="11" borderId="40" applyAlignment="1" pivotButton="0" quotePrefix="0" xfId="0">
      <alignment horizontal="center" wrapText="1"/>
    </xf>
    <xf numFmtId="49" fontId="12" fillId="11" borderId="42" applyAlignment="1" pivotButton="0" quotePrefix="0" xfId="0">
      <alignment horizontal="center" wrapText="1"/>
    </xf>
    <xf numFmtId="49" fontId="12" fillId="11" borderId="41" applyAlignment="1" pivotButton="0" quotePrefix="0" xfId="0">
      <alignment horizontal="center" wrapText="1"/>
    </xf>
    <xf numFmtId="0" fontId="0" fillId="0" borderId="12" applyAlignment="1" pivotButton="0" quotePrefix="0" xfId="0">
      <alignment horizontal="left" vertical="top"/>
    </xf>
    <xf numFmtId="0" fontId="0" fillId="0" borderId="13" applyAlignment="1" pivotButton="0" quotePrefix="0" xfId="0">
      <alignment horizontal="left" vertical="top"/>
    </xf>
    <xf numFmtId="0" fontId="0" fillId="0" borderId="14" applyAlignment="1" pivotButton="0" quotePrefix="0" xfId="0">
      <alignment horizontal="left" vertical="top"/>
    </xf>
    <xf numFmtId="0" fontId="0" fillId="0" borderId="19" applyAlignment="1" pivotButton="0" quotePrefix="0" xfId="0">
      <alignment horizontal="left" vertical="top"/>
    </xf>
    <xf numFmtId="0" fontId="0" fillId="0" borderId="20" applyAlignment="1" pivotButton="0" quotePrefix="0" xfId="0">
      <alignment horizontal="left" vertical="top"/>
    </xf>
    <xf numFmtId="0" fontId="0" fillId="0" borderId="21" applyAlignment="1" pivotButton="0" quotePrefix="0" xfId="0">
      <alignment horizontal="left" vertical="top"/>
    </xf>
    <xf numFmtId="0" fontId="0" fillId="0" borderId="34" applyAlignment="1" pivotButton="0" quotePrefix="0" xfId="0">
      <alignment horizontal="left" vertical="top"/>
    </xf>
    <xf numFmtId="0" fontId="0" fillId="0" borderId="35" applyAlignment="1" pivotButton="0" quotePrefix="0" xfId="0">
      <alignment horizontal="left" vertical="top"/>
    </xf>
    <xf numFmtId="0" fontId="0" fillId="0" borderId="36" applyAlignment="1" pivotButton="0" quotePrefix="0" xfId="0">
      <alignment horizontal="left" vertical="top"/>
    </xf>
    <xf numFmtId="49" fontId="13" fillId="0" borderId="41" applyAlignment="1" pivotButton="0" quotePrefix="0" xfId="0">
      <alignment vertical="top"/>
    </xf>
    <xf numFmtId="0" fontId="13" fillId="0" borderId="41" applyAlignment="1" pivotButton="0" quotePrefix="0" xfId="0">
      <alignment vertical="top"/>
    </xf>
    <xf numFmtId="0" fontId="13" fillId="0" borderId="15" applyAlignment="1" pivotButton="0" quotePrefix="0" xfId="0">
      <alignment vertical="top"/>
    </xf>
    <xf numFmtId="0" fontId="13" fillId="0" borderId="16" applyAlignment="1" pivotButton="0" quotePrefix="0" xfId="0">
      <alignment vertical="top"/>
    </xf>
    <xf numFmtId="0" fontId="0" fillId="0" borderId="15" applyAlignment="1" pivotButton="0" quotePrefix="0" xfId="0">
      <alignment horizontal="left" vertical="top"/>
    </xf>
    <xf numFmtId="0" fontId="13" fillId="0" borderId="19" applyAlignment="1" pivotButton="0" quotePrefix="0" xfId="0">
      <alignment horizontal="left" vertical="top"/>
    </xf>
    <xf numFmtId="0" fontId="13" fillId="0" borderId="20" applyAlignment="1" pivotButton="0" quotePrefix="0" xfId="0">
      <alignment horizontal="left" vertical="top"/>
    </xf>
    <xf numFmtId="0" fontId="13" fillId="0" borderId="34" applyAlignment="1" pivotButton="0" quotePrefix="0" xfId="0">
      <alignment horizontal="left" vertical="top"/>
    </xf>
    <xf numFmtId="0" fontId="13" fillId="0" borderId="35" applyAlignment="1" pivotButton="0" quotePrefix="0" xfId="0">
      <alignment horizontal="left" vertical="top"/>
    </xf>
    <xf numFmtId="0" fontId="13" fillId="0" borderId="12" applyAlignment="1" pivotButton="0" quotePrefix="0" xfId="0">
      <alignment horizontal="left" vertical="top"/>
    </xf>
    <xf numFmtId="0" fontId="13" fillId="0" borderId="13" applyAlignment="1" pivotButton="0" quotePrefix="0" xfId="0">
      <alignment horizontal="left" vertical="top"/>
    </xf>
    <xf numFmtId="49" fontId="13" fillId="2" borderId="41" applyAlignment="1" pivotButton="0" quotePrefix="0" xfId="0">
      <alignment vertical="top"/>
    </xf>
    <xf numFmtId="0" fontId="13" fillId="0" borderId="22" applyAlignment="1" pivotButton="0" quotePrefix="0" xfId="0">
      <alignment vertical="top"/>
    </xf>
    <xf numFmtId="0" fontId="13" fillId="0" borderId="23" applyAlignment="1" pivotButton="0" quotePrefix="0" xfId="0">
      <alignment vertical="top"/>
    </xf>
    <xf numFmtId="49" fontId="12" fillId="11" borderId="40" applyAlignment="1" pivotButton="0" quotePrefix="0" xfId="0">
      <alignment horizontal="left" wrapText="1"/>
    </xf>
    <xf numFmtId="0" fontId="13" fillId="2" borderId="13" applyAlignment="1" pivotButton="0" quotePrefix="0" xfId="0">
      <alignment horizontal="center" vertical="top"/>
    </xf>
    <xf numFmtId="0" fontId="13" fillId="2" borderId="13" applyAlignment="1" pivotButton="0" quotePrefix="0" xfId="0">
      <alignment horizontal="left" vertical="top" wrapText="1"/>
    </xf>
    <xf numFmtId="0" fontId="0" fillId="0" borderId="9" applyAlignment="1" pivotButton="0" quotePrefix="0" xfId="0">
      <alignment horizontal="left" vertical="top"/>
    </xf>
    <xf numFmtId="0" fontId="13" fillId="0" borderId="9" applyAlignment="1" pivotButton="0" quotePrefix="0" xfId="0">
      <alignment horizontal="left" vertical="top"/>
    </xf>
    <xf numFmtId="0" fontId="13" fillId="0" borderId="16" applyAlignment="1" pivotButton="0" quotePrefix="0" xfId="0">
      <alignment horizontal="left" vertical="top"/>
    </xf>
    <xf numFmtId="49" fontId="12" fillId="11" borderId="12" applyAlignment="1" pivotButton="0" quotePrefix="0" xfId="0">
      <alignment horizontal="center" wrapText="1"/>
    </xf>
    <xf numFmtId="49" fontId="12" fillId="11" borderId="13" applyAlignment="1" pivotButton="0" quotePrefix="0" xfId="0">
      <alignment horizontal="center" wrapText="1"/>
    </xf>
    <xf numFmtId="49" fontId="12" fillId="11" borderId="14" applyAlignment="1" pivotButton="0" quotePrefix="0" xfId="0">
      <alignment horizontal="center" wrapText="1"/>
    </xf>
    <xf numFmtId="49" fontId="14" fillId="10" borderId="40" pivotButton="0" quotePrefix="0" xfId="0"/>
    <xf numFmtId="0" fontId="0" fillId="2" borderId="41" applyAlignment="1" pivotButton="0" quotePrefix="0" xfId="0">
      <alignment horizontal="left"/>
    </xf>
    <xf numFmtId="0" fontId="0" fillId="2" borderId="15" applyAlignment="1" pivotButton="0" quotePrefix="0" xfId="0">
      <alignment horizontal="left"/>
    </xf>
    <xf numFmtId="49" fontId="14" fillId="3" borderId="34" applyAlignment="1" pivotButton="0" quotePrefix="0" xfId="0">
      <alignment horizontal="center" wrapText="1"/>
    </xf>
    <xf numFmtId="49" fontId="14" fillId="3" borderId="35" applyAlignment="1" pivotButton="0" quotePrefix="0" xfId="0">
      <alignment horizontal="center" wrapText="1"/>
    </xf>
    <xf numFmtId="49" fontId="14" fillId="3" borderId="36" applyAlignment="1" pivotButton="0" quotePrefix="0" xfId="0">
      <alignment horizontal="center" wrapText="1"/>
    </xf>
    <xf numFmtId="0" fontId="14" fillId="2" borderId="15" applyAlignment="1" pivotButton="0" quotePrefix="0" xfId="0">
      <alignment wrapText="1"/>
    </xf>
    <xf numFmtId="0" fontId="0" fillId="2" borderId="12" applyAlignment="1" pivotButton="0" quotePrefix="0" xfId="0">
      <alignment horizontal="left" wrapText="1"/>
    </xf>
    <xf numFmtId="0" fontId="0" fillId="2" borderId="13" applyAlignment="1" pivotButton="0" quotePrefix="0" xfId="0">
      <alignment horizontal="left" wrapText="1"/>
    </xf>
    <xf numFmtId="0" fontId="0" fillId="2" borderId="19" applyAlignment="1" pivotButton="0" quotePrefix="0" xfId="0">
      <alignment horizontal="left" wrapText="1"/>
    </xf>
    <xf numFmtId="0" fontId="0" fillId="2" borderId="21" applyAlignment="1" pivotButton="0" quotePrefix="0" xfId="0">
      <alignment horizontal="left" wrapText="1"/>
    </xf>
    <xf numFmtId="0" fontId="0" fillId="2" borderId="20" applyAlignment="1" pivotButton="0" quotePrefix="0" xfId="0">
      <alignment horizontal="left" wrapText="1"/>
    </xf>
    <xf numFmtId="0" fontId="0" fillId="2" borderId="34" applyAlignment="1" pivotButton="0" quotePrefix="0" xfId="0">
      <alignment horizontal="left" wrapText="1"/>
    </xf>
    <xf numFmtId="0" fontId="0" fillId="2" borderId="36" applyAlignment="1" pivotButton="0" quotePrefix="0" xfId="0">
      <alignment horizontal="left" wrapText="1"/>
    </xf>
    <xf numFmtId="0" fontId="0" fillId="2" borderId="35" applyAlignment="1" pivotButton="0" quotePrefix="0" xfId="0">
      <alignment horizontal="left" wrapText="1"/>
    </xf>
    <xf numFmtId="49" fontId="13" fillId="2" borderId="41" applyAlignment="1" pivotButton="0" quotePrefix="0" xfId="0">
      <alignment vertical="top" wrapText="1"/>
    </xf>
    <xf numFmtId="49" fontId="20" fillId="0" borderId="15" applyAlignment="1" pivotButton="0" quotePrefix="0" xfId="0">
      <alignment horizontal="left" vertical="top"/>
    </xf>
    <xf numFmtId="49" fontId="12" fillId="11" borderId="40" applyAlignment="1" pivotButton="0" quotePrefix="0" xfId="0">
      <alignment horizontal="center" vertical="center" wrapText="1"/>
    </xf>
    <xf numFmtId="0" fontId="13" fillId="2" borderId="41" applyAlignment="1" pivotButton="0" quotePrefix="0" xfId="0">
      <alignment vertical="top"/>
    </xf>
    <xf numFmtId="0" fontId="13" fillId="2" borderId="22" applyAlignment="1" pivotButton="0" quotePrefix="0" xfId="0">
      <alignment vertical="top"/>
    </xf>
    <xf numFmtId="0" fontId="13" fillId="2" borderId="23" applyAlignment="1" pivotButton="0" quotePrefix="0" xfId="0">
      <alignment vertical="top"/>
    </xf>
    <xf numFmtId="49" fontId="12" fillId="11" borderId="40" applyAlignment="1" pivotButton="0" quotePrefix="0" xfId="0">
      <alignment horizontal="center" vertical="center"/>
    </xf>
    <xf numFmtId="49" fontId="12" fillId="11" borderId="42" applyAlignment="1" pivotButton="0" quotePrefix="0" xfId="0">
      <alignment horizontal="center" vertical="center"/>
    </xf>
    <xf numFmtId="49" fontId="12" fillId="11" borderId="42" applyAlignment="1" pivotButton="0" quotePrefix="0" xfId="0">
      <alignment horizontal="center" vertical="center" wrapText="1"/>
    </xf>
    <xf numFmtId="49" fontId="12" fillId="11" borderId="41" applyAlignment="1" pivotButton="0" quotePrefix="0" xfId="0">
      <alignment horizontal="center" vertical="center" wrapText="1"/>
    </xf>
    <xf numFmtId="49" fontId="20" fillId="0" borderId="16" applyAlignment="1" pivotButton="0" quotePrefix="0" xfId="0">
      <alignment horizontal="left" vertical="top"/>
    </xf>
    <xf numFmtId="0" fontId="27" fillId="0" borderId="16" applyAlignment="1" pivotButton="0" quotePrefix="0" xfId="0">
      <alignment horizontal="left" vertical="top"/>
    </xf>
    <xf numFmtId="49" fontId="13" fillId="2" borderId="41" pivotButton="0" quotePrefix="0" xfId="0"/>
    <xf numFmtId="0" fontId="20" fillId="2" borderId="23" applyAlignment="1" pivotButton="0" quotePrefix="0" xfId="0">
      <alignment horizontal="center"/>
    </xf>
    <xf numFmtId="0" fontId="0" fillId="2" borderId="23" applyAlignment="1" pivotButton="0" quotePrefix="0" xfId="0">
      <alignment horizontal="left"/>
    </xf>
    <xf numFmtId="0" fontId="0" fillId="2" borderId="16" applyAlignment="1" pivotButton="0" quotePrefix="0" xfId="0">
      <alignment horizontal="left"/>
    </xf>
    <xf numFmtId="49" fontId="20" fillId="11" borderId="41" applyAlignment="1" pivotButton="0" quotePrefix="0" xfId="0">
      <alignment horizontal="center" wrapText="1"/>
    </xf>
    <xf numFmtId="49" fontId="20" fillId="11" borderId="54" applyAlignment="1" pivotButton="0" quotePrefix="0" xfId="0">
      <alignment horizontal="center" wrapText="1"/>
    </xf>
    <xf numFmtId="0" fontId="20" fillId="11" borderId="68" applyAlignment="1" pivotButton="0" quotePrefix="0" xfId="0">
      <alignment horizontal="center" wrapText="1"/>
    </xf>
    <xf numFmtId="49" fontId="20" fillId="3" borderId="40" applyAlignment="1" pivotButton="0" quotePrefix="0" xfId="0">
      <alignment horizontal="center" wrapText="1"/>
    </xf>
    <xf numFmtId="49" fontId="20" fillId="3" borderId="42" applyAlignment="1" pivotButton="0" quotePrefix="0" xfId="0">
      <alignment horizontal="center" wrapText="1"/>
    </xf>
    <xf numFmtId="49" fontId="20" fillId="3" borderId="41" applyAlignment="1" pivotButton="0" quotePrefix="0" xfId="0">
      <alignment horizontal="center" wrapText="1"/>
    </xf>
    <xf numFmtId="49" fontId="20" fillId="3" borderId="54" applyAlignment="1" pivotButton="0" quotePrefix="0" xfId="0">
      <alignment horizontal="center" wrapText="1"/>
    </xf>
    <xf numFmtId="49" fontId="20" fillId="11" borderId="69" applyAlignment="1" pivotButton="0" quotePrefix="0" xfId="0">
      <alignment horizontal="center" wrapText="1"/>
    </xf>
    <xf numFmtId="0" fontId="0" fillId="2" borderId="15" applyAlignment="1" pivotButton="0" quotePrefix="0" xfId="0">
      <alignment horizontal="left" wrapText="1"/>
    </xf>
    <xf numFmtId="0" fontId="20" fillId="2" borderId="21" applyAlignment="1" pivotButton="0" quotePrefix="0" xfId="0">
      <alignment horizontal="left" wrapText="1"/>
    </xf>
    <xf numFmtId="0" fontId="0" fillId="2" borderId="12" applyAlignment="1" pivotButton="0" quotePrefix="0" xfId="0">
      <alignment horizontal="left"/>
    </xf>
    <xf numFmtId="0" fontId="0" fillId="2" borderId="13" applyAlignment="1" pivotButton="0" quotePrefix="0" xfId="0">
      <alignment horizontal="left"/>
    </xf>
    <xf numFmtId="0" fontId="0" fillId="2" borderId="14" applyAlignment="1" pivotButton="0" quotePrefix="0" xfId="0">
      <alignment horizontal="left"/>
    </xf>
    <xf numFmtId="0" fontId="0" fillId="2" borderId="12" applyAlignment="1" pivotButton="0" quotePrefix="0" xfId="0">
      <alignment horizontal="left" vertical="top"/>
    </xf>
    <xf numFmtId="0" fontId="0" fillId="2" borderId="19" applyAlignment="1" pivotButton="0" quotePrefix="0" xfId="0">
      <alignment horizontal="left"/>
    </xf>
    <xf numFmtId="0" fontId="0" fillId="2" borderId="20" applyAlignment="1" pivotButton="0" quotePrefix="0" xfId="0">
      <alignment horizontal="left"/>
    </xf>
    <xf numFmtId="0" fontId="0" fillId="2" borderId="21" applyAlignment="1" pivotButton="0" quotePrefix="0" xfId="0">
      <alignment horizontal="left"/>
    </xf>
    <xf numFmtId="0" fontId="0" fillId="2" borderId="19" applyAlignment="1" pivotButton="0" quotePrefix="0" xfId="0">
      <alignment horizontal="left" vertical="top"/>
    </xf>
    <xf numFmtId="0" fontId="20" fillId="2" borderId="19" applyAlignment="1" pivotButton="0" quotePrefix="0" xfId="0">
      <alignment horizontal="left" wrapText="1"/>
    </xf>
    <xf numFmtId="0" fontId="0" fillId="2" borderId="34" applyAlignment="1" pivotButton="0" quotePrefix="0" xfId="0">
      <alignment horizontal="left"/>
    </xf>
    <xf numFmtId="0" fontId="0" fillId="2" borderId="35" applyAlignment="1" pivotButton="0" quotePrefix="0" xfId="0">
      <alignment horizontal="left"/>
    </xf>
    <xf numFmtId="0" fontId="0" fillId="2" borderId="36" applyAlignment="1" pivotButton="0" quotePrefix="0" xfId="0">
      <alignment horizontal="left"/>
    </xf>
    <xf numFmtId="0" fontId="0" fillId="2" borderId="34" applyAlignment="1" pivotButton="0" quotePrefix="0" xfId="0">
      <alignment horizontal="left" vertical="top"/>
    </xf>
    <xf numFmtId="49" fontId="14" fillId="11" borderId="42" applyAlignment="1" pivotButton="0" quotePrefix="0" xfId="0">
      <alignment horizontal="center"/>
    </xf>
    <xf numFmtId="49" fontId="0" fillId="2" borderId="12" applyAlignment="1" pivotButton="0" quotePrefix="0" xfId="0">
      <alignment horizontal="left"/>
    </xf>
    <xf numFmtId="49" fontId="0" fillId="2" borderId="19" applyAlignment="1" pivotButton="0" quotePrefix="0" xfId="0">
      <alignment horizontal="left"/>
    </xf>
    <xf numFmtId="49" fontId="0" fillId="2" borderId="34" applyAlignment="1" pivotButton="0" quotePrefix="0" xfId="0">
      <alignment horizontal="left"/>
    </xf>
    <xf numFmtId="49" fontId="0" fillId="2" borderId="70" applyAlignment="1" pivotButton="0" quotePrefix="0" xfId="0">
      <alignment horizontal="left"/>
    </xf>
    <xf numFmtId="0" fontId="0" fillId="2" borderId="71" applyAlignment="1" pivotButton="0" quotePrefix="0" xfId="0">
      <alignment horizontal="left"/>
    </xf>
    <xf numFmtId="0" fontId="0" fillId="2" borderId="9" applyAlignment="1" pivotButton="0" quotePrefix="0" xfId="0">
      <alignment horizontal="left"/>
    </xf>
    <xf numFmtId="0" fontId="13" fillId="2" borderId="41" pivotButton="0" quotePrefix="0" xfId="0"/>
    <xf numFmtId="0" fontId="13" fillId="2" borderId="22" pivotButton="0" quotePrefix="0" xfId="0"/>
    <xf numFmtId="0" fontId="13" fillId="2" borderId="23" pivotButton="0" quotePrefix="0" xfId="0"/>
    <xf numFmtId="0" fontId="10" fillId="2" borderId="40" applyAlignment="1" pivotButton="0" quotePrefix="0" xfId="0">
      <alignment horizontal="left" wrapText="1"/>
    </xf>
    <xf numFmtId="49" fontId="10" fillId="11" borderId="41" applyAlignment="1" pivotButton="0" quotePrefix="0" xfId="0">
      <alignment horizontal="center" vertical="top" wrapText="1"/>
    </xf>
    <xf numFmtId="0" fontId="28" fillId="2" borderId="54" applyAlignment="1" pivotButton="0" quotePrefix="0" xfId="0">
      <alignment horizontal="left" wrapText="1"/>
    </xf>
    <xf numFmtId="49" fontId="28" fillId="2" borderId="12" applyAlignment="1" pivotButton="0" quotePrefix="0" xfId="0">
      <alignment horizontal="center" vertical="top" wrapText="1"/>
    </xf>
    <xf numFmtId="49" fontId="28" fillId="2" borderId="13" applyAlignment="1" pivotButton="0" quotePrefix="0" xfId="0">
      <alignment horizontal="center" vertical="top" wrapText="1"/>
    </xf>
    <xf numFmtId="49" fontId="28" fillId="2" borderId="13" applyAlignment="1" pivotButton="0" quotePrefix="0" xfId="0">
      <alignment horizontal="left" vertical="top" wrapText="1"/>
    </xf>
    <xf numFmtId="0" fontId="28" fillId="2" borderId="13" applyAlignment="1" pivotButton="0" quotePrefix="0" xfId="0">
      <alignment horizontal="center" vertical="top" wrapText="1"/>
    </xf>
    <xf numFmtId="0" fontId="28" fillId="2" borderId="13" applyAlignment="1" pivotButton="0" quotePrefix="0" xfId="0">
      <alignment horizontal="left" vertical="top" wrapText="1"/>
    </xf>
    <xf numFmtId="0" fontId="28" fillId="2" borderId="14" applyAlignment="1" pivotButton="0" quotePrefix="0" xfId="0">
      <alignment horizontal="left" vertical="top" wrapText="1"/>
    </xf>
    <xf numFmtId="49" fontId="28" fillId="2" borderId="19" applyAlignment="1" pivotButton="0" quotePrefix="0" xfId="0">
      <alignment horizontal="center" vertical="top" wrapText="1"/>
    </xf>
    <xf numFmtId="49" fontId="28" fillId="2" borderId="20" applyAlignment="1" pivotButton="0" quotePrefix="0" xfId="0">
      <alignment horizontal="center" vertical="top" wrapText="1"/>
    </xf>
    <xf numFmtId="49" fontId="28" fillId="2" borderId="20" applyAlignment="1" pivotButton="0" quotePrefix="0" xfId="0">
      <alignment horizontal="left" vertical="top" wrapText="1"/>
    </xf>
    <xf numFmtId="0" fontId="28" fillId="2" borderId="20" applyAlignment="1" pivotButton="0" quotePrefix="0" xfId="0">
      <alignment horizontal="center" vertical="top" wrapText="1"/>
    </xf>
    <xf numFmtId="0" fontId="28" fillId="2" borderId="20" applyAlignment="1" pivotButton="0" quotePrefix="0" xfId="0">
      <alignment horizontal="left" vertical="top" wrapText="1"/>
    </xf>
    <xf numFmtId="0" fontId="28" fillId="2" borderId="21" applyAlignment="1" pivotButton="0" quotePrefix="0" xfId="0">
      <alignment horizontal="left" vertical="top" wrapText="1"/>
    </xf>
    <xf numFmtId="49" fontId="28" fillId="2" borderId="20" applyAlignment="1" pivotButton="0" quotePrefix="0" xfId="0">
      <alignment horizontal="left" vertical="center" wrapText="1"/>
    </xf>
    <xf numFmtId="49" fontId="28" fillId="2" borderId="34" applyAlignment="1" pivotButton="0" quotePrefix="0" xfId="0">
      <alignment horizontal="center" vertical="top" wrapText="1"/>
    </xf>
    <xf numFmtId="49" fontId="28" fillId="2" borderId="35" applyAlignment="1" pivotButton="0" quotePrefix="0" xfId="0">
      <alignment horizontal="center" vertical="top" wrapText="1"/>
    </xf>
    <xf numFmtId="49" fontId="28" fillId="2" borderId="35" applyAlignment="1" pivotButton="0" quotePrefix="0" xfId="0">
      <alignment horizontal="left" vertical="top" wrapText="1"/>
    </xf>
    <xf numFmtId="0" fontId="28" fillId="2" borderId="35" applyAlignment="1" pivotButton="0" quotePrefix="0" xfId="0">
      <alignment horizontal="center" vertical="top" wrapText="1"/>
    </xf>
    <xf numFmtId="0" fontId="28" fillId="2" borderId="35" applyAlignment="1" pivotButton="0" quotePrefix="0" xfId="0">
      <alignment horizontal="left" vertical="top" wrapText="1"/>
    </xf>
    <xf numFmtId="0" fontId="28" fillId="2" borderId="36" applyAlignment="1" pivotButton="0" quotePrefix="0" xfId="0">
      <alignment horizontal="left" vertical="top" wrapText="1"/>
    </xf>
    <xf numFmtId="49" fontId="14" fillId="11" borderId="40" applyAlignment="1" pivotButton="0" quotePrefix="0" xfId="0">
      <alignment wrapText="1"/>
    </xf>
    <xf numFmtId="49" fontId="14" fillId="11" borderId="42" applyAlignment="1" pivotButton="0" quotePrefix="0" xfId="0">
      <alignment wrapText="1"/>
    </xf>
    <xf numFmtId="49" fontId="14" fillId="11" borderId="41" applyAlignment="1" pivotButton="0" quotePrefix="0" xfId="0">
      <alignment wrapText="1"/>
    </xf>
    <xf numFmtId="49" fontId="0" fillId="6" borderId="13" applyAlignment="1" pivotButton="0" quotePrefix="0" xfId="0">
      <alignment horizontal="left" wrapText="1"/>
    </xf>
    <xf numFmtId="49" fontId="0" fillId="6" borderId="20" applyAlignment="1" pivotButton="0" quotePrefix="0" xfId="0">
      <alignment horizontal="left" wrapText="1"/>
    </xf>
    <xf numFmtId="49" fontId="0" fillId="6" borderId="35" applyAlignment="1" pivotButton="0" quotePrefix="0" xfId="0">
      <alignment horizontal="left" wrapText="1"/>
    </xf>
    <xf numFmtId="49" fontId="0" fillId="4" borderId="13" applyAlignment="1" pivotButton="0" quotePrefix="0" xfId="0">
      <alignment horizontal="left" wrapText="1"/>
    </xf>
    <xf numFmtId="49" fontId="0" fillId="4" borderId="20" applyAlignment="1" pivotButton="0" quotePrefix="0" xfId="0">
      <alignment horizontal="left" wrapText="1"/>
    </xf>
    <xf numFmtId="49" fontId="0" fillId="4" borderId="35" applyAlignment="1" pivotButton="0" quotePrefix="0" xfId="0">
      <alignment horizontal="left" wrapText="1"/>
    </xf>
    <xf numFmtId="49" fontId="0" fillId="15" borderId="13" applyAlignment="1" pivotButton="0" quotePrefix="0" xfId="0">
      <alignment horizontal="left" wrapText="1"/>
    </xf>
    <xf numFmtId="49" fontId="0" fillId="15" borderId="20" applyAlignment="1" pivotButton="0" quotePrefix="0" xfId="0">
      <alignment horizontal="left" wrapText="1"/>
    </xf>
    <xf numFmtId="49" fontId="0" fillId="15" borderId="35" applyAlignment="1" pivotButton="0" quotePrefix="0" xfId="0">
      <alignment horizontal="left" wrapText="1"/>
    </xf>
    <xf numFmtId="49" fontId="0" fillId="16" borderId="13" applyAlignment="1" pivotButton="0" quotePrefix="0" xfId="0">
      <alignment horizontal="left" wrapText="1"/>
    </xf>
    <xf numFmtId="49" fontId="0" fillId="16" borderId="20" applyAlignment="1" pivotButton="0" quotePrefix="0" xfId="0">
      <alignment horizontal="left" wrapText="1"/>
    </xf>
    <xf numFmtId="49" fontId="0" fillId="16" borderId="35" applyAlignment="1" pivotButton="0" quotePrefix="0" xfId="0">
      <alignment horizontal="left" wrapText="1"/>
    </xf>
    <xf numFmtId="49" fontId="0" fillId="5" borderId="13" applyAlignment="1" pivotButton="0" quotePrefix="0" xfId="0">
      <alignment horizontal="left" wrapText="1"/>
    </xf>
    <xf numFmtId="49" fontId="0" fillId="5" borderId="20" applyAlignment="1" pivotButton="0" quotePrefix="0" xfId="0">
      <alignment horizontal="left" wrapText="1"/>
    </xf>
    <xf numFmtId="49" fontId="0" fillId="5" borderId="35" applyAlignment="1" pivotButton="0" quotePrefix="0" xfId="0">
      <alignment horizontal="left" wrapText="1"/>
    </xf>
    <xf numFmtId="49" fontId="10" fillId="11" borderId="40" applyAlignment="1" pivotButton="0" quotePrefix="0" xfId="0">
      <alignment horizontal="center" vertical="top" wrapText="1"/>
    </xf>
    <xf numFmtId="49" fontId="13" fillId="2" borderId="14" applyAlignment="1" pivotButton="0" quotePrefix="0" xfId="0">
      <alignment horizontal="left" vertical="center" wrapText="1"/>
    </xf>
    <xf numFmtId="49" fontId="13" fillId="2" borderId="21" applyAlignment="1" pivotButton="0" quotePrefix="0" xfId="0">
      <alignment horizontal="left" vertical="center" wrapText="1"/>
    </xf>
    <xf numFmtId="49" fontId="13" fillId="2" borderId="36" applyAlignment="1" pivotButton="0" quotePrefix="0" xfId="0">
      <alignment horizontal="left" vertical="center" wrapText="1"/>
    </xf>
    <xf numFmtId="49" fontId="13" fillId="2" borderId="40" applyAlignment="1" pivotButton="0" quotePrefix="0" xfId="0">
      <alignment horizontal="left" vertical="top" wrapText="1"/>
    </xf>
    <xf numFmtId="49" fontId="13" fillId="2" borderId="41" applyAlignment="1" pivotButton="0" quotePrefix="0" xfId="0">
      <alignment horizontal="left" vertical="center" wrapText="1"/>
    </xf>
    <xf numFmtId="0" fontId="8" fillId="2" borderId="72" applyAlignment="1" pivotButton="0" quotePrefix="0" xfId="0">
      <alignment horizontal="center" vertical="top"/>
    </xf>
    <xf numFmtId="0" fontId="0" fillId="0" borderId="73" applyAlignment="1" pivotButton="0" quotePrefix="0" xfId="0">
      <alignment horizontal="left" vertical="top"/>
    </xf>
    <xf numFmtId="0" fontId="0" fillId="0" borderId="39" applyAlignment="1" pivotButton="0" quotePrefix="0" xfId="0">
      <alignment horizontal="left" vertical="top"/>
    </xf>
    <xf numFmtId="0" fontId="10" fillId="2" borderId="74" applyAlignment="1" pivotButton="0" quotePrefix="0" xfId="0">
      <alignment horizontal="center" wrapText="1"/>
    </xf>
    <xf numFmtId="0" fontId="28" fillId="0" borderId="75" applyAlignment="1" pivotButton="0" quotePrefix="0" xfId="0">
      <alignment horizontal="left" vertical="top"/>
    </xf>
    <xf numFmtId="0" fontId="28" fillId="2" borderId="40" applyAlignment="1" pivotButton="0" quotePrefix="0" xfId="0">
      <alignment horizontal="left"/>
    </xf>
    <xf numFmtId="0" fontId="28" fillId="2" borderId="42" applyAlignment="1" pivotButton="0" quotePrefix="0" xfId="0">
      <alignment horizontal="left"/>
    </xf>
    <xf numFmtId="0" fontId="28" fillId="3" borderId="42" applyAlignment="1" pivotButton="0" quotePrefix="0" xfId="0">
      <alignment horizontal="left" wrapText="1"/>
    </xf>
    <xf numFmtId="0" fontId="28" fillId="3" borderId="41" applyAlignment="1" pivotButton="0" quotePrefix="0" xfId="0">
      <alignment horizontal="left"/>
    </xf>
    <xf numFmtId="14" fontId="28" fillId="2" borderId="18" applyAlignment="1" pivotButton="0" quotePrefix="0" xfId="0">
      <alignment horizontal="left"/>
    </xf>
    <xf numFmtId="49" fontId="28" fillId="3" borderId="12" applyAlignment="1" pivotButton="0" quotePrefix="0" xfId="0">
      <alignment horizontal="left" vertical="top" wrapText="1"/>
    </xf>
    <xf numFmtId="49" fontId="28" fillId="3" borderId="13" applyAlignment="1" pivotButton="0" quotePrefix="0" xfId="0">
      <alignment horizontal="left" vertical="top" wrapText="1"/>
    </xf>
    <xf numFmtId="1" fontId="28" fillId="3" borderId="13" applyAlignment="1" pivotButton="0" quotePrefix="0" xfId="0">
      <alignment horizontal="center" vertical="top"/>
    </xf>
    <xf numFmtId="0" fontId="28" fillId="3" borderId="13" applyAlignment="1" pivotButton="0" quotePrefix="0" xfId="0">
      <alignment horizontal="left" vertical="center" wrapText="1"/>
    </xf>
    <xf numFmtId="0" fontId="28" fillId="2" borderId="13" applyAlignment="1" pivotButton="0" quotePrefix="0" xfId="0">
      <alignment horizontal="left" vertical="center" wrapText="1"/>
    </xf>
    <xf numFmtId="49" fontId="28" fillId="2" borderId="13" applyAlignment="1" pivotButton="0" quotePrefix="0" xfId="0">
      <alignment vertical="center" wrapText="1"/>
    </xf>
    <xf numFmtId="14" fontId="28" fillId="2" borderId="13" applyAlignment="1" pivotButton="0" quotePrefix="0" xfId="0">
      <alignment vertical="center" wrapText="1"/>
    </xf>
    <xf numFmtId="0" fontId="28" fillId="3" borderId="14" applyAlignment="1" pivotButton="0" quotePrefix="0" xfId="0">
      <alignment vertical="center" wrapText="1"/>
    </xf>
    <xf numFmtId="49" fontId="10" fillId="11" borderId="12" applyAlignment="1" pivotButton="0" quotePrefix="0" xfId="0">
      <alignment horizontal="center" wrapText="1"/>
    </xf>
    <xf numFmtId="49" fontId="10" fillId="11" borderId="13" applyAlignment="1" pivotButton="0" quotePrefix="0" xfId="0">
      <alignment horizontal="center" wrapText="1"/>
    </xf>
    <xf numFmtId="0" fontId="0" fillId="0" borderId="71" applyAlignment="1" pivotButton="0" quotePrefix="0" xfId="0">
      <alignment horizontal="left" vertical="top"/>
    </xf>
    <xf numFmtId="0" fontId="0" fillId="0" borderId="76" applyAlignment="1" pivotButton="0" quotePrefix="0" xfId="0">
      <alignment horizontal="left" vertical="top"/>
    </xf>
    <xf numFmtId="0" fontId="0" fillId="2" borderId="77" applyAlignment="1" pivotButton="0" quotePrefix="0" xfId="0">
      <alignment horizontal="left" vertical="top"/>
    </xf>
    <xf numFmtId="49" fontId="28" fillId="3" borderId="19" applyAlignment="1" pivotButton="0" quotePrefix="0" xfId="0">
      <alignment horizontal="left" vertical="top" wrapText="1"/>
    </xf>
    <xf numFmtId="49" fontId="28" fillId="3" borderId="20" applyAlignment="1" pivotButton="0" quotePrefix="0" xfId="0">
      <alignment horizontal="left" vertical="top" wrapText="1"/>
    </xf>
    <xf numFmtId="1" fontId="28" fillId="3" borderId="20" applyAlignment="1" pivotButton="0" quotePrefix="0" xfId="0">
      <alignment horizontal="center" vertical="top"/>
    </xf>
    <xf numFmtId="0" fontId="28" fillId="3" borderId="20" applyAlignment="1" pivotButton="0" quotePrefix="0" xfId="0">
      <alignment horizontal="left" vertical="center" wrapText="1"/>
    </xf>
    <xf numFmtId="0" fontId="28" fillId="2" borderId="20" applyAlignment="1" pivotButton="0" quotePrefix="0" xfId="0">
      <alignment horizontal="left" vertical="center" wrapText="1"/>
    </xf>
    <xf numFmtId="49" fontId="28" fillId="2" borderId="20" applyAlignment="1" pivotButton="0" quotePrefix="0" xfId="0">
      <alignment vertical="center" wrapText="1"/>
    </xf>
    <xf numFmtId="15" fontId="28" fillId="2" borderId="20" applyAlignment="1" pivotButton="0" quotePrefix="0" xfId="0">
      <alignment vertical="center" wrapText="1"/>
    </xf>
    <xf numFmtId="0" fontId="28" fillId="3" borderId="21" applyAlignment="1" pivotButton="0" quotePrefix="0" xfId="0">
      <alignment vertical="center" wrapText="1"/>
    </xf>
    <xf numFmtId="0" fontId="0" fillId="0" borderId="78" applyAlignment="1" pivotButton="0" quotePrefix="0" xfId="0">
      <alignment horizontal="left" vertical="top"/>
    </xf>
    <xf numFmtId="0" fontId="0" fillId="0" borderId="79" applyAlignment="1" pivotButton="0" quotePrefix="0" xfId="0">
      <alignment horizontal="left" vertical="top"/>
    </xf>
    <xf numFmtId="0" fontId="0" fillId="0" borderId="80" applyAlignment="1" pivotButton="0" quotePrefix="0" xfId="0">
      <alignment horizontal="left" vertical="top"/>
    </xf>
    <xf numFmtId="0" fontId="28" fillId="2" borderId="20" applyAlignment="1" pivotButton="0" quotePrefix="0" xfId="0">
      <alignment vertical="center" wrapText="1"/>
    </xf>
    <xf numFmtId="0" fontId="28" fillId="3" borderId="20" applyAlignment="1" pivotButton="0" quotePrefix="0" xfId="0">
      <alignment horizontal="left" wrapText="1"/>
    </xf>
    <xf numFmtId="0" fontId="28" fillId="2" borderId="20" applyAlignment="1" pivotButton="0" quotePrefix="0" xfId="0">
      <alignment horizontal="left" wrapText="1"/>
    </xf>
    <xf numFmtId="0" fontId="28" fillId="2" borderId="20" applyAlignment="1" pivotButton="0" quotePrefix="0" xfId="0">
      <alignment wrapText="1"/>
    </xf>
    <xf numFmtId="0" fontId="28" fillId="0" borderId="20" applyAlignment="1" pivotButton="0" quotePrefix="0" xfId="0">
      <alignment horizontal="left" vertical="top"/>
    </xf>
    <xf numFmtId="165" fontId="28" fillId="3" borderId="19" applyAlignment="1" pivotButton="0" quotePrefix="0" xfId="0">
      <alignment horizontal="left" vertical="top"/>
    </xf>
    <xf numFmtId="0" fontId="7" fillId="2" borderId="16" applyAlignment="1" pivotButton="0" quotePrefix="0" xfId="0">
      <alignment vertical="top" wrapText="1"/>
    </xf>
    <xf numFmtId="0" fontId="7" fillId="2" borderId="79" applyAlignment="1" pivotButton="0" quotePrefix="0" xfId="0">
      <alignment vertical="top" wrapText="1"/>
    </xf>
    <xf numFmtId="0" fontId="7" fillId="2" borderId="77" applyAlignment="1" pivotButton="0" quotePrefix="0" xfId="0">
      <alignment vertical="top" wrapText="1"/>
    </xf>
    <xf numFmtId="0" fontId="28" fillId="0" borderId="16" applyAlignment="1" pivotButton="0" quotePrefix="0" xfId="0">
      <alignment horizontal="left" vertical="top"/>
    </xf>
    <xf numFmtId="0" fontId="28" fillId="0" borderId="79" applyAlignment="1" pivotButton="0" quotePrefix="0" xfId="0">
      <alignment horizontal="left" vertical="top"/>
    </xf>
    <xf numFmtId="0" fontId="28" fillId="2" borderId="77" applyAlignment="1" pivotButton="0" quotePrefix="0" xfId="0">
      <alignment horizontal="left" vertical="top"/>
    </xf>
    <xf numFmtId="49" fontId="28" fillId="3" borderId="34" applyAlignment="1" pivotButton="0" quotePrefix="0" xfId="0">
      <alignment horizontal="left" vertical="top" wrapText="1"/>
    </xf>
    <xf numFmtId="49" fontId="28" fillId="3" borderId="35" applyAlignment="1" pivotButton="0" quotePrefix="0" xfId="0">
      <alignment horizontal="left" vertical="top" wrapText="1"/>
    </xf>
    <xf numFmtId="1" fontId="28" fillId="3" borderId="35" applyAlignment="1" pivotButton="0" quotePrefix="0" xfId="0">
      <alignment horizontal="center" vertical="top"/>
    </xf>
    <xf numFmtId="0" fontId="28" fillId="3" borderId="35" applyAlignment="1" pivotButton="0" quotePrefix="0" xfId="0">
      <alignment horizontal="left" vertical="center" wrapText="1"/>
    </xf>
    <xf numFmtId="0" fontId="28" fillId="2" borderId="35" applyAlignment="1" pivotButton="0" quotePrefix="0" xfId="0">
      <alignment horizontal="left" vertical="center" wrapText="1"/>
    </xf>
    <xf numFmtId="49" fontId="28" fillId="2" borderId="35" applyAlignment="1" pivotButton="0" quotePrefix="0" xfId="0">
      <alignment vertical="center" wrapText="1"/>
    </xf>
    <xf numFmtId="0" fontId="28" fillId="0" borderId="35" applyAlignment="1" pivotButton="0" quotePrefix="0" xfId="0">
      <alignment horizontal="left" vertical="top"/>
    </xf>
    <xf numFmtId="0" fontId="28" fillId="3" borderId="36" applyAlignment="1" pivotButton="0" quotePrefix="0" xfId="0">
      <alignment vertical="center" wrapText="1"/>
    </xf>
    <xf numFmtId="0" fontId="28" fillId="3" borderId="13" applyAlignment="1" pivotButton="0" quotePrefix="0" xfId="0">
      <alignment horizontal="left" vertical="top" wrapText="1"/>
    </xf>
    <xf numFmtId="0" fontId="28" fillId="0" borderId="13" applyAlignment="1" pivotButton="0" quotePrefix="0" xfId="0">
      <alignment horizontal="left" vertical="top"/>
    </xf>
    <xf numFmtId="0" fontId="28" fillId="3" borderId="20" applyAlignment="1" pivotButton="0" quotePrefix="0" xfId="0">
      <alignment horizontal="left" vertical="top" wrapText="1"/>
    </xf>
    <xf numFmtId="0" fontId="28" fillId="3" borderId="35" applyAlignment="1" pivotButton="0" quotePrefix="0" xfId="0">
      <alignment horizontal="left" wrapText="1"/>
    </xf>
    <xf numFmtId="0" fontId="28" fillId="2" borderId="35" applyAlignment="1" pivotButton="0" quotePrefix="0" xfId="0">
      <alignment horizontal="left" wrapText="1"/>
    </xf>
    <xf numFmtId="49" fontId="28" fillId="3" borderId="20" applyAlignment="1" pivotButton="0" quotePrefix="0" xfId="0">
      <alignment horizontal="center" vertical="top" wrapText="1"/>
    </xf>
    <xf numFmtId="165" fontId="28" fillId="3" borderId="34" applyAlignment="1" pivotButton="0" quotePrefix="0" xfId="0">
      <alignment horizontal="left" vertical="top"/>
    </xf>
    <xf numFmtId="0" fontId="28" fillId="3" borderId="35" applyAlignment="1" pivotButton="0" quotePrefix="0" xfId="0">
      <alignment horizontal="left" vertical="top" wrapText="1"/>
    </xf>
    <xf numFmtId="49" fontId="28" fillId="3" borderId="35" applyAlignment="1" pivotButton="0" quotePrefix="0" xfId="0">
      <alignment horizontal="center" vertical="top" wrapText="1"/>
    </xf>
    <xf numFmtId="0" fontId="28" fillId="2" borderId="35" applyAlignment="1" pivotButton="0" quotePrefix="0" xfId="0">
      <alignment wrapText="1"/>
    </xf>
    <xf numFmtId="0" fontId="28" fillId="2" borderId="13" applyAlignment="1" pivotButton="0" quotePrefix="0" xfId="0">
      <alignment vertical="center" wrapText="1"/>
    </xf>
    <xf numFmtId="0" fontId="28" fillId="2" borderId="20" applyAlignment="1" pivotButton="0" quotePrefix="0" xfId="0">
      <alignment vertical="top" wrapText="1"/>
    </xf>
    <xf numFmtId="0" fontId="28" fillId="2" borderId="35" applyAlignment="1" pivotButton="0" quotePrefix="0" xfId="0">
      <alignment vertical="center" wrapText="1"/>
    </xf>
    <xf numFmtId="0" fontId="28" fillId="2" borderId="81" applyAlignment="1" pivotButton="0" quotePrefix="0" xfId="0">
      <alignment horizontal="left" vertical="top"/>
    </xf>
    <xf numFmtId="0" fontId="28" fillId="0" borderId="82" applyAlignment="1" pivotButton="0" quotePrefix="0" xfId="0">
      <alignment horizontal="left" vertical="top"/>
    </xf>
    <xf numFmtId="49" fontId="0" fillId="2" borderId="55" applyAlignment="1" pivotButton="0" quotePrefix="0" xfId="0">
      <alignment horizontal="left" vertical="top"/>
    </xf>
    <xf numFmtId="0" fontId="0" fillId="2" borderId="39" applyAlignment="1" pivotButton="0" quotePrefix="0" xfId="0">
      <alignment horizontal="left" vertical="top"/>
    </xf>
    <xf numFmtId="0" fontId="0" fillId="2" borderId="23" applyAlignment="1" pivotButton="0" quotePrefix="0" xfId="0">
      <alignment horizontal="left" vertical="top"/>
    </xf>
    <xf numFmtId="49" fontId="0" fillId="2" borderId="56" applyAlignment="1" pivotButton="0" quotePrefix="0" xfId="0">
      <alignment horizontal="left" vertical="top"/>
    </xf>
    <xf numFmtId="49" fontId="14" fillId="10" borderId="54" applyAlignment="1" pivotButton="0" quotePrefix="0" xfId="0">
      <alignment horizontal="center" wrapText="1"/>
    </xf>
    <xf numFmtId="0" fontId="20" fillId="2" borderId="15" applyAlignment="1" pivotButton="0" quotePrefix="0" xfId="0">
      <alignment horizontal="left" vertical="top"/>
    </xf>
    <xf numFmtId="0" fontId="20" fillId="2" borderId="16" applyAlignment="1" pivotButton="0" quotePrefix="0" xfId="0">
      <alignment horizontal="left" vertical="top"/>
    </xf>
    <xf numFmtId="0" fontId="20" fillId="2" borderId="17" applyAlignment="1" pivotButton="0" quotePrefix="0" xfId="0">
      <alignment horizontal="left" vertical="top"/>
    </xf>
    <xf numFmtId="49" fontId="20" fillId="2" borderId="40" applyAlignment="1" pivotButton="0" quotePrefix="0" xfId="0">
      <alignment horizontal="left" vertical="top" wrapText="1"/>
    </xf>
    <xf numFmtId="2" fontId="20" fillId="6" borderId="12" applyAlignment="1" pivotButton="0" quotePrefix="0" xfId="0">
      <alignment horizontal="center" vertical="center" wrapText="1"/>
    </xf>
    <xf numFmtId="49" fontId="20" fillId="2" borderId="13" applyAlignment="1" pivotButton="0" quotePrefix="0" xfId="0">
      <alignment horizontal="center" vertical="top" wrapText="1"/>
    </xf>
    <xf numFmtId="1" fontId="20" fillId="2" borderId="13" applyAlignment="1" pivotButton="0" quotePrefix="0" xfId="0">
      <alignment horizontal="center" vertical="top"/>
    </xf>
    <xf numFmtId="49" fontId="20" fillId="2" borderId="13" applyAlignment="1" pivotButton="0" quotePrefix="0" xfId="0">
      <alignment horizontal="left" vertical="top"/>
    </xf>
    <xf numFmtId="49" fontId="20" fillId="2" borderId="14" applyAlignment="1" pivotButton="0" quotePrefix="0" xfId="0">
      <alignment horizontal="left" vertical="top"/>
    </xf>
    <xf numFmtId="49" fontId="20" fillId="2" borderId="12" applyAlignment="1" pivotButton="0" quotePrefix="0" xfId="0">
      <alignment horizontal="left" vertical="top"/>
    </xf>
    <xf numFmtId="2" fontId="20" fillId="6" borderId="19" applyAlignment="1" pivotButton="0" quotePrefix="0" xfId="0">
      <alignment horizontal="center" vertical="center" wrapText="1"/>
    </xf>
    <xf numFmtId="49" fontId="20" fillId="2" borderId="20" applyAlignment="1" pivotButton="0" quotePrefix="0" xfId="0">
      <alignment horizontal="center" vertical="top" wrapText="1"/>
    </xf>
    <xf numFmtId="1" fontId="20" fillId="2" borderId="20" applyAlignment="1" pivotButton="0" quotePrefix="0" xfId="0">
      <alignment horizontal="center" vertical="top"/>
    </xf>
    <xf numFmtId="49" fontId="20" fillId="2" borderId="20" applyAlignment="1" pivotButton="0" quotePrefix="0" xfId="0">
      <alignment horizontal="left" vertical="top"/>
    </xf>
    <xf numFmtId="49" fontId="20" fillId="2" borderId="21" applyAlignment="1" pivotButton="0" quotePrefix="0" xfId="0">
      <alignment horizontal="left" vertical="top"/>
    </xf>
    <xf numFmtId="49" fontId="20" fillId="2" borderId="19" applyAlignment="1" pivotButton="0" quotePrefix="0" xfId="0">
      <alignment horizontal="left" vertical="top"/>
    </xf>
    <xf numFmtId="49" fontId="0" fillId="2" borderId="57" applyAlignment="1" pivotButton="0" quotePrefix="0" xfId="0">
      <alignment horizontal="left" vertical="top"/>
    </xf>
    <xf numFmtId="2" fontId="20" fillId="5" borderId="19" applyAlignment="1" pivotButton="0" quotePrefix="0" xfId="0">
      <alignment horizontal="center" vertical="center" wrapText="1"/>
    </xf>
    <xf numFmtId="0" fontId="0" fillId="2" borderId="17" applyAlignment="1" pivotButton="0" quotePrefix="0" xfId="0">
      <alignment horizontal="left" vertical="top"/>
    </xf>
    <xf numFmtId="2" fontId="20" fillId="15" borderId="19" applyAlignment="1" pivotButton="0" quotePrefix="0" xfId="0">
      <alignment horizontal="center" vertical="center" wrapText="1"/>
    </xf>
    <xf numFmtId="2" fontId="20" fillId="4" borderId="19" applyAlignment="1" pivotButton="0" quotePrefix="0" xfId="0">
      <alignment horizontal="center" vertical="center" wrapText="1"/>
    </xf>
    <xf numFmtId="49" fontId="20" fillId="2" borderId="20" applyAlignment="1" pivotButton="0" quotePrefix="0" xfId="0">
      <alignment horizontal="center"/>
    </xf>
    <xf numFmtId="49" fontId="20" fillId="2" borderId="20" applyAlignment="1" pivotButton="0" quotePrefix="0" xfId="0">
      <alignment horizontal="center" vertical="top"/>
    </xf>
    <xf numFmtId="49" fontId="20" fillId="2" borderId="34" applyAlignment="1" pivotButton="0" quotePrefix="0" xfId="0">
      <alignment horizontal="left" vertical="top"/>
    </xf>
    <xf numFmtId="49" fontId="20" fillId="2" borderId="35" applyAlignment="1" pivotButton="0" quotePrefix="0" xfId="0">
      <alignment horizontal="left" vertical="top"/>
    </xf>
    <xf numFmtId="49" fontId="20" fillId="2" borderId="36" applyAlignment="1" pivotButton="0" quotePrefix="0" xfId="0">
      <alignment horizontal="left" vertical="top"/>
    </xf>
    <xf numFmtId="0" fontId="20" fillId="2" borderId="9" applyAlignment="1" pivotButton="0" quotePrefix="0" xfId="0">
      <alignment horizontal="left" vertical="top"/>
    </xf>
    <xf numFmtId="49" fontId="20" fillId="2" borderId="16" pivotButton="0" quotePrefix="0" xfId="0"/>
    <xf numFmtId="2" fontId="20" fillId="16" borderId="19" applyAlignment="1" pivotButton="0" quotePrefix="0" xfId="0">
      <alignment horizontal="center" vertical="center" wrapText="1"/>
    </xf>
    <xf numFmtId="49" fontId="0" fillId="2" borderId="16" applyAlignment="1" pivotButton="0" quotePrefix="0" xfId="0">
      <alignment horizontal="left" vertical="top"/>
    </xf>
    <xf numFmtId="49" fontId="0" fillId="2" borderId="16" applyAlignment="1" pivotButton="0" quotePrefix="0" xfId="0">
      <alignment horizontal="left" vertical="top" wrapText="1"/>
    </xf>
    <xf numFmtId="0" fontId="20" fillId="2" borderId="17" pivotButton="0" quotePrefix="0" xfId="0"/>
    <xf numFmtId="0" fontId="20" fillId="2" borderId="16" pivotButton="0" quotePrefix="0" xfId="0"/>
    <xf numFmtId="0" fontId="20" fillId="2" borderId="9" pivotButton="0" quotePrefix="0" xfId="0"/>
    <xf numFmtId="0" fontId="20" fillId="2" borderId="20" applyAlignment="1" pivotButton="0" quotePrefix="0" xfId="0">
      <alignment horizontal="center"/>
    </xf>
    <xf numFmtId="2" fontId="20" fillId="16" borderId="34" applyAlignment="1" pivotButton="0" quotePrefix="0" xfId="0">
      <alignment horizontal="center" vertical="center" wrapText="1"/>
    </xf>
    <xf numFmtId="49" fontId="20" fillId="2" borderId="35" applyAlignment="1" pivotButton="0" quotePrefix="0" xfId="0">
      <alignment horizontal="center" vertical="top" wrapText="1"/>
    </xf>
    <xf numFmtId="1" fontId="20" fillId="2" borderId="35" applyAlignment="1" pivotButton="0" quotePrefix="0" xfId="0">
      <alignment horizontal="center" vertical="top"/>
    </xf>
    <xf numFmtId="0" fontId="20" fillId="2" borderId="76" applyAlignment="1" pivotButton="0" quotePrefix="0" xfId="0">
      <alignment horizontal="left" vertical="top"/>
    </xf>
    <xf numFmtId="1" fontId="20" fillId="2" borderId="84" applyAlignment="1" pivotButton="0" quotePrefix="0" xfId="0">
      <alignment horizontal="center" vertical="top"/>
    </xf>
    <xf numFmtId="0" fontId="20" fillId="2" borderId="85" applyAlignment="1" pivotButton="0" quotePrefix="0" xfId="0">
      <alignment horizontal="left" vertical="top"/>
    </xf>
    <xf numFmtId="0" fontId="0" fillId="2" borderId="86" applyAlignment="1" pivotButton="0" quotePrefix="0" xfId="0">
      <alignment horizontal="left" vertical="top"/>
    </xf>
    <xf numFmtId="49" fontId="0" fillId="0" borderId="16" applyAlignment="1" pivotButton="0" quotePrefix="0" xfId="0">
      <alignment horizontal="left" vertical="top"/>
    </xf>
    <xf numFmtId="15" fontId="0" fillId="0" borderId="16" applyAlignment="1" pivotButton="0" quotePrefix="0" xfId="0">
      <alignment horizontal="left" vertical="top"/>
    </xf>
    <xf numFmtId="0" fontId="32" fillId="0" borderId="89" applyAlignment="1" pivotButton="0" quotePrefix="0" xfId="0">
      <alignment horizontal="left" vertical="top" wrapText="1"/>
    </xf>
    <xf numFmtId="0" fontId="32" fillId="0" borderId="87" applyAlignment="1" pivotButton="0" quotePrefix="0" xfId="0">
      <alignment horizontal="left" vertical="top" wrapText="1"/>
    </xf>
    <xf numFmtId="0" fontId="32" fillId="0" borderId="88" applyAlignment="1" pivotButton="0" quotePrefix="0" xfId="0">
      <alignment horizontal="left" vertical="top" wrapText="1"/>
    </xf>
    <xf numFmtId="0" fontId="33" fillId="2" borderId="21" applyAlignment="1" pivotButton="0" quotePrefix="0" xfId="1">
      <alignment horizontal="left" vertical="top" wrapText="1"/>
    </xf>
    <xf numFmtId="0" fontId="34" fillId="2" borderId="15" applyAlignment="1" pivotButton="0" quotePrefix="0" xfId="0">
      <alignment horizontal="left" vertical="top" wrapText="1"/>
    </xf>
    <xf numFmtId="0" fontId="35" fillId="0" borderId="0" applyAlignment="1" pivotButton="0" quotePrefix="0" xfId="0">
      <alignment horizontal="left" vertical="top"/>
    </xf>
    <xf numFmtId="0" fontId="36" fillId="18" borderId="0" applyAlignment="1" pivotButton="0" quotePrefix="0" xfId="0">
      <alignment horizontal="left" vertical="top" wrapText="1"/>
    </xf>
    <xf numFmtId="49" fontId="12" fillId="3" borderId="45" applyAlignment="1" pivotButton="0" quotePrefix="0" xfId="0">
      <alignment horizontal="right" vertical="top"/>
    </xf>
    <xf numFmtId="49" fontId="12" fillId="3" borderId="47" applyAlignment="1" pivotButton="0" quotePrefix="0" xfId="0">
      <alignment horizontal="right" vertical="top"/>
    </xf>
    <xf numFmtId="49" fontId="12" fillId="3" borderId="49" applyAlignment="1" pivotButton="0" quotePrefix="0" xfId="0">
      <alignment horizontal="right" vertical="top"/>
    </xf>
    <xf numFmtId="0" fontId="0" fillId="0" borderId="93" applyAlignment="1" pivotButton="0" quotePrefix="0" xfId="0">
      <alignment horizontal="left" vertical="top"/>
    </xf>
    <xf numFmtId="49" fontId="12" fillId="11" borderId="11" applyAlignment="1" pivotButton="0" quotePrefix="0" xfId="0">
      <alignment horizontal="left" wrapText="1"/>
    </xf>
    <xf numFmtId="0" fontId="37" fillId="0" borderId="90" applyAlignment="1" pivotButton="0" quotePrefix="0" xfId="0">
      <alignment horizontal="left" vertical="top"/>
    </xf>
    <xf numFmtId="0" fontId="38" fillId="18" borderId="90" applyAlignment="1" pivotButton="0" quotePrefix="0" xfId="0">
      <alignment horizontal="left" vertical="top" wrapText="1"/>
    </xf>
    <xf numFmtId="0" fontId="40" fillId="0" borderId="90" applyAlignment="1" pivotButton="0" quotePrefix="0" xfId="0">
      <alignment horizontal="left" vertical="top"/>
    </xf>
    <xf numFmtId="0" fontId="0" fillId="0" borderId="16" applyAlignment="1" pivotButton="0" quotePrefix="0" xfId="0">
      <alignment horizontal="left" vertical="top" wrapText="1"/>
    </xf>
    <xf numFmtId="49" fontId="0" fillId="6" borderId="94" applyAlignment="1" pivotButton="0" quotePrefix="0" xfId="0">
      <alignment horizontal="left" wrapText="1"/>
    </xf>
    <xf numFmtId="49" fontId="0" fillId="6" borderId="95" applyAlignment="1" pivotButton="0" quotePrefix="0" xfId="0">
      <alignment horizontal="left" wrapText="1"/>
    </xf>
    <xf numFmtId="49" fontId="0" fillId="2" borderId="96" applyAlignment="1" pivotButton="0" quotePrefix="0" xfId="0">
      <alignment horizontal="left" wrapText="1"/>
    </xf>
    <xf numFmtId="49" fontId="0" fillId="2" borderId="97" applyAlignment="1" pivotButton="0" quotePrefix="0" xfId="0">
      <alignment horizontal="left" wrapText="1"/>
    </xf>
    <xf numFmtId="49" fontId="0" fillId="2" borderId="98" applyAlignment="1" pivotButton="0" quotePrefix="0" xfId="0">
      <alignment horizontal="left" wrapText="1"/>
    </xf>
    <xf numFmtId="49" fontId="0" fillId="2" borderId="95" applyAlignment="1" pivotButton="0" quotePrefix="0" xfId="0">
      <alignment horizontal="left" wrapText="1"/>
    </xf>
    <xf numFmtId="0" fontId="0" fillId="2" borderId="96" applyAlignment="1" pivotButton="0" quotePrefix="0" xfId="0">
      <alignment horizontal="left" wrapText="1"/>
    </xf>
    <xf numFmtId="0" fontId="0" fillId="6" borderId="97" applyAlignment="1" pivotButton="0" quotePrefix="0" xfId="0">
      <alignment horizontal="left" vertical="top" wrapText="1"/>
    </xf>
    <xf numFmtId="14" fontId="0" fillId="2" borderId="98" applyAlignment="1" pivotButton="0" quotePrefix="0" xfId="0">
      <alignment horizontal="left" vertical="top" wrapText="1"/>
    </xf>
    <xf numFmtId="0" fontId="20" fillId="3" borderId="99" applyAlignment="1" pivotButton="0" quotePrefix="0" xfId="0">
      <alignment vertical="center" wrapText="1"/>
    </xf>
    <xf numFmtId="49" fontId="0" fillId="6" borderId="100" applyAlignment="1" pivotButton="0" quotePrefix="0" xfId="0">
      <alignment horizontal="left" wrapText="1"/>
    </xf>
    <xf numFmtId="0" fontId="0" fillId="6" borderId="101" applyAlignment="1" pivotButton="0" quotePrefix="0" xfId="0">
      <alignment horizontal="left" vertical="top" wrapText="1"/>
    </xf>
    <xf numFmtId="49" fontId="0" fillId="6" borderId="102" applyAlignment="1" pivotButton="0" quotePrefix="0" xfId="0">
      <alignment horizontal="left" wrapText="1"/>
    </xf>
    <xf numFmtId="49" fontId="0" fillId="6" borderId="103" applyAlignment="1" pivotButton="0" quotePrefix="0" xfId="0">
      <alignment horizontal="left" wrapText="1"/>
    </xf>
    <xf numFmtId="49" fontId="0" fillId="2" borderId="104" applyAlignment="1" pivotButton="0" quotePrefix="0" xfId="0">
      <alignment horizontal="left" wrapText="1"/>
    </xf>
    <xf numFmtId="49" fontId="0" fillId="2" borderId="105" applyAlignment="1" pivotButton="0" quotePrefix="0" xfId="0">
      <alignment horizontal="left" wrapText="1"/>
    </xf>
    <xf numFmtId="49" fontId="0" fillId="2" borderId="106" applyAlignment="1" pivotButton="0" quotePrefix="0" xfId="0">
      <alignment horizontal="left" wrapText="1"/>
    </xf>
    <xf numFmtId="49" fontId="0" fillId="2" borderId="103" applyAlignment="1" pivotButton="0" quotePrefix="0" xfId="0">
      <alignment horizontal="left" wrapText="1"/>
    </xf>
    <xf numFmtId="0" fontId="0" fillId="6" borderId="104" applyAlignment="1" pivotButton="0" quotePrefix="0" xfId="0">
      <alignment horizontal="left" wrapText="1"/>
    </xf>
    <xf numFmtId="0" fontId="0" fillId="6" borderId="105" applyAlignment="1" pivotButton="0" quotePrefix="0" xfId="0">
      <alignment horizontal="left" wrapText="1"/>
    </xf>
    <xf numFmtId="14" fontId="0" fillId="2" borderId="106" applyAlignment="1" pivotButton="0" quotePrefix="0" xfId="0">
      <alignment horizontal="left" vertical="top" wrapText="1"/>
    </xf>
    <xf numFmtId="0" fontId="0" fillId="6" borderId="107" applyAlignment="1" pivotButton="0" quotePrefix="0" xfId="0">
      <alignment horizontal="left" vertical="top" wrapText="1"/>
    </xf>
    <xf numFmtId="0" fontId="0" fillId="0" borderId="93" applyAlignment="1" pivotButton="0" quotePrefix="0" xfId="0">
      <alignment horizontal="left" vertical="top"/>
    </xf>
    <xf numFmtId="49" fontId="0" fillId="6" borderId="108" applyAlignment="1" pivotButton="0" quotePrefix="0" xfId="0">
      <alignment horizontal="left" wrapText="1"/>
    </xf>
    <xf numFmtId="49" fontId="0" fillId="6" borderId="109" applyAlignment="1" pivotButton="0" quotePrefix="0" xfId="0">
      <alignment horizontal="left" wrapText="1"/>
    </xf>
    <xf numFmtId="49" fontId="0" fillId="2" borderId="110" applyAlignment="1" pivotButton="0" quotePrefix="0" xfId="0">
      <alignment horizontal="left" wrapText="1"/>
    </xf>
    <xf numFmtId="49" fontId="0" fillId="2" borderId="108" applyAlignment="1" pivotButton="0" quotePrefix="0" xfId="0">
      <alignment horizontal="left" wrapText="1"/>
    </xf>
    <xf numFmtId="49" fontId="0" fillId="2" borderId="111" applyAlignment="1" pivotButton="0" quotePrefix="0" xfId="0">
      <alignment horizontal="left" wrapText="1"/>
    </xf>
    <xf numFmtId="49" fontId="0" fillId="2" borderId="109" applyAlignment="1" pivotButton="0" quotePrefix="0" xfId="0">
      <alignment horizontal="left" wrapText="1"/>
    </xf>
    <xf numFmtId="0" fontId="0" fillId="6" borderId="110" applyAlignment="1" pivotButton="0" quotePrefix="0" xfId="0">
      <alignment horizontal="left" wrapText="1"/>
    </xf>
    <xf numFmtId="0" fontId="0" fillId="6" borderId="108" applyAlignment="1" pivotButton="0" quotePrefix="0" xfId="0">
      <alignment horizontal="left" wrapText="1"/>
    </xf>
    <xf numFmtId="0" fontId="0" fillId="6" borderId="108" applyAlignment="1" pivotButton="0" quotePrefix="0" xfId="0">
      <alignment horizontal="left" vertical="top" wrapText="1"/>
    </xf>
    <xf numFmtId="0" fontId="0" fillId="0" borderId="112" applyAlignment="1" pivotButton="0" quotePrefix="0" xfId="0">
      <alignment horizontal="left" vertical="top"/>
    </xf>
    <xf numFmtId="49" fontId="20" fillId="2" borderId="108" applyAlignment="1" pivotButton="0" quotePrefix="0" xfId="0">
      <alignment vertical="center" wrapText="1"/>
    </xf>
    <xf numFmtId="14" fontId="0" fillId="2" borderId="111" applyAlignment="1" pivotButton="0" quotePrefix="0" xfId="0">
      <alignment horizontal="left" vertical="top" wrapText="1"/>
    </xf>
    <xf numFmtId="0" fontId="0" fillId="6" borderId="109" applyAlignment="1" pivotButton="0" quotePrefix="0" xfId="0">
      <alignment horizontal="left" vertical="top" wrapText="1"/>
    </xf>
    <xf numFmtId="49" fontId="0" fillId="6" borderId="113" applyAlignment="1" pivotButton="0" quotePrefix="0" xfId="0">
      <alignment horizontal="left" wrapText="1"/>
    </xf>
    <xf numFmtId="49" fontId="0" fillId="6" borderId="114" applyAlignment="1" pivotButton="0" quotePrefix="0" xfId="0">
      <alignment horizontal="left" wrapText="1"/>
    </xf>
    <xf numFmtId="49" fontId="0" fillId="2" borderId="115" applyAlignment="1" pivotButton="0" quotePrefix="0" xfId="0">
      <alignment horizontal="left" wrapText="1"/>
    </xf>
    <xf numFmtId="49" fontId="0" fillId="2" borderId="113" applyAlignment="1" pivotButton="0" quotePrefix="0" xfId="0">
      <alignment horizontal="left" wrapText="1"/>
    </xf>
    <xf numFmtId="49" fontId="0" fillId="2" borderId="116" applyAlignment="1" pivotButton="0" quotePrefix="0" xfId="0">
      <alignment horizontal="left" wrapText="1"/>
    </xf>
    <xf numFmtId="49" fontId="0" fillId="2" borderId="114" applyAlignment="1" pivotButton="0" quotePrefix="0" xfId="0">
      <alignment horizontal="left" wrapText="1"/>
    </xf>
    <xf numFmtId="0" fontId="0" fillId="2" borderId="115" applyAlignment="1" pivotButton="0" quotePrefix="0" xfId="0">
      <alignment horizontal="left" wrapText="1"/>
    </xf>
    <xf numFmtId="49" fontId="0" fillId="3" borderId="113" applyAlignment="1" pivotButton="0" quotePrefix="0" xfId="0">
      <alignment horizontal="left" vertical="center" wrapText="1"/>
    </xf>
    <xf numFmtId="14" fontId="20" fillId="2" borderId="116" applyAlignment="1" pivotButton="0" quotePrefix="0" xfId="0">
      <alignment wrapText="1"/>
    </xf>
    <xf numFmtId="0" fontId="20" fillId="3" borderId="114" applyAlignment="1" pivotButton="0" quotePrefix="0" xfId="0">
      <alignment vertical="center" wrapText="1"/>
    </xf>
    <xf numFmtId="49" fontId="44" fillId="2" borderId="95" applyAlignment="1" pivotButton="0" quotePrefix="0" xfId="0">
      <alignment horizontal="left" wrapText="1"/>
    </xf>
    <xf numFmtId="0" fontId="44" fillId="0" borderId="16" applyAlignment="1" pivotButton="0" quotePrefix="0" xfId="0">
      <alignment horizontal="left" vertical="top" wrapText="1"/>
    </xf>
    <xf numFmtId="49" fontId="44" fillId="2" borderId="14" applyAlignment="1" pivotButton="0" quotePrefix="0" xfId="0">
      <alignment horizontal="left" wrapText="1"/>
    </xf>
    <xf numFmtId="0" fontId="32" fillId="19" borderId="88" applyAlignment="1" pivotButton="0" quotePrefix="0" xfId="0">
      <alignment horizontal="left" vertical="top" wrapText="1"/>
    </xf>
    <xf numFmtId="0" fontId="0" fillId="0" borderId="0" pivotButton="0" quotePrefix="0" xfId="0"/>
    <xf numFmtId="0" fontId="0" fillId="0" borderId="117" applyAlignment="1" pivotButton="0" quotePrefix="0" xfId="0">
      <alignment wrapText="1"/>
    </xf>
    <xf numFmtId="0" fontId="0" fillId="2" borderId="117" applyAlignment="1" pivotButton="0" quotePrefix="0" xfId="0">
      <alignment horizontal="left" vertical="top" wrapText="1"/>
    </xf>
    <xf numFmtId="0" fontId="0" fillId="2" borderId="24" applyAlignment="1" pivotButton="0" quotePrefix="0" xfId="0">
      <alignment horizontal="left" vertical="top" wrapText="1"/>
    </xf>
    <xf numFmtId="0" fontId="13" fillId="2" borderId="43" applyAlignment="1" pivotButton="0" quotePrefix="0" xfId="0">
      <alignment vertical="top" wrapText="1"/>
    </xf>
    <xf numFmtId="0" fontId="0" fillId="0" borderId="0" applyAlignment="1" pivotButton="0" quotePrefix="0" xfId="0">
      <alignment horizontal="left" vertical="top" wrapText="1"/>
    </xf>
    <xf numFmtId="0" fontId="44" fillId="2" borderId="117" applyAlignment="1" pivotButton="0" quotePrefix="0" xfId="0">
      <alignment horizontal="left" vertical="top" wrapText="1"/>
    </xf>
    <xf numFmtId="49" fontId="42" fillId="3" borderId="117" applyAlignment="1" pivotButton="0" quotePrefix="0" xfId="0">
      <alignment vertical="top" wrapText="1"/>
    </xf>
    <xf numFmtId="0" fontId="0" fillId="2" borderId="93" applyAlignment="1" pivotButton="0" quotePrefix="0" xfId="0">
      <alignment horizontal="left" vertical="top"/>
    </xf>
    <xf numFmtId="49" fontId="10" fillId="11" borderId="11" applyAlignment="1" pivotButton="0" quotePrefix="0" xfId="0">
      <alignment horizontal="center" wrapText="1"/>
    </xf>
    <xf numFmtId="49" fontId="10" fillId="11" borderId="63" applyAlignment="1" pivotButton="0" quotePrefix="0" xfId="0">
      <alignment horizontal="center" wrapText="1"/>
    </xf>
    <xf numFmtId="49" fontId="10" fillId="11" borderId="68" applyAlignment="1" pivotButton="0" quotePrefix="0" xfId="0">
      <alignment horizontal="center" wrapText="1"/>
    </xf>
    <xf numFmtId="49" fontId="10" fillId="11" borderId="118" applyAlignment="1" pivotButton="0" quotePrefix="0" xfId="0">
      <alignment horizontal="center" wrapText="1"/>
    </xf>
    <xf numFmtId="0" fontId="41" fillId="2" borderId="117" applyAlignment="1" pivotButton="0" quotePrefix="0" xfId="0">
      <alignment horizontal="left" vertical="top" wrapText="1"/>
    </xf>
    <xf numFmtId="0" fontId="0" fillId="2" borderId="119" applyAlignment="1" pivotButton="0" quotePrefix="0" xfId="0">
      <alignment horizontal="left" vertical="top" wrapText="1"/>
    </xf>
    <xf numFmtId="0" fontId="0" fillId="2" borderId="120" applyAlignment="1" pivotButton="0" quotePrefix="0" xfId="0">
      <alignment horizontal="left" vertical="top" wrapText="1"/>
    </xf>
    <xf numFmtId="0" fontId="0" fillId="2" borderId="121" applyAlignment="1" pivotButton="0" quotePrefix="0" xfId="0">
      <alignment horizontal="left" vertical="top" wrapText="1"/>
    </xf>
    <xf numFmtId="0" fontId="0" fillId="2" borderId="122" applyAlignment="1" pivotButton="0" quotePrefix="0" xfId="0">
      <alignment horizontal="left" vertical="top" wrapText="1"/>
    </xf>
    <xf numFmtId="0" fontId="0" fillId="2" borderId="123" applyAlignment="1" pivotButton="0" quotePrefix="0" xfId="0">
      <alignment horizontal="left" vertical="top" wrapText="1"/>
    </xf>
    <xf numFmtId="0" fontId="44" fillId="2" borderId="123" applyAlignment="1" pivotButton="0" quotePrefix="0" xfId="0">
      <alignment horizontal="left" vertical="top" wrapText="1"/>
    </xf>
    <xf numFmtId="0" fontId="0" fillId="2" borderId="124" applyAlignment="1" pivotButton="0" quotePrefix="0" xfId="0">
      <alignment horizontal="left" vertical="top" wrapText="1"/>
    </xf>
    <xf numFmtId="0" fontId="0" fillId="0" borderId="125" applyAlignment="1" pivotButton="0" quotePrefix="0" xfId="0">
      <alignment wrapText="1"/>
    </xf>
    <xf numFmtId="0" fontId="0" fillId="2" borderId="125" applyAlignment="1" pivotButton="0" quotePrefix="0" xfId="0">
      <alignment horizontal="left" vertical="top" wrapText="1"/>
    </xf>
    <xf numFmtId="0" fontId="44" fillId="2" borderId="125" applyAlignment="1" pivotButton="0" quotePrefix="0" xfId="0">
      <alignment horizontal="left" vertical="top" wrapText="1"/>
    </xf>
    <xf numFmtId="0" fontId="44" fillId="2" borderId="126" applyAlignment="1" pivotButton="0" quotePrefix="0" xfId="0">
      <alignment horizontal="left" vertical="top" wrapText="1"/>
    </xf>
    <xf numFmtId="0" fontId="0" fillId="2" borderId="56" applyAlignment="1" pivotButton="0" quotePrefix="0" xfId="0">
      <alignment horizontal="left" wrapText="1"/>
    </xf>
    <xf numFmtId="0" fontId="0" fillId="5" borderId="55" applyAlignment="1" pivotButton="0" quotePrefix="0" xfId="0">
      <alignment horizontal="left" wrapText="1"/>
    </xf>
    <xf numFmtId="0" fontId="0" fillId="15" borderId="55" applyAlignment="1" pivotButton="0" quotePrefix="0" xfId="0">
      <alignment horizontal="left" wrapText="1"/>
    </xf>
    <xf numFmtId="0" fontId="0" fillId="2" borderId="57" applyAlignment="1" pivotButton="0" quotePrefix="0" xfId="0">
      <alignment horizontal="left" wrapText="1"/>
    </xf>
    <xf numFmtId="0" fontId="0" fillId="4" borderId="55" applyAlignment="1" pivotButton="0" quotePrefix="0" xfId="0">
      <alignment horizontal="left" wrapText="1"/>
    </xf>
    <xf numFmtId="0" fontId="0" fillId="16" borderId="55" applyAlignment="1" pivotButton="0" quotePrefix="0" xfId="0">
      <alignment horizontal="left" wrapText="1"/>
    </xf>
    <xf numFmtId="0" fontId="0" fillId="5" borderId="12" applyAlignment="1" pivotButton="0" quotePrefix="0" xfId="0">
      <alignment horizontal="left" wrapText="1"/>
    </xf>
    <xf numFmtId="0" fontId="0" fillId="15" borderId="12" applyAlignment="1" pivotButton="0" quotePrefix="0" xfId="0">
      <alignment horizontal="left" wrapText="1"/>
    </xf>
    <xf numFmtId="0" fontId="0" fillId="4" borderId="12" applyAlignment="1" pivotButton="0" quotePrefix="0" xfId="0">
      <alignment horizontal="left" wrapText="1"/>
    </xf>
    <xf numFmtId="0" fontId="0" fillId="16" borderId="12" applyAlignment="1" pivotButton="0" quotePrefix="0" xfId="0">
      <alignment horizontal="left" wrapText="1"/>
    </xf>
    <xf numFmtId="49" fontId="0" fillId="3" borderId="19" applyAlignment="1" pivotButton="0" quotePrefix="0" xfId="0">
      <alignment horizontal="left" vertical="center" wrapText="1"/>
    </xf>
    <xf numFmtId="0" fontId="0" fillId="5" borderId="12" applyAlignment="1" pivotButton="0" quotePrefix="0" xfId="0">
      <alignment horizontal="left" vertical="top" wrapText="1"/>
    </xf>
    <xf numFmtId="49" fontId="0" fillId="3" borderId="34" applyAlignment="1" pivotButton="0" quotePrefix="0" xfId="0">
      <alignment horizontal="left" vertical="center" wrapText="1"/>
    </xf>
    <xf numFmtId="49" fontId="0" fillId="3" borderId="19" applyAlignment="1" pivotButton="0" quotePrefix="0" xfId="0">
      <alignment horizontal="left" vertical="top" wrapText="1"/>
    </xf>
    <xf numFmtId="49" fontId="20" fillId="2" borderId="12" applyAlignment="1" pivotButton="0" quotePrefix="0" xfId="0">
      <alignment vertical="center" wrapText="1"/>
    </xf>
    <xf numFmtId="0" fontId="0" fillId="0" borderId="13" applyAlignment="1" pivotButton="0" quotePrefix="0" xfId="0">
      <alignment horizontal="left" vertical="top"/>
    </xf>
    <xf numFmtId="14" fontId="0" fillId="2" borderId="16" applyAlignment="1" pivotButton="0" quotePrefix="0" xfId="0">
      <alignment horizontal="left" vertical="top" wrapText="1"/>
    </xf>
    <xf numFmtId="0" fontId="0" fillId="0" borderId="35" applyAlignment="1" pivotButton="0" quotePrefix="0" xfId="0">
      <alignment horizontal="left" vertical="top"/>
    </xf>
    <xf numFmtId="14" fontId="20" fillId="2" borderId="16" applyAlignment="1" pivotButton="0" quotePrefix="0" xfId="0">
      <alignment vertical="center" wrapText="1"/>
    </xf>
    <xf numFmtId="14" fontId="20" fillId="2" borderId="35" applyAlignment="1" pivotButton="0" quotePrefix="0" xfId="0">
      <alignment wrapText="1"/>
    </xf>
    <xf numFmtId="14" fontId="20" fillId="2" borderId="35" applyAlignment="1" pivotButton="0" quotePrefix="0" xfId="0">
      <alignment vertical="center" wrapText="1"/>
    </xf>
    <xf numFmtId="0" fontId="20" fillId="3" borderId="21" applyAlignment="1" pivotButton="0" quotePrefix="0" xfId="0">
      <alignment vertical="center" wrapText="1"/>
    </xf>
    <xf numFmtId="0" fontId="0" fillId="5" borderId="14" applyAlignment="1" pivotButton="0" quotePrefix="0" xfId="0">
      <alignment horizontal="left" vertical="top" wrapText="1"/>
    </xf>
    <xf numFmtId="0" fontId="0" fillId="15" borderId="14" applyAlignment="1" pivotButton="0" quotePrefix="0" xfId="0">
      <alignment horizontal="left" vertical="top" wrapText="1"/>
    </xf>
    <xf numFmtId="0" fontId="20" fillId="3" borderId="36" applyAlignment="1" pivotButton="0" quotePrefix="0" xfId="0">
      <alignment vertical="center" wrapText="1"/>
    </xf>
    <xf numFmtId="0" fontId="0" fillId="4" borderId="14" applyAlignment="1" pivotButton="0" quotePrefix="0" xfId="0">
      <alignment horizontal="left" vertical="top" wrapText="1"/>
    </xf>
    <xf numFmtId="0" fontId="0" fillId="16" borderId="14" applyAlignment="1" pivotButton="0" quotePrefix="0" xfId="0">
      <alignment horizontal="left" vertical="top" wrapText="1"/>
    </xf>
    <xf numFmtId="49" fontId="0" fillId="3" borderId="34" applyAlignment="1" pivotButton="0" quotePrefix="0" xfId="0">
      <alignment horizontal="left" vertical="top" wrapText="1"/>
    </xf>
    <xf numFmtId="0" fontId="20" fillId="3" borderId="0" applyAlignment="1" pivotButton="0" quotePrefix="0" xfId="0">
      <alignment vertical="center" wrapText="1"/>
    </xf>
    <xf numFmtId="0" fontId="0" fillId="6" borderId="0" applyAlignment="1" pivotButton="0" quotePrefix="0" xfId="0">
      <alignment horizontal="left" vertical="top" wrapText="1"/>
    </xf>
    <xf numFmtId="0" fontId="0" fillId="4" borderId="0" applyAlignment="1" pivotButton="0" quotePrefix="0" xfId="0">
      <alignment horizontal="left" vertical="top" wrapText="1"/>
    </xf>
    <xf numFmtId="0" fontId="0" fillId="15" borderId="0" applyAlignment="1" pivotButton="0" quotePrefix="0" xfId="0">
      <alignment horizontal="left" vertical="top" wrapText="1"/>
    </xf>
    <xf numFmtId="0" fontId="0" fillId="5" borderId="0" applyAlignment="1" pivotButton="0" quotePrefix="0" xfId="0">
      <alignment horizontal="left" vertical="top" wrapText="1"/>
    </xf>
    <xf numFmtId="0" fontId="0" fillId="11" borderId="0" applyAlignment="1" pivotButton="0" quotePrefix="0" xfId="0">
      <alignment horizontal="left" vertical="top" wrapText="1"/>
    </xf>
    <xf numFmtId="0" fontId="0" fillId="16" borderId="0" applyAlignment="1" pivotButton="0" quotePrefix="0" xfId="0">
      <alignment horizontal="left" vertical="top" wrapText="1"/>
    </xf>
    <xf numFmtId="49" fontId="14" fillId="11" borderId="127" applyAlignment="1" pivotButton="0" quotePrefix="0" xfId="0">
      <alignment horizontal="center" wrapText="1"/>
    </xf>
    <xf numFmtId="0" fontId="24" fillId="2" borderId="128" applyAlignment="1" pivotButton="0" quotePrefix="0" xfId="0">
      <alignment vertical="center" wrapText="1"/>
    </xf>
    <xf numFmtId="49" fontId="47" fillId="14" borderId="51" applyAlignment="1" pivotButton="0" quotePrefix="0" xfId="0">
      <alignment horizontal="center" vertical="center" wrapText="1"/>
    </xf>
    <xf numFmtId="0" fontId="24" fillId="14" borderId="52" applyAlignment="1" pivotButton="0" quotePrefix="0" xfId="0">
      <alignment horizontal="center" vertical="center" wrapText="1"/>
    </xf>
    <xf numFmtId="0" fontId="24" fillId="14" borderId="53" applyAlignment="1" pivotButton="0" quotePrefix="0" xfId="0">
      <alignment horizontal="center" vertical="center" wrapText="1"/>
    </xf>
    <xf numFmtId="49" fontId="20" fillId="11" borderId="40" applyAlignment="1" pivotButton="0" quotePrefix="0" xfId="0">
      <alignment horizontal="center" wrapText="1"/>
    </xf>
    <xf numFmtId="0" fontId="20" fillId="11" borderId="42" applyAlignment="1" pivotButton="0" quotePrefix="0" xfId="0">
      <alignment horizontal="center" wrapText="1"/>
    </xf>
    <xf numFmtId="0" fontId="1" fillId="0" borderId="0" applyAlignment="1" pivotButton="0" quotePrefix="0" xfId="0">
      <alignment horizontal="center" vertical="center"/>
    </xf>
    <xf numFmtId="49" fontId="8" fillId="2" borderId="25" applyAlignment="1" pivotButton="0" quotePrefix="0" xfId="0">
      <alignment horizontal="center" vertical="center" wrapText="1"/>
    </xf>
    <xf numFmtId="0" fontId="8" fillId="2" borderId="26" applyAlignment="1" pivotButton="0" quotePrefix="0" xfId="0">
      <alignment horizontal="center" vertical="center" wrapText="1"/>
    </xf>
    <xf numFmtId="0" fontId="8" fillId="2" borderId="27" applyAlignment="1" pivotButton="0" quotePrefix="0" xfId="0">
      <alignment horizontal="center" vertical="center" wrapText="1"/>
    </xf>
    <xf numFmtId="49" fontId="11" fillId="2" borderId="15" applyAlignment="1" pivotButton="0" quotePrefix="0" xfId="0">
      <alignment horizontal="center" vertical="center" wrapText="1"/>
    </xf>
    <xf numFmtId="0" fontId="11" fillId="2" borderId="16" applyAlignment="1" pivotButton="0" quotePrefix="0" xfId="0">
      <alignment horizontal="center" vertical="center" wrapText="1"/>
    </xf>
    <xf numFmtId="0" fontId="11" fillId="2" borderId="17" applyAlignment="1" pivotButton="0" quotePrefix="0" xfId="0">
      <alignment horizontal="center" vertical="center" wrapText="1"/>
    </xf>
    <xf numFmtId="0" fontId="11" fillId="2" borderId="23" applyAlignment="1" pivotButton="0" quotePrefix="0" xfId="0">
      <alignment horizontal="center" vertical="center" wrapText="1"/>
    </xf>
    <xf numFmtId="0" fontId="11" fillId="2" borderId="24" applyAlignment="1" pivotButton="0" quotePrefix="0" xfId="0">
      <alignment horizontal="center" vertical="center" wrapText="1"/>
    </xf>
    <xf numFmtId="49" fontId="5" fillId="2" borderId="19" applyAlignment="1" pivotButton="0" quotePrefix="0" xfId="0">
      <alignment horizontal="left" vertical="top" wrapText="1"/>
    </xf>
    <xf numFmtId="0" fontId="5" fillId="2" borderId="20" applyAlignment="1" pivotButton="0" quotePrefix="0" xfId="0">
      <alignment horizontal="left" vertical="top" wrapText="1"/>
    </xf>
    <xf numFmtId="0" fontId="5" fillId="2" borderId="21" applyAlignment="1" pivotButton="0" quotePrefix="0" xfId="0">
      <alignment horizontal="left" vertical="top" wrapText="1"/>
    </xf>
    <xf numFmtId="49" fontId="10" fillId="0" borderId="34" applyAlignment="1" pivotButton="0" quotePrefix="0" xfId="0">
      <alignment horizontal="center" vertical="top"/>
    </xf>
    <xf numFmtId="0" fontId="10" fillId="0" borderId="35" applyAlignment="1" pivotButton="0" quotePrefix="0" xfId="0">
      <alignment horizontal="center" vertical="top"/>
    </xf>
    <xf numFmtId="0" fontId="10" fillId="0" borderId="36" applyAlignment="1" pivotButton="0" quotePrefix="0" xfId="0">
      <alignment horizontal="center" vertical="top"/>
    </xf>
    <xf numFmtId="49" fontId="5" fillId="5" borderId="28" applyAlignment="1" pivotButton="0" quotePrefix="0" xfId="0">
      <alignment horizontal="left" vertical="top" wrapText="1" indent="2"/>
    </xf>
    <xf numFmtId="0" fontId="5" fillId="5" borderId="29" applyAlignment="1" pivotButton="0" quotePrefix="0" xfId="0">
      <alignment horizontal="left" vertical="top" wrapText="1"/>
    </xf>
    <xf numFmtId="0" fontId="5" fillId="5" borderId="30" applyAlignment="1" pivotButton="0" quotePrefix="0" xfId="0">
      <alignment horizontal="left" vertical="top" wrapText="1"/>
    </xf>
    <xf numFmtId="49" fontId="5" fillId="10" borderId="28" applyAlignment="1" pivotButton="0" quotePrefix="0" xfId="0">
      <alignment horizontal="left" vertical="top" wrapText="1" indent="2"/>
    </xf>
    <xf numFmtId="0" fontId="5" fillId="10" borderId="29" applyAlignment="1" pivotButton="0" quotePrefix="0" xfId="0">
      <alignment horizontal="left" vertical="top" wrapText="1"/>
    </xf>
    <xf numFmtId="0" fontId="5" fillId="10" borderId="30" applyAlignment="1" pivotButton="0" quotePrefix="0" xfId="0">
      <alignment horizontal="left" vertical="top" wrapText="1"/>
    </xf>
    <xf numFmtId="49" fontId="5" fillId="7" borderId="28" applyAlignment="1" pivotButton="0" quotePrefix="0" xfId="0">
      <alignment horizontal="left" vertical="top" wrapText="1" indent="2"/>
    </xf>
    <xf numFmtId="0" fontId="5" fillId="7" borderId="29" applyAlignment="1" pivotButton="0" quotePrefix="0" xfId="0">
      <alignment horizontal="left" vertical="top" wrapText="1"/>
    </xf>
    <xf numFmtId="0" fontId="5" fillId="7" borderId="30" applyAlignment="1" pivotButton="0" quotePrefix="0" xfId="0">
      <alignment horizontal="left" vertical="top" wrapText="1"/>
    </xf>
    <xf numFmtId="0" fontId="5" fillId="2" borderId="34" applyAlignment="1" pivotButton="0" quotePrefix="0" xfId="0">
      <alignment horizontal="left" vertical="top" wrapText="1"/>
    </xf>
    <xf numFmtId="0" fontId="5" fillId="2" borderId="35" applyAlignment="1" pivotButton="0" quotePrefix="0" xfId="0">
      <alignment horizontal="left" vertical="top" wrapText="1"/>
    </xf>
    <xf numFmtId="0" fontId="5" fillId="2" borderId="36" applyAlignment="1" pivotButton="0" quotePrefix="0" xfId="0">
      <alignment horizontal="left" vertical="top" wrapText="1"/>
    </xf>
    <xf numFmtId="49" fontId="7" fillId="2" borderId="8" applyAlignment="1" pivotButton="0" quotePrefix="0" xfId="0">
      <alignment horizontal="center" vertical="top" wrapText="1"/>
    </xf>
    <xf numFmtId="0" fontId="7" fillId="2" borderId="9" applyAlignment="1" pivotButton="0" quotePrefix="0" xfId="0">
      <alignment horizontal="center" vertical="top" wrapText="1"/>
    </xf>
    <xf numFmtId="0" fontId="7" fillId="2" borderId="10" applyAlignment="1" pivotButton="0" quotePrefix="0" xfId="0">
      <alignment horizontal="center" vertical="top" wrapText="1"/>
    </xf>
    <xf numFmtId="0" fontId="7" fillId="2" borderId="15" applyAlignment="1" pivotButton="0" quotePrefix="0" xfId="0">
      <alignment horizontal="center" vertical="top" wrapText="1"/>
    </xf>
    <xf numFmtId="0" fontId="7" fillId="2" borderId="16" applyAlignment="1" pivotButton="0" quotePrefix="0" xfId="0">
      <alignment horizontal="center" vertical="top" wrapText="1"/>
    </xf>
    <xf numFmtId="0" fontId="7" fillId="2" borderId="17" applyAlignment="1" pivotButton="0" quotePrefix="0" xfId="0">
      <alignment horizontal="center" vertical="top" wrapText="1"/>
    </xf>
    <xf numFmtId="0" fontId="7" fillId="2" borderId="31" applyAlignment="1" pivotButton="0" quotePrefix="0" xfId="0">
      <alignment horizontal="center" vertical="top" wrapText="1"/>
    </xf>
    <xf numFmtId="0" fontId="7" fillId="2" borderId="32" applyAlignment="1" pivotButton="0" quotePrefix="0" xfId="0">
      <alignment horizontal="center" vertical="top" wrapText="1"/>
    </xf>
    <xf numFmtId="0" fontId="7" fillId="2" borderId="33" applyAlignment="1" pivotButton="0" quotePrefix="0" xfId="0">
      <alignment horizontal="center" vertical="top" wrapText="1"/>
    </xf>
    <xf numFmtId="49" fontId="5" fillId="2" borderId="25" applyAlignment="1" pivotButton="0" quotePrefix="0" xfId="0">
      <alignment horizontal="left" vertical="top" wrapText="1"/>
    </xf>
    <xf numFmtId="0" fontId="5" fillId="2" borderId="26" applyAlignment="1" pivotButton="0" quotePrefix="0" xfId="0">
      <alignment horizontal="left" vertical="top" wrapText="1"/>
    </xf>
    <xf numFmtId="0" fontId="5" fillId="2" borderId="27" applyAlignment="1" pivotButton="0" quotePrefix="0" xfId="0">
      <alignment horizontal="left" vertical="top" wrapText="1"/>
    </xf>
    <xf numFmtId="49" fontId="8" fillId="8" borderId="28" applyAlignment="1" pivotButton="0" quotePrefix="0" xfId="0">
      <alignment horizontal="left" vertical="top" wrapText="1" indent="2"/>
    </xf>
    <xf numFmtId="0" fontId="5" fillId="8" borderId="29" applyAlignment="1" pivotButton="0" quotePrefix="0" xfId="0">
      <alignment horizontal="left" vertical="top" wrapText="1"/>
    </xf>
    <xf numFmtId="0" fontId="5" fillId="8" borderId="30" applyAlignment="1" pivotButton="0" quotePrefix="0" xfId="0">
      <alignment horizontal="left" vertical="top" wrapText="1"/>
    </xf>
    <xf numFmtId="49" fontId="5" fillId="8" borderId="28" applyAlignment="1" pivotButton="0" quotePrefix="0" xfId="0">
      <alignment horizontal="left" vertical="top" wrapText="1" indent="2"/>
    </xf>
    <xf numFmtId="49" fontId="5" fillId="2" borderId="25" applyAlignment="1" pivotButton="0" quotePrefix="0" xfId="0">
      <alignment horizontal="left" vertical="top" wrapText="1" indent="2"/>
    </xf>
    <xf numFmtId="49" fontId="5" fillId="6" borderId="28" applyAlignment="1" pivotButton="0" quotePrefix="0" xfId="0">
      <alignment horizontal="left" vertical="top" wrapText="1" indent="2"/>
    </xf>
    <xf numFmtId="0" fontId="5" fillId="6" borderId="29" applyAlignment="1" pivotButton="0" quotePrefix="0" xfId="0">
      <alignment horizontal="left" vertical="top" wrapText="1"/>
    </xf>
    <xf numFmtId="0" fontId="5" fillId="6" borderId="30" applyAlignment="1" pivotButton="0" quotePrefix="0" xfId="0">
      <alignment horizontal="left" vertical="top" wrapText="1"/>
    </xf>
    <xf numFmtId="0" fontId="0" fillId="0" borderId="8" applyAlignment="1" pivotButton="0" quotePrefix="0" xfId="0">
      <alignment horizontal="right" vertical="center"/>
    </xf>
    <xf numFmtId="0" fontId="0" fillId="2" borderId="9" applyAlignment="1" pivotButton="0" quotePrefix="0" xfId="0">
      <alignment horizontal="right" vertical="center"/>
    </xf>
    <xf numFmtId="0" fontId="0" fillId="2" borderId="10" applyAlignment="1" pivotButton="0" quotePrefix="0" xfId="0">
      <alignment horizontal="right" vertical="center"/>
    </xf>
    <xf numFmtId="0" fontId="0" fillId="2" borderId="15" applyAlignment="1" pivotButton="0" quotePrefix="0" xfId="0">
      <alignment horizontal="right" vertical="center"/>
    </xf>
    <xf numFmtId="0" fontId="0" fillId="2" borderId="16" applyAlignment="1" pivotButton="0" quotePrefix="0" xfId="0">
      <alignment horizontal="right" vertical="center"/>
    </xf>
    <xf numFmtId="0" fontId="0" fillId="2" borderId="17" applyAlignment="1" pivotButton="0" quotePrefix="0" xfId="0">
      <alignment horizontal="right" vertical="center"/>
    </xf>
    <xf numFmtId="0" fontId="0" fillId="2" borderId="22" applyAlignment="1" pivotButton="0" quotePrefix="0" xfId="0">
      <alignment horizontal="right" vertical="center"/>
    </xf>
    <xf numFmtId="0" fontId="0" fillId="2" borderId="23" applyAlignment="1" pivotButton="0" quotePrefix="0" xfId="0">
      <alignment horizontal="right" vertical="center"/>
    </xf>
    <xf numFmtId="0" fontId="0" fillId="2" borderId="24" applyAlignment="1" pivotButton="0" quotePrefix="0" xfId="0">
      <alignment horizontal="right" vertical="center"/>
    </xf>
    <xf numFmtId="49" fontId="5" fillId="4" borderId="28" applyAlignment="1" pivotButton="0" quotePrefix="0" xfId="0">
      <alignment horizontal="left" wrapText="1" indent="2"/>
    </xf>
    <xf numFmtId="0" fontId="5" fillId="4" borderId="29" applyAlignment="1" pivotButton="0" quotePrefix="0" xfId="0">
      <alignment horizontal="left" vertical="top" wrapText="1"/>
    </xf>
    <xf numFmtId="0" fontId="5" fillId="4" borderId="30" applyAlignment="1" pivotButton="0" quotePrefix="0" xfId="0">
      <alignment horizontal="left" vertical="top" wrapText="1"/>
    </xf>
    <xf numFmtId="49" fontId="8" fillId="6" borderId="28" applyAlignment="1" pivotButton="0" quotePrefix="0" xfId="0">
      <alignment horizontal="left" vertical="top" wrapText="1" indent="2"/>
    </xf>
    <xf numFmtId="0" fontId="8" fillId="6" borderId="29" applyAlignment="1" pivotButton="0" quotePrefix="0" xfId="0">
      <alignment horizontal="left" vertical="top" wrapText="1"/>
    </xf>
    <xf numFmtId="0" fontId="8" fillId="6" borderId="30" applyAlignment="1" pivotButton="0" quotePrefix="0" xfId="0">
      <alignment horizontal="left" vertical="top" wrapText="1"/>
    </xf>
    <xf numFmtId="49" fontId="8" fillId="9" borderId="28" applyAlignment="1" pivotButton="0" quotePrefix="0" xfId="0">
      <alignment horizontal="left" vertical="top" wrapText="1"/>
    </xf>
    <xf numFmtId="0" fontId="8" fillId="9" borderId="29" applyAlignment="1" pivotButton="0" quotePrefix="0" xfId="0">
      <alignment horizontal="left" vertical="top" wrapText="1"/>
    </xf>
    <xf numFmtId="0" fontId="8" fillId="9" borderId="30" applyAlignment="1" pivotButton="0" quotePrefix="0" xfId="0">
      <alignment horizontal="left" vertical="top" wrapText="1"/>
    </xf>
    <xf numFmtId="49" fontId="5" fillId="2" borderId="12" applyAlignment="1" pivotButton="0" quotePrefix="0" xfId="0">
      <alignment horizontal="left" vertical="top" wrapText="1"/>
    </xf>
    <xf numFmtId="0" fontId="5" fillId="2" borderId="13" applyAlignment="1" pivotButton="0" quotePrefix="0" xfId="0">
      <alignment horizontal="left" vertical="top" wrapText="1"/>
    </xf>
    <xf numFmtId="0" fontId="5" fillId="2" borderId="14" applyAlignment="1" pivotButton="0" quotePrefix="0" xfId="0">
      <alignment horizontal="left" vertical="top" wrapText="1"/>
    </xf>
    <xf numFmtId="0" fontId="5" fillId="2" borderId="19" applyAlignment="1" pivotButton="0" quotePrefix="0" xfId="0">
      <alignment horizontal="left" vertical="top" wrapText="1"/>
    </xf>
    <xf numFmtId="49" fontId="12" fillId="11" borderId="47" applyAlignment="1" pivotButton="0" quotePrefix="0" xfId="0">
      <alignment horizontal="right" wrapText="1"/>
    </xf>
    <xf numFmtId="0" fontId="12" fillId="11" borderId="48" applyAlignment="1" pivotButton="0" quotePrefix="0" xfId="0">
      <alignment horizontal="right" wrapText="1"/>
    </xf>
    <xf numFmtId="49" fontId="12" fillId="11" borderId="47" applyAlignment="1" pivotButton="0" quotePrefix="0" xfId="0">
      <alignment horizontal="right" vertical="center" wrapText="1"/>
    </xf>
    <xf numFmtId="0" fontId="12" fillId="11" borderId="48" applyAlignment="1" pivotButton="0" quotePrefix="0" xfId="0">
      <alignment horizontal="right" vertical="center" wrapText="1"/>
    </xf>
    <xf numFmtId="49" fontId="12" fillId="11" borderId="20" applyAlignment="1" pivotButton="0" quotePrefix="0" xfId="0">
      <alignment horizontal="right" vertical="center" wrapText="1"/>
    </xf>
    <xf numFmtId="0" fontId="12" fillId="11" borderId="20" applyAlignment="1" pivotButton="0" quotePrefix="0" xfId="0">
      <alignment horizontal="right" vertical="center" wrapText="1"/>
    </xf>
    <xf numFmtId="49" fontId="12" fillId="11" borderId="42" applyAlignment="1" pivotButton="0" quotePrefix="0" xfId="0">
      <alignment horizontal="right" vertical="center" wrapText="1"/>
    </xf>
    <xf numFmtId="0" fontId="12" fillId="11" borderId="42" applyAlignment="1" pivotButton="0" quotePrefix="0" xfId="0">
      <alignment horizontal="right" vertical="center" wrapText="1"/>
    </xf>
    <xf numFmtId="49" fontId="10" fillId="11" borderId="12" applyAlignment="1" pivotButton="0" quotePrefix="0" xfId="0">
      <alignment horizontal="center" vertical="center" wrapText="1"/>
    </xf>
    <xf numFmtId="0" fontId="10" fillId="11" borderId="34" applyAlignment="1" pivotButton="0" quotePrefix="0" xfId="0">
      <alignment horizontal="center" vertical="center" wrapText="1"/>
    </xf>
    <xf numFmtId="49" fontId="12" fillId="11" borderId="45" applyAlignment="1" pivotButton="0" quotePrefix="0" xfId="0">
      <alignment horizontal="right" wrapText="1"/>
    </xf>
    <xf numFmtId="0" fontId="12" fillId="11" borderId="46" applyAlignment="1" pivotButton="0" quotePrefix="0" xfId="0">
      <alignment horizontal="right" wrapText="1"/>
    </xf>
    <xf numFmtId="49" fontId="12" fillId="11" borderId="49" applyAlignment="1" pivotButton="0" quotePrefix="0" xfId="0">
      <alignment horizontal="right" wrapText="1"/>
    </xf>
    <xf numFmtId="0" fontId="12" fillId="11" borderId="50" applyAlignment="1" pivotButton="0" quotePrefix="0" xfId="0">
      <alignment horizontal="right" wrapText="1"/>
    </xf>
    <xf numFmtId="49" fontId="12" fillId="11" borderId="42" applyAlignment="1" pivotButton="0" quotePrefix="0" xfId="0">
      <alignment horizontal="right" wrapText="1"/>
    </xf>
    <xf numFmtId="0" fontId="12" fillId="11" borderId="42" applyAlignment="1" pivotButton="0" quotePrefix="0" xfId="0">
      <alignment horizontal="right" wrapText="1"/>
    </xf>
    <xf numFmtId="49" fontId="12" fillId="11" borderId="35" applyAlignment="1" pivotButton="0" quotePrefix="0" xfId="0">
      <alignment horizontal="right" vertical="center" wrapText="1"/>
    </xf>
    <xf numFmtId="0" fontId="12" fillId="11" borderId="35" applyAlignment="1" pivotButton="0" quotePrefix="0" xfId="0">
      <alignment horizontal="right" vertical="center" wrapText="1"/>
    </xf>
    <xf numFmtId="49" fontId="12" fillId="11" borderId="20" applyAlignment="1" pivotButton="0" quotePrefix="0" xfId="0">
      <alignment horizontal="right" wrapText="1"/>
    </xf>
    <xf numFmtId="0" fontId="12" fillId="11" borderId="20" applyAlignment="1" pivotButton="0" quotePrefix="0" xfId="0">
      <alignment horizontal="right" wrapText="1"/>
    </xf>
    <xf numFmtId="0" fontId="10" fillId="11" borderId="19" applyAlignment="1" pivotButton="0" quotePrefix="0" xfId="0">
      <alignment horizontal="center" vertical="center" wrapText="1"/>
    </xf>
    <xf numFmtId="49" fontId="12" fillId="11" borderId="13" applyAlignment="1" pivotButton="0" quotePrefix="0" xfId="0">
      <alignment horizontal="right" wrapText="1"/>
    </xf>
    <xf numFmtId="0" fontId="12" fillId="11" borderId="13" applyAlignment="1" pivotButton="0" quotePrefix="0" xfId="0">
      <alignment horizontal="right" wrapText="1"/>
    </xf>
    <xf numFmtId="49" fontId="14" fillId="12" borderId="40" applyAlignment="1" pivotButton="0" quotePrefix="0" xfId="0">
      <alignment horizontal="right" wrapText="1"/>
    </xf>
    <xf numFmtId="0" fontId="14" fillId="12" borderId="42" applyAlignment="1" pivotButton="0" quotePrefix="0" xfId="0">
      <alignment horizontal="right" wrapText="1"/>
    </xf>
    <xf numFmtId="49" fontId="8" fillId="11" borderId="40" applyAlignment="1" pivotButton="0" quotePrefix="0" xfId="0">
      <alignment horizontal="center" vertical="top"/>
    </xf>
    <xf numFmtId="0" fontId="8" fillId="11" borderId="42" applyAlignment="1" pivotButton="0" quotePrefix="0" xfId="0">
      <alignment horizontal="center" vertical="top"/>
    </xf>
    <xf numFmtId="0" fontId="13" fillId="2" borderId="20" applyAlignment="1" pivotButton="0" quotePrefix="0" xfId="0">
      <alignment horizontal="center"/>
    </xf>
    <xf numFmtId="1" fontId="13" fillId="3" borderId="42" applyAlignment="1" pivotButton="0" quotePrefix="0" xfId="0">
      <alignment horizontal="center" vertical="top"/>
    </xf>
    <xf numFmtId="0" fontId="13" fillId="3" borderId="13" applyAlignment="1" pivotButton="0" quotePrefix="0" xfId="0">
      <alignment horizontal="center" wrapText="1"/>
    </xf>
    <xf numFmtId="0" fontId="13" fillId="3" borderId="20" applyAlignment="1" pivotButton="0" quotePrefix="0" xfId="0">
      <alignment horizontal="center"/>
    </xf>
    <xf numFmtId="14" fontId="13" fillId="3" borderId="20" applyAlignment="1" pivotButton="0" quotePrefix="0" xfId="0">
      <alignment horizontal="center"/>
    </xf>
    <xf numFmtId="0" fontId="13" fillId="2" borderId="20" applyAlignment="1" pivotButton="0" quotePrefix="0" xfId="0">
      <alignment horizontal="center" vertical="top"/>
    </xf>
    <xf numFmtId="0" fontId="13" fillId="2" borderId="43" applyAlignment="1" pivotButton="0" quotePrefix="0" xfId="0">
      <alignment horizontal="center" vertical="top"/>
    </xf>
    <xf numFmtId="0" fontId="13" fillId="2" borderId="44" applyAlignment="1" pivotButton="0" quotePrefix="0" xfId="0">
      <alignment horizontal="center" vertical="top"/>
    </xf>
    <xf numFmtId="49" fontId="12" fillId="11" borderId="40" applyAlignment="1" pivotButton="0" quotePrefix="0" xfId="0">
      <alignment horizontal="center" vertical="top"/>
    </xf>
    <xf numFmtId="0" fontId="12" fillId="11" borderId="41" applyAlignment="1" pivotButton="0" quotePrefix="0" xfId="0">
      <alignment horizontal="center" vertical="top"/>
    </xf>
    <xf numFmtId="49" fontId="12" fillId="11" borderId="47" applyAlignment="1" pivotButton="0" quotePrefix="0" xfId="0">
      <alignment horizontal="right" vertical="center"/>
    </xf>
    <xf numFmtId="0" fontId="12" fillId="11" borderId="48" applyAlignment="1" pivotButton="0" quotePrefix="0" xfId="0">
      <alignment horizontal="right" vertical="center"/>
    </xf>
    <xf numFmtId="49" fontId="5" fillId="17" borderId="51" applyAlignment="1" pivotButton="0" quotePrefix="0" xfId="0">
      <alignment horizontal="center" vertical="top" wrapText="1"/>
    </xf>
    <xf numFmtId="0" fontId="5" fillId="17" borderId="52" applyAlignment="1" pivotButton="0" quotePrefix="0" xfId="0">
      <alignment horizontal="center" vertical="top" wrapText="1"/>
    </xf>
    <xf numFmtId="0" fontId="5" fillId="17" borderId="53" applyAlignment="1" pivotButton="0" quotePrefix="0" xfId="0">
      <alignment horizontal="center" vertical="top" wrapText="1"/>
    </xf>
    <xf numFmtId="49" fontId="12" fillId="11" borderId="63" applyAlignment="1" pivotButton="0" quotePrefix="0" xfId="0">
      <alignment horizontal="center" vertical="center"/>
    </xf>
    <xf numFmtId="0" fontId="12" fillId="11" borderId="64" applyAlignment="1" pivotButton="0" quotePrefix="0" xfId="0">
      <alignment horizontal="center" vertical="center"/>
    </xf>
    <xf numFmtId="0" fontId="12" fillId="11" borderId="65" applyAlignment="1" pivotButton="0" quotePrefix="0" xfId="0">
      <alignment horizontal="center" vertical="center"/>
    </xf>
    <xf numFmtId="0" fontId="12" fillId="11" borderId="51" applyAlignment="1" pivotButton="0" quotePrefix="0" xfId="0">
      <alignment horizontal="center" wrapText="1"/>
    </xf>
    <xf numFmtId="0" fontId="12" fillId="11" borderId="53" applyAlignment="1" pivotButton="0" quotePrefix="0" xfId="0">
      <alignment horizontal="center" wrapText="1"/>
    </xf>
    <xf numFmtId="49" fontId="12" fillId="11" borderId="28" applyAlignment="1" pivotButton="0" quotePrefix="0" xfId="0">
      <alignment horizontal="right" vertical="top"/>
    </xf>
    <xf numFmtId="0" fontId="12" fillId="11" borderId="29" applyAlignment="1" pivotButton="0" quotePrefix="0" xfId="0">
      <alignment horizontal="right" vertical="top"/>
    </xf>
    <xf numFmtId="49" fontId="12" fillId="11" borderId="62" applyAlignment="1" pivotButton="0" quotePrefix="0" xfId="0">
      <alignment horizontal="right" vertical="top"/>
    </xf>
    <xf numFmtId="0" fontId="12" fillId="11" borderId="92" applyAlignment="1" pivotButton="0" quotePrefix="0" xfId="0">
      <alignment horizontal="right" vertical="top"/>
    </xf>
    <xf numFmtId="49" fontId="12" fillId="11" borderId="61" applyAlignment="1" pivotButton="0" quotePrefix="0" xfId="0">
      <alignment horizontal="right" vertical="top"/>
    </xf>
    <xf numFmtId="0" fontId="12" fillId="11" borderId="91" applyAlignment="1" pivotButton="0" quotePrefix="0" xfId="0">
      <alignment horizontal="right" vertical="top"/>
    </xf>
    <xf numFmtId="49" fontId="14" fillId="10" borderId="14" applyAlignment="1" pivotButton="0" quotePrefix="0" xfId="0">
      <alignment horizontal="center" wrapText="1"/>
    </xf>
    <xf numFmtId="0" fontId="14" fillId="10" borderId="36" applyAlignment="1" pivotButton="0" quotePrefix="0" xfId="0">
      <alignment horizontal="center" wrapText="1"/>
    </xf>
    <xf numFmtId="49" fontId="14" fillId="10" borderId="12" applyAlignment="1" pivotButton="0" quotePrefix="0" xfId="0">
      <alignment horizontal="center" wrapText="1"/>
    </xf>
    <xf numFmtId="0" fontId="14" fillId="10" borderId="34" applyAlignment="1" pivotButton="0" quotePrefix="0" xfId="0">
      <alignment horizontal="center" wrapText="1"/>
    </xf>
    <xf numFmtId="0" fontId="20" fillId="2" borderId="66" applyAlignment="1" pivotButton="0" quotePrefix="0" xfId="0">
      <alignment horizontal="center"/>
    </xf>
    <xf numFmtId="0" fontId="20" fillId="2" borderId="67" applyAlignment="1" pivotButton="0" quotePrefix="0" xfId="0">
      <alignment horizontal="center"/>
    </xf>
    <xf numFmtId="0" fontId="14" fillId="2" borderId="66" applyAlignment="1" pivotButton="0" quotePrefix="0" xfId="0">
      <alignment horizontal="center"/>
    </xf>
    <xf numFmtId="0" fontId="14" fillId="2" borderId="38" applyAlignment="1" pivotButton="0" quotePrefix="0" xfId="0">
      <alignment horizontal="center"/>
    </xf>
    <xf numFmtId="0" fontId="14" fillId="2" borderId="67" applyAlignment="1" pivotButton="0" quotePrefix="0" xfId="0">
      <alignment horizontal="center"/>
    </xf>
    <xf numFmtId="49" fontId="14" fillId="10" borderId="12" applyAlignment="1" pivotButton="0" quotePrefix="0" xfId="0">
      <alignment horizontal="center"/>
    </xf>
    <xf numFmtId="0" fontId="14" fillId="10" borderId="13" applyAlignment="1" pivotButton="0" quotePrefix="0" xfId="0">
      <alignment horizontal="center"/>
    </xf>
    <xf numFmtId="0" fontId="14" fillId="10" borderId="14" applyAlignment="1" pivotButton="0" quotePrefix="0" xfId="0">
      <alignment horizontal="center"/>
    </xf>
    <xf numFmtId="49" fontId="14" fillId="10" borderId="13" applyAlignment="1" pivotButton="0" quotePrefix="0" xfId="0">
      <alignment horizontal="center" wrapText="1"/>
    </xf>
    <xf numFmtId="0" fontId="14" fillId="10" borderId="35" applyAlignment="1" pivotButton="0" quotePrefix="0" xfId="0">
      <alignment horizontal="center" wrapText="1"/>
    </xf>
    <xf numFmtId="0" fontId="20" fillId="2" borderId="22" applyAlignment="1" pivotButton="0" quotePrefix="0" xfId="0">
      <alignment horizontal="center"/>
    </xf>
    <xf numFmtId="0" fontId="20" fillId="2" borderId="23" applyAlignment="1" pivotButton="0" quotePrefix="0" xfId="0">
      <alignment horizontal="center"/>
    </xf>
    <xf numFmtId="49" fontId="20" fillId="11" borderId="13" applyAlignment="1" pivotButton="0" quotePrefix="0" xfId="0">
      <alignment horizontal="center" wrapText="1"/>
    </xf>
    <xf numFmtId="0" fontId="20" fillId="11" borderId="35" applyAlignment="1" pivotButton="0" quotePrefix="0" xfId="0">
      <alignment horizontal="center" wrapText="1"/>
    </xf>
    <xf numFmtId="49" fontId="20" fillId="11" borderId="14" applyAlignment="1" pivotButton="0" quotePrefix="0" xfId="0">
      <alignment horizontal="center" wrapText="1"/>
    </xf>
    <xf numFmtId="0" fontId="20" fillId="11" borderId="36" applyAlignment="1" pivotButton="0" quotePrefix="0" xfId="0">
      <alignment horizontal="center" wrapText="1"/>
    </xf>
    <xf numFmtId="49" fontId="14" fillId="17" borderId="40" applyAlignment="1" pivotButton="0" quotePrefix="0" xfId="0">
      <alignment horizontal="center" wrapText="1"/>
    </xf>
    <xf numFmtId="0" fontId="14" fillId="17" borderId="42" applyAlignment="1" pivotButton="0" quotePrefix="0" xfId="0">
      <alignment horizontal="center" wrapText="1"/>
    </xf>
    <xf numFmtId="0" fontId="14" fillId="17" borderId="41" applyAlignment="1" pivotButton="0" quotePrefix="0" xfId="0">
      <alignment horizontal="center" wrapText="1"/>
    </xf>
    <xf numFmtId="49" fontId="13" fillId="11" borderId="68" applyAlignment="1" pivotButton="0" quotePrefix="0" xfId="0">
      <alignment horizontal="center" wrapText="1"/>
    </xf>
    <xf numFmtId="0" fontId="13" fillId="11" borderId="69" applyAlignment="1" pivotButton="0" quotePrefix="0" xfId="0">
      <alignment horizontal="center" wrapText="1"/>
    </xf>
    <xf numFmtId="49" fontId="14" fillId="17" borderId="51" applyAlignment="1" pivotButton="0" quotePrefix="0" xfId="0">
      <alignment horizontal="center"/>
    </xf>
    <xf numFmtId="0" fontId="14" fillId="17" borderId="52" applyAlignment="1" pivotButton="0" quotePrefix="0" xfId="0">
      <alignment horizontal="center"/>
    </xf>
    <xf numFmtId="0" fontId="14" fillId="17" borderId="53" applyAlignment="1" pivotButton="0" quotePrefix="0" xfId="0">
      <alignment horizontal="center"/>
    </xf>
    <xf numFmtId="49" fontId="20" fillId="11" borderId="12" applyAlignment="1" pivotButton="0" quotePrefix="0" xfId="0">
      <alignment horizontal="center" wrapText="1"/>
    </xf>
    <xf numFmtId="0" fontId="20" fillId="11" borderId="34" applyAlignment="1" pivotButton="0" quotePrefix="0" xfId="0">
      <alignment horizontal="center" wrapText="1"/>
    </xf>
    <xf numFmtId="49" fontId="14" fillId="17" borderId="40" applyAlignment="1" pivotButton="0" quotePrefix="0" xfId="0">
      <alignment horizontal="center"/>
    </xf>
    <xf numFmtId="0" fontId="14" fillId="17" borderId="42" applyAlignment="1" pivotButton="0" quotePrefix="0" xfId="0">
      <alignment horizontal="center"/>
    </xf>
    <xf numFmtId="0" fontId="14" fillId="17" borderId="41" applyAlignment="1" pivotButton="0" quotePrefix="0" xfId="0">
      <alignment horizontal="center"/>
    </xf>
    <xf numFmtId="0" fontId="20" fillId="11" borderId="21" applyAlignment="1" pivotButton="0" quotePrefix="0" xfId="0">
      <alignment horizontal="center" wrapText="1"/>
    </xf>
    <xf numFmtId="49" fontId="20" fillId="11" borderId="12" applyAlignment="1" pivotButton="0" quotePrefix="0" xfId="0">
      <alignment horizontal="center"/>
    </xf>
    <xf numFmtId="0" fontId="20" fillId="11" borderId="34" applyAlignment="1" pivotButton="0" quotePrefix="0" xfId="0">
      <alignment horizontal="center"/>
    </xf>
    <xf numFmtId="49" fontId="14" fillId="17" borderId="51" applyAlignment="1" pivotButton="0" quotePrefix="0" xfId="0">
      <alignment horizontal="center" wrapText="1"/>
    </xf>
    <xf numFmtId="0" fontId="14" fillId="17" borderId="52" applyAlignment="1" pivotButton="0" quotePrefix="0" xfId="0">
      <alignment horizontal="center" wrapText="1"/>
    </xf>
    <xf numFmtId="0" fontId="14" fillId="17" borderId="53" applyAlignment="1" pivotButton="0" quotePrefix="0" xfId="0">
      <alignment horizontal="center" wrapText="1"/>
    </xf>
    <xf numFmtId="49" fontId="20" fillId="11" borderId="40" applyAlignment="1" pivotButton="0" quotePrefix="0" xfId="0">
      <alignment horizontal="center"/>
    </xf>
    <xf numFmtId="0" fontId="20" fillId="11" borderId="41" applyAlignment="1" pivotButton="0" quotePrefix="0" xfId="0">
      <alignment horizontal="center"/>
    </xf>
    <xf numFmtId="49" fontId="13" fillId="11" borderId="12" applyAlignment="1" pivotButton="0" quotePrefix="0" xfId="0">
      <alignment horizontal="center" wrapText="1"/>
    </xf>
    <xf numFmtId="0" fontId="13" fillId="11" borderId="34" applyAlignment="1" pivotButton="0" quotePrefix="0" xfId="0">
      <alignment horizontal="center" wrapText="1"/>
    </xf>
    <xf numFmtId="49" fontId="20" fillId="11" borderId="68" applyAlignment="1" pivotButton="0" quotePrefix="0" xfId="0">
      <alignment horizontal="center" wrapText="1"/>
    </xf>
    <xf numFmtId="0" fontId="20" fillId="11" borderId="69" applyAlignment="1" pivotButton="0" quotePrefix="0" xfId="0">
      <alignment horizontal="center" wrapText="1"/>
    </xf>
    <xf numFmtId="0" fontId="28" fillId="2" borderId="20" applyAlignment="1" pivotButton="0" quotePrefix="0" xfId="0">
      <alignment horizontal="left" vertical="top" wrapText="1"/>
    </xf>
    <xf numFmtId="0" fontId="28" fillId="2" borderId="21" applyAlignment="1" pivotButton="0" quotePrefix="0" xfId="0">
      <alignment horizontal="left" vertical="top" wrapText="1"/>
    </xf>
    <xf numFmtId="49" fontId="10" fillId="11" borderId="51" applyAlignment="1" pivotButton="0" quotePrefix="0" xfId="0">
      <alignment horizontal="center" wrapText="1"/>
    </xf>
    <xf numFmtId="0" fontId="10" fillId="11" borderId="53" applyAlignment="1" pivotButton="0" quotePrefix="0" xfId="0">
      <alignment horizontal="center" wrapText="1"/>
    </xf>
    <xf numFmtId="49" fontId="28" fillId="2" borderId="19" applyAlignment="1" pivotButton="0" quotePrefix="0" xfId="0">
      <alignment horizontal="center" vertical="top" wrapText="1"/>
    </xf>
    <xf numFmtId="0" fontId="28" fillId="2" borderId="19" applyAlignment="1" pivotButton="0" quotePrefix="0" xfId="0">
      <alignment horizontal="center" vertical="top" wrapText="1"/>
    </xf>
    <xf numFmtId="49" fontId="28" fillId="2" borderId="20" applyAlignment="1" pivotButton="0" quotePrefix="0" xfId="0">
      <alignment horizontal="center" vertical="top" wrapText="1"/>
    </xf>
    <xf numFmtId="0" fontId="28" fillId="2" borderId="20" applyAlignment="1" pivotButton="0" quotePrefix="0" xfId="0">
      <alignment horizontal="center" vertical="top" wrapText="1"/>
    </xf>
    <xf numFmtId="49" fontId="13" fillId="2" borderId="12" applyAlignment="1" pivotButton="0" quotePrefix="0" xfId="0">
      <alignment horizontal="left" vertical="top" wrapText="1"/>
    </xf>
    <xf numFmtId="0" fontId="13" fillId="2" borderId="34" applyAlignment="1" pivotButton="0" quotePrefix="0" xfId="0">
      <alignment horizontal="left" vertical="top" wrapText="1"/>
    </xf>
    <xf numFmtId="0" fontId="13" fillId="2" borderId="19" applyAlignment="1" pivotButton="0" quotePrefix="0" xfId="0">
      <alignment horizontal="left" vertical="top" wrapText="1"/>
    </xf>
    <xf numFmtId="49" fontId="10" fillId="11" borderId="11" applyAlignment="1" pivotButton="0" quotePrefix="0" xfId="0">
      <alignment horizontal="center" vertical="center" wrapText="1"/>
    </xf>
    <xf numFmtId="0" fontId="10" fillId="11" borderId="18" applyAlignment="1" pivotButton="0" quotePrefix="0" xfId="0">
      <alignment horizontal="center" vertical="center" wrapText="1"/>
    </xf>
    <xf numFmtId="0" fontId="10" fillId="11" borderId="37" applyAlignment="1" pivotButton="0" quotePrefix="0" xfId="0">
      <alignment horizontal="center" vertical="center" wrapText="1"/>
    </xf>
    <xf numFmtId="49" fontId="8" fillId="17" borderId="51" applyAlignment="1" pivotButton="0" quotePrefix="0" xfId="0">
      <alignment horizontal="center" vertical="top"/>
    </xf>
    <xf numFmtId="0" fontId="8" fillId="17" borderId="52" applyAlignment="1" pivotButton="0" quotePrefix="0" xfId="0">
      <alignment horizontal="center" vertical="top"/>
    </xf>
    <xf numFmtId="0" fontId="8" fillId="17" borderId="53" applyAlignment="1" pivotButton="0" quotePrefix="0" xfId="0">
      <alignment horizontal="center" vertical="top"/>
    </xf>
    <xf numFmtId="49" fontId="5" fillId="2" borderId="83" applyAlignment="1" pivotButton="0" quotePrefix="0" xfId="0">
      <alignment horizontal="left" vertical="center" wrapText="1"/>
    </xf>
    <xf numFmtId="0" fontId="5" fillId="2" borderId="38" applyAlignment="1" pivotButton="0" quotePrefix="0" xfId="0">
      <alignment horizontal="left" vertical="center" wrapText="1"/>
    </xf>
    <xf numFmtId="0" fontId="5" fillId="2" borderId="67" applyAlignment="1" pivotButton="0" quotePrefix="0" xfId="0">
      <alignment horizontal="left" vertical="center" wrapText="1"/>
    </xf>
    <xf numFmtId="49" fontId="10" fillId="11" borderId="40" applyAlignment="1" pivotButton="0" quotePrefix="0" xfId="0">
      <alignment horizontal="center" wrapText="1"/>
    </xf>
    <xf numFmtId="0" fontId="10" fillId="11" borderId="42" applyAlignment="1" pivotButton="0" quotePrefix="0" xfId="0">
      <alignment horizontal="center" wrapText="1"/>
    </xf>
    <xf numFmtId="49" fontId="20" fillId="2" borderId="42" applyAlignment="1" pivotButton="0" quotePrefix="0" xfId="0">
      <alignment horizontal="center" vertical="top" wrapText="1"/>
    </xf>
    <xf numFmtId="0" fontId="20" fillId="2" borderId="41" applyAlignment="1" pivotButton="0" quotePrefix="0" xfId="0">
      <alignment horizontal="center" vertical="top" wrapText="1"/>
    </xf>
    <xf numFmtId="49" fontId="31" fillId="2" borderId="8" applyAlignment="1" pivotButton="0" quotePrefix="0" xfId="0">
      <alignment horizontal="center" vertical="top" wrapText="1"/>
    </xf>
    <xf numFmtId="0" fontId="31" fillId="2" borderId="9" applyAlignment="1" pivotButton="0" quotePrefix="0" xfId="0">
      <alignment horizontal="center" vertical="top" wrapText="1"/>
    </xf>
    <xf numFmtId="0" fontId="31" fillId="2" borderId="10" applyAlignment="1" pivotButton="0" quotePrefix="0" xfId="0">
      <alignment horizontal="center" vertical="top" wrapText="1"/>
    </xf>
    <xf numFmtId="0" fontId="31" fillId="2" borderId="15" applyAlignment="1" pivotButton="0" quotePrefix="0" xfId="0">
      <alignment horizontal="center" vertical="top" wrapText="1"/>
    </xf>
    <xf numFmtId="0" fontId="31" fillId="2" borderId="16" applyAlignment="1" pivotButton="0" quotePrefix="0" xfId="0">
      <alignment horizontal="center" vertical="top" wrapText="1"/>
    </xf>
    <xf numFmtId="0" fontId="31" fillId="2" borderId="17" applyAlignment="1" pivotButton="0" quotePrefix="0" xfId="0">
      <alignment horizontal="center" vertical="top" wrapText="1"/>
    </xf>
    <xf numFmtId="0" fontId="31" fillId="2" borderId="22" applyAlignment="1" pivotButton="0" quotePrefix="0" xfId="0">
      <alignment horizontal="center" vertical="top" wrapText="1"/>
    </xf>
    <xf numFmtId="0" fontId="31" fillId="2" borderId="23" applyAlignment="1" pivotButton="0" quotePrefix="0" xfId="0">
      <alignment horizontal="center" vertical="top" wrapText="1"/>
    </xf>
    <xf numFmtId="0" fontId="31" fillId="2" borderId="24" applyAlignment="1" pivotButton="0" quotePrefix="0" xfId="0">
      <alignment horizontal="center" vertical="top" wrapText="1"/>
    </xf>
    <xf numFmtId="49" fontId="11" fillId="2" borderId="8" applyAlignment="1" pivotButton="0" quotePrefix="0" xfId="0">
      <alignment horizontal="center" vertical="top" wrapText="1"/>
    </xf>
    <xf numFmtId="0" fontId="11" fillId="2" borderId="9" applyAlignment="1" pivotButton="0" quotePrefix="0" xfId="0">
      <alignment horizontal="center" vertical="top" wrapText="1"/>
    </xf>
    <xf numFmtId="0" fontId="11" fillId="2" borderId="10" applyAlignment="1" pivotButton="0" quotePrefix="0" xfId="0">
      <alignment horizontal="center" vertical="top" wrapText="1"/>
    </xf>
    <xf numFmtId="0" fontId="11" fillId="2" borderId="22" applyAlignment="1" pivotButton="0" quotePrefix="0" xfId="0">
      <alignment horizontal="center" vertical="top" wrapText="1"/>
    </xf>
    <xf numFmtId="0" fontId="11" fillId="2" borderId="23" applyAlignment="1" pivotButton="0" quotePrefix="0" xfId="0">
      <alignment horizontal="center" vertical="top" wrapText="1"/>
    </xf>
    <xf numFmtId="0" fontId="11" fillId="2" borderId="24" applyAlignment="1" pivotButton="0" quotePrefix="0" xfId="0">
      <alignment horizontal="center" vertical="top" wrapText="1"/>
    </xf>
    <xf numFmtId="49" fontId="28" fillId="2" borderId="12" applyAlignment="1" pivotButton="0" quotePrefix="0" xfId="0">
      <alignment horizontal="right"/>
    </xf>
    <xf numFmtId="0" fontId="28" fillId="2" borderId="13" applyAlignment="1" pivotButton="0" quotePrefix="0" xfId="0">
      <alignment horizontal="right"/>
    </xf>
    <xf numFmtId="0" fontId="28" fillId="2" borderId="14" applyAlignment="1" pivotButton="0" quotePrefix="0" xfId="0">
      <alignment horizontal="right"/>
    </xf>
    <xf numFmtId="0" fontId="28" fillId="2" borderId="19" applyAlignment="1" pivotButton="0" quotePrefix="0" xfId="0">
      <alignment horizontal="right"/>
    </xf>
    <xf numFmtId="0" fontId="28" fillId="2" borderId="20" applyAlignment="1" pivotButton="0" quotePrefix="0" xfId="0">
      <alignment horizontal="right"/>
    </xf>
    <xf numFmtId="0" fontId="28" fillId="2" borderId="21" applyAlignment="1" pivotButton="0" quotePrefix="0" xfId="0">
      <alignment horizontal="right"/>
    </xf>
    <xf numFmtId="0" fontId="28" fillId="2" borderId="34" applyAlignment="1" pivotButton="0" quotePrefix="0" xfId="0">
      <alignment horizontal="right"/>
    </xf>
    <xf numFmtId="0" fontId="28" fillId="2" borderId="35" applyAlignment="1" pivotButton="0" quotePrefix="0" xfId="0">
      <alignment horizontal="right"/>
    </xf>
    <xf numFmtId="0" fontId="28" fillId="2" borderId="36" applyAlignment="1" pivotButton="0" quotePrefix="0" xfId="0">
      <alignment horizontal="right"/>
    </xf>
    <xf numFmtId="49" fontId="28" fillId="2" borderId="8" applyAlignment="1" pivotButton="0" quotePrefix="0" xfId="0">
      <alignment horizontal="center" vertical="top" wrapText="1"/>
    </xf>
    <xf numFmtId="0" fontId="28" fillId="2" borderId="9" applyAlignment="1" pivotButton="0" quotePrefix="0" xfId="0">
      <alignment horizontal="center" vertical="top" wrapText="1"/>
    </xf>
    <xf numFmtId="0" fontId="28" fillId="2" borderId="10" applyAlignment="1" pivotButton="0" quotePrefix="0" xfId="0">
      <alignment horizontal="center" vertical="top" wrapText="1"/>
    </xf>
    <xf numFmtId="0" fontId="28" fillId="2" borderId="15" applyAlignment="1" pivotButton="0" quotePrefix="0" xfId="0">
      <alignment horizontal="center" vertical="top" wrapText="1"/>
    </xf>
    <xf numFmtId="0" fontId="28" fillId="2" borderId="16" applyAlignment="1" pivotButton="0" quotePrefix="0" xfId="0">
      <alignment horizontal="center" vertical="top" wrapText="1"/>
    </xf>
    <xf numFmtId="0" fontId="28" fillId="2" borderId="17" applyAlignment="1" pivotButton="0" quotePrefix="0" xfId="0">
      <alignment horizontal="center" vertical="top" wrapText="1"/>
    </xf>
    <xf numFmtId="0" fontId="28" fillId="2" borderId="22" applyAlignment="1" pivotButton="0" quotePrefix="0" xfId="0">
      <alignment horizontal="center" vertical="top" wrapText="1"/>
    </xf>
    <xf numFmtId="0" fontId="28" fillId="2" borderId="23" applyAlignment="1" pivotButton="0" quotePrefix="0" xfId="0">
      <alignment horizontal="center" vertical="top" wrapText="1"/>
    </xf>
    <xf numFmtId="0" fontId="28" fillId="2" borderId="24" applyAlignment="1" pivotButton="0" quotePrefix="0" xfId="0">
      <alignment horizontal="center" vertical="top" wrapText="1"/>
    </xf>
    <xf numFmtId="0" fontId="0" fillId="0" borderId="22" applyAlignment="1" pivotButton="0" quotePrefix="0" xfId="0">
      <alignment horizontal="left" vertical="top"/>
    </xf>
    <xf numFmtId="0" fontId="0" fillId="0" borderId="84" pivotButton="0" quotePrefix="0" xfId="0"/>
    <xf numFmtId="0" fontId="0" fillId="0" borderId="129" pivotButton="0" quotePrefix="0" xfId="0"/>
    <xf numFmtId="0" fontId="0" fillId="0" borderId="138" pivotButton="0" quotePrefix="0" xfId="0"/>
    <xf numFmtId="0" fontId="0" fillId="0" borderId="74" pivotButton="0" quotePrefix="0" xfId="0"/>
    <xf numFmtId="0" fontId="0" fillId="0" borderId="130" pivotButton="0" quotePrefix="0" xfId="0"/>
    <xf numFmtId="0" fontId="0" fillId="0" borderId="139" pivotButton="0" quotePrefix="0" xfId="0"/>
    <xf numFmtId="0" fontId="0" fillId="0" borderId="140" pivotButton="0" quotePrefix="0" xfId="0"/>
    <xf numFmtId="0" fontId="0" fillId="0" borderId="141" pivotButton="0" quotePrefix="0" xfId="0"/>
    <xf numFmtId="0" fontId="0" fillId="0" borderId="142" pivotButton="0" quotePrefix="0" xfId="0"/>
    <xf numFmtId="0" fontId="0" fillId="0" borderId="29" pivotButton="0" quotePrefix="0" xfId="0"/>
    <xf numFmtId="0" fontId="0" fillId="0" borderId="48" pivotButton="0" quotePrefix="0" xfId="0"/>
    <xf numFmtId="0" fontId="0" fillId="0" borderId="131" pivotButton="0" quotePrefix="0" xfId="0"/>
    <xf numFmtId="0" fontId="0" fillId="0" borderId="81" pivotButton="0" quotePrefix="0" xfId="0"/>
    <xf numFmtId="0" fontId="0" fillId="0" borderId="132" pivotButton="0" quotePrefix="0" xfId="0"/>
    <xf numFmtId="0" fontId="0" fillId="0" borderId="137" pivotButton="0" quotePrefix="0" xfId="0"/>
    <xf numFmtId="49" fontId="5" fillId="4" borderId="56" applyAlignment="1" pivotButton="0" quotePrefix="0" xfId="0">
      <alignment horizontal="left" wrapText="1" indent="2"/>
    </xf>
    <xf numFmtId="0" fontId="0" fillId="0" borderId="30" pivotButton="0" quotePrefix="0" xfId="0"/>
    <xf numFmtId="49" fontId="5" fillId="5" borderId="56" applyAlignment="1" pivotButton="0" quotePrefix="0" xfId="0">
      <alignment horizontal="left" vertical="top" wrapText="1" indent="2"/>
    </xf>
    <xf numFmtId="49" fontId="5" fillId="6" borderId="56" applyAlignment="1" pivotButton="0" quotePrefix="0" xfId="0">
      <alignment horizontal="left" vertical="top" wrapText="1" indent="2"/>
    </xf>
    <xf numFmtId="49" fontId="8" fillId="6" borderId="56" applyAlignment="1" pivotButton="0" quotePrefix="0" xfId="0">
      <alignment horizontal="left" vertical="top" wrapText="1" indent="2"/>
    </xf>
    <xf numFmtId="49" fontId="5" fillId="7" borderId="56" applyAlignment="1" pivotButton="0" quotePrefix="0" xfId="0">
      <alignment horizontal="left" vertical="top" wrapText="1" indent="2"/>
    </xf>
    <xf numFmtId="49" fontId="8" fillId="8" borderId="56" applyAlignment="1" pivotButton="0" quotePrefix="0" xfId="0">
      <alignment horizontal="left" vertical="top" wrapText="1" indent="2"/>
    </xf>
    <xf numFmtId="49" fontId="5" fillId="8" borderId="56" applyAlignment="1" pivotButton="0" quotePrefix="0" xfId="0">
      <alignment horizontal="left" vertical="top" wrapText="1" indent="2"/>
    </xf>
    <xf numFmtId="49" fontId="8" fillId="9" borderId="56" applyAlignment="1" pivotButton="0" quotePrefix="0" xfId="0">
      <alignment horizontal="left" vertical="top" wrapText="1"/>
    </xf>
    <xf numFmtId="49" fontId="5" fillId="10" borderId="56" applyAlignment="1" pivotButton="0" quotePrefix="0" xfId="0">
      <alignment horizontal="left" vertical="top" wrapText="1" indent="2"/>
    </xf>
    <xf numFmtId="0" fontId="0" fillId="0" borderId="92" pivotButton="0" quotePrefix="0" xfId="0"/>
    <xf numFmtId="0" fontId="0" fillId="0" borderId="50" pivotButton="0" quotePrefix="0" xfId="0"/>
    <xf numFmtId="0" fontId="0" fillId="0" borderId="143" pivotButton="0" quotePrefix="0" xfId="0"/>
    <xf numFmtId="0" fontId="0" fillId="0" borderId="144" pivotButton="0" quotePrefix="0" xfId="0"/>
    <xf numFmtId="0" fontId="0" fillId="0" borderId="52" pivotButton="0" quotePrefix="0" xfId="0"/>
    <xf numFmtId="0" fontId="0" fillId="0" borderId="145" pivotButton="0" quotePrefix="0" xfId="0"/>
    <xf numFmtId="0" fontId="0" fillId="0" borderId="46" pivotButton="0" quotePrefix="0" xfId="0"/>
    <xf numFmtId="0" fontId="0" fillId="0" borderId="64" pivotButton="0" quotePrefix="0" xfId="0"/>
    <xf numFmtId="0" fontId="0" fillId="0" borderId="113" pivotButton="0" quotePrefix="0" xfId="0"/>
    <xf numFmtId="0" fontId="0" fillId="0" borderId="148" pivotButton="0" quotePrefix="0" xfId="0"/>
    <xf numFmtId="0" fontId="0" fillId="0" borderId="147" pivotButton="0" quotePrefix="0" xfId="0"/>
    <xf numFmtId="0" fontId="0" fillId="0" borderId="116" pivotButton="0" quotePrefix="0" xfId="0"/>
    <xf numFmtId="49" fontId="12" fillId="11" borderId="20" applyAlignment="1" pivotButton="0" quotePrefix="0" xfId="0">
      <alignment horizontal="right" vertical="center"/>
    </xf>
    <xf numFmtId="49" fontId="47" fillId="14" borderId="54" applyAlignment="1" pivotButton="0" quotePrefix="0" xfId="0">
      <alignment horizontal="center" vertical="center" wrapText="1"/>
    </xf>
    <xf numFmtId="0" fontId="0" fillId="0" borderId="53" pivotButton="0" quotePrefix="0" xfId="0"/>
    <xf numFmtId="49" fontId="5" fillId="17" borderId="54" applyAlignment="1" pivotButton="0" quotePrefix="0" xfId="0">
      <alignment horizontal="center" vertical="top" wrapText="1"/>
    </xf>
    <xf numFmtId="0" fontId="12" fillId="11" borderId="54" applyAlignment="1" pivotButton="0" quotePrefix="0" xfId="0">
      <alignment horizontal="center" wrapText="1"/>
    </xf>
    <xf numFmtId="0" fontId="0" fillId="0" borderId="91" pivotButton="0" quotePrefix="0" xfId="0"/>
    <xf numFmtId="0" fontId="0" fillId="0" borderId="65" pivotButton="0" quotePrefix="0" xfId="0"/>
    <xf numFmtId="0" fontId="0" fillId="0" borderId="151" pivotButton="0" quotePrefix="0" xfId="0"/>
    <xf numFmtId="0" fontId="0" fillId="0" borderId="114" pivotButton="0" quotePrefix="0" xfId="0"/>
    <xf numFmtId="0" fontId="0" fillId="0" borderId="152" pivotButton="0" quotePrefix="0" xfId="0"/>
    <xf numFmtId="49" fontId="14" fillId="17" borderId="54" applyAlignment="1" pivotButton="0" quotePrefix="0" xfId="0">
      <alignment horizontal="center"/>
    </xf>
    <xf numFmtId="49" fontId="14" fillId="17" borderId="54" applyAlignment="1" pivotButton="0" quotePrefix="0" xfId="0">
      <alignment horizontal="center" wrapText="1"/>
    </xf>
    <xf numFmtId="49" fontId="13" fillId="11" borderId="42" applyAlignment="1" pivotButton="0" quotePrefix="0" xfId="0">
      <alignment horizontal="center" wrapText="1"/>
    </xf>
    <xf numFmtId="49" fontId="20" fillId="11" borderId="42" applyAlignment="1" pivotButton="0" quotePrefix="0" xfId="0">
      <alignment horizontal="center" wrapText="1"/>
    </xf>
    <xf numFmtId="0" fontId="0" fillId="0" borderId="69" pivotButton="0" quotePrefix="0" xfId="0"/>
    <xf numFmtId="49" fontId="10" fillId="11" borderId="54" applyAlignment="1" pivotButton="0" quotePrefix="0" xfId="0">
      <alignment horizontal="center" wrapText="1"/>
    </xf>
    <xf numFmtId="49" fontId="8" fillId="17" borderId="54" applyAlignment="1" pivotButton="0" quotePrefix="0" xfId="0">
      <alignment horizontal="center" vertical="top"/>
    </xf>
    <xf numFmtId="49" fontId="10" fillId="11" borderId="54" applyAlignment="1" pivotButton="0" quotePrefix="0" xfId="0">
      <alignment horizontal="center" vertical="center" wrapText="1"/>
    </xf>
    <xf numFmtId="0" fontId="0" fillId="0" borderId="18" pivotButton="0" quotePrefix="0" xfId="0"/>
    <xf numFmtId="0" fontId="0" fillId="0" borderId="37" pivotButton="0" quotePrefix="0" xfId="0"/>
  </cellXfs>
  <cellStyles count="2">
    <cellStyle name="Normal" xfId="0" builtinId="0"/>
    <cellStyle name="Hyperlink" xfId="1" builtinId="8"/>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A5A5A5"/>
      <rgbColor rgb="FF3F3F3F"/>
      <rgbColor rgb="FF0000FF"/>
      <rgbColor rgb="FFAAAAAA"/>
      <rgbColor rgb="FFFFFFFF"/>
      <rgbColor rgb="FFF2F2F2"/>
      <rgbColor rgb="FFA02C2C"/>
      <rgbColor rgb="FFFDE9D9"/>
      <rgbColor rgb="FFEAF1DD"/>
      <rgbColor rgb="FFE5DFEC"/>
      <rgbColor rgb="FFDAEEF3"/>
      <rgbColor rgb="FFF2DBDB"/>
      <rgbColor rgb="FFFFFF00"/>
      <rgbColor rgb="FFD6D4CA"/>
      <rgbColor rgb="FF3771C8"/>
      <rgbColor rgb="FFD8D8D8"/>
      <rgbColor rgb="FFA5B6CA"/>
      <rgbColor rgb="FFFF0000"/>
      <rgbColor rgb="FFC00000"/>
      <rgbColor rgb="FFD6E3BC"/>
      <rgbColor rgb="FFFFDD55"/>
      <rgbColor rgb="FFF2FA90"/>
      <rgbColor rgb="FFDBE5F1"/>
      <rgbColor rgb="FFBFBFBF"/>
      <rgbColor rgb="FF444444"/>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comments/comment1.xml><?xml version="1.0" encoding="utf-8"?>
<comments xmlns="http://schemas.openxmlformats.org/spreadsheetml/2006/main">
  <authors>
    <author>tc={6D07E0CD-1AF3-4C87-A3C2-F4D83194D8DA}</author>
  </authors>
  <commentList>
    <comment ref="C3" authorId="0" shapeId="0">
      <text>
        <t xml:space="preserve">[Threaded comment]
Your version of Excel allows you to read this threaded comment; however, any edits to it will get removed if the file is opened in a newer version of Excel. Learn more: https://go.microsoft.com/fwlink/?linkid=870924
Comment:
    Please confirm sites are accurate. Please confirm TX site found during OSINT is not in scope/no longer a part of Canopy. </t>
      </text>
    </comment>
  </commentList>
</comments>
</file>

<file path=xl/comments/comment2.xml><?xml version="1.0" encoding="utf-8"?>
<comments xmlns="http://schemas.openxmlformats.org/spreadsheetml/2006/main">
  <authors>
    <author>G L</author>
  </authors>
  <commentList>
    <comment ref="F2" authorId="0" shapeId="0">
      <text>
        <t>G L:
Organization seeking certification</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2</col>
      <colOff>352425</colOff>
      <row>0</row>
      <rowOff>190500</rowOff>
    </from>
    <to>
      <col>6</col>
      <colOff>876300</colOff>
      <row>13</row>
      <rowOff>10795</rowOff>
    </to>
    <pic>
      <nvPicPr>
        <cNvPr id="5" name="Picture 1" descr="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5013325" y="190500"/>
          <a:ext cx="2809875" cy="2809875"/>
        </a:xfrm>
        <a:prstGeom xmlns:a="http://schemas.openxmlformats.org/drawingml/2006/main" prst="rect">
          <avLst/>
        </a:prstGeom>
        <a:ln xmlns:a="http://schemas.openxmlformats.org/drawingml/2006/main" w="12700" cap="flat">
          <a:noFill/>
          <a:prstDash val="solid"/>
          <a:miter lim="400000"/>
        </a:ln>
      </spPr>
    </pic>
    <clientData/>
  </twoCellAnchor>
</wsDr>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hyperlink" Target="https://cmmcinfo.org/home/cmmc-info-tools/maturity-level-1-gap-assessment-tool/" TargetMode="External" Id="rId1"/></Relationships>
</file>

<file path=xl/worksheets/_rels/sheet2.xml.rels><Relationships xmlns="http://schemas.openxmlformats.org/package/2006/relationships"><Relationship Type="http://schemas.openxmlformats.org/officeDocument/2006/relationships/hyperlink" Target="https://www.paypal.com/donate/?hosted_button_id=GYZCE3NCKWBBJ" TargetMode="External" Id="rId1"/><Relationship Type="http://schemas.openxmlformats.org/officeDocument/2006/relationships/hyperlink" Target="https://cmmcinfo.org/home/about-us/subscribe-to-our-newsletter/" TargetMode="External" Id="rId2"/></Relationships>
</file>

<file path=xl/worksheets/_rels/sheet3.xml.rels><Relationships xmlns="http://schemas.openxmlformats.org/package/2006/relationships"><Relationship Type="http://schemas.openxmlformats.org/officeDocument/2006/relationships/hyperlink" Target="mailto:richard.bays@canopy-ad.com" TargetMode="External" Id="rId1"/></Relationships>
</file>

<file path=xl/worksheets/_rels/sheet4.xml.rels><Relationships xmlns="http://schemas.openxmlformats.org/package/2006/relationships"><Relationship Type="http://schemas.openxmlformats.org/officeDocument/2006/relationships/hyperlink" Target="https://www.sprs.csd.disa.mil/" TargetMode="External" Id="rId1"/><Relationship Type="http://schemas.openxmlformats.org/officeDocument/2006/relationships/hyperlink" Target="https://www.sprs.csd.disa.mil/faqs.htm" TargetMode="External" Id="rId2"/><Relationship Type="http://schemas.openxmlformats.org/officeDocument/2006/relationships/hyperlink" Target="https://www.sprs.csd.disa.mil/pdf/NISTSP800-171QuickEntryGuide.pdf" TargetMode="External" Id="rId3"/><Relationship Type="http://schemas.openxmlformats.org/officeDocument/2006/relationships/hyperlink" Target="https://www.archives.gov/cui/registry/category-list" TargetMode="External" Id="rId4"/></Relationships>
</file>

<file path=xl/worksheets/_rels/sheet8.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14.xml.rels><Relationships xmlns="http://schemas.openxmlformats.org/package/2006/relationships"><Relationship Type="http://schemas.openxmlformats.org/officeDocument/2006/relationships/hyperlink" Target="https://www.acq.osd.mil/cmmc/documentation.html" TargetMode="External" Id="rId1"/></Relationships>
</file>

<file path=xl/worksheets/_rels/sheet15.xml.rels><Relationships xmlns="http://schemas.openxmlformats.org/package/2006/relationships"><Relationship Type="http://schemas.openxmlformats.org/officeDocument/2006/relationships/hyperlink" Target="https://www.acq.osd.mil/cmmc/documentation.html" TargetMode="External" Id="rId1"/></Relationships>
</file>

<file path=xl/worksheets/_rels/sheet16.xml.rels><Relationships xmlns="http://schemas.openxmlformats.org/package/2006/relationships"><Relationship Type="http://schemas.openxmlformats.org/officeDocument/2006/relationships/hyperlink" Target="https://www.acq.osd.mil/cmmc/documentation.html" TargetMode="External" Id="rId1"/></Relationships>
</file>

<file path=xl/worksheets/_rels/sheet20.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22.xml.rels><Relationships xmlns="http://schemas.openxmlformats.org/package/2006/relationships"><Relationship Type="http://schemas.openxmlformats.org/officeDocument/2006/relationships/hyperlink" Target="https://www.archives.gov/cui/registry/category-list" TargetMode="External" Id="rId1"/><Relationship Type="http://schemas.openxmlformats.org/officeDocument/2006/relationships/hyperlink" Target="https://www.archives.gov/cui/registry/category-detail/ammonium-nitrate" TargetMode="External" Id="rId2"/><Relationship Type="http://schemas.openxmlformats.org/officeDocument/2006/relationships/hyperlink" Target="https://www.archives.gov/cui/registry/category-detail/chemical-terrorism-vulnerability-information" TargetMode="External" Id="rId3"/><Relationship Type="http://schemas.openxmlformats.org/officeDocument/2006/relationships/hyperlink" Target="https://www.archives.gov/cui/registry/category-detail/critical-energy-infrastructure-information" TargetMode="External" Id="rId4"/><Relationship Type="http://schemas.openxmlformats.org/officeDocument/2006/relationships/hyperlink" Target="https://www.archives.gov/cui/registry/category-detail/emergency-mgmt" TargetMode="External" Id="rId5"/><Relationship Type="http://schemas.openxmlformats.org/officeDocument/2006/relationships/hyperlink" Target="https://www.archives.gov/cui/registry/category-detail/critical-infrastructure" TargetMode="External" Id="rId6"/><Relationship Type="http://schemas.openxmlformats.org/officeDocument/2006/relationships/hyperlink" Target="https://www.archives.gov/cui/registry/category-detail/info-systems-vulnerability-info" TargetMode="External" Id="rId7"/><Relationship Type="http://schemas.openxmlformats.org/officeDocument/2006/relationships/hyperlink" Target="https://www.archives.gov/cui/registry/category-detail/physical-security" TargetMode="External" Id="rId8"/><Relationship Type="http://schemas.openxmlformats.org/officeDocument/2006/relationships/hyperlink" Target="https://www.archives.gov/cui/registry/category-detail/protected-critical-infrastructure-information" TargetMode="External" Id="rId9"/><Relationship Type="http://schemas.openxmlformats.org/officeDocument/2006/relationships/hyperlink" Target="https://www.archives.gov/cui/registry/category-detail/safety-act-info" TargetMode="External" Id="rId10"/><Relationship Type="http://schemas.openxmlformats.org/officeDocument/2006/relationships/hyperlink" Target="https://www.archives.gov/cui/registry/category-detail/toxic-substances" TargetMode="External" Id="rId11"/><Relationship Type="http://schemas.openxmlformats.org/officeDocument/2006/relationships/hyperlink" Target="https://www.archives.gov/cui/registry/category-detail/water-assessments" TargetMode="External" Id="rId12"/><Relationship Type="http://schemas.openxmlformats.org/officeDocument/2006/relationships/hyperlink" Target="https://www.archives.gov/cui/registry/category-detail/controlled-technical-info" TargetMode="External" Id="rId13"/><Relationship Type="http://schemas.openxmlformats.org/officeDocument/2006/relationships/hyperlink" Target="https://www.archives.gov/cui/registry/category-detail/dod-critical-infrastructure-security-information" TargetMode="External" Id="rId14"/><Relationship Type="http://schemas.openxmlformats.org/officeDocument/2006/relationships/hyperlink" Target="https://www.archives.gov/cui/registry/category-detail/naval-nuclear-propulsion-info" TargetMode="External" Id="rId15"/><Relationship Type="http://schemas.openxmlformats.org/officeDocument/2006/relationships/hyperlink" Target="https://www.archives.gov/cui/registry/category-detail/ucni-dod" TargetMode="External" Id="rId16"/><Relationship Type="http://schemas.openxmlformats.org/officeDocument/2006/relationships/hyperlink" Target="https://www.archives.gov/cui/registry/category-detail/export-control" TargetMode="External" Id="rId17"/><Relationship Type="http://schemas.openxmlformats.org/officeDocument/2006/relationships/hyperlink" Target="https://www.archives.gov/cui/registry/category-detail/export-controlled-research" TargetMode="External" Id="rId18"/><Relationship Type="http://schemas.openxmlformats.org/officeDocument/2006/relationships/hyperlink" Target="https://www.archives.gov/cui/registry/category-detail/bank-secrecy" TargetMode="External" Id="rId19"/><Relationship Type="http://schemas.openxmlformats.org/officeDocument/2006/relationships/hyperlink" Target="https://www.archives.gov/cui/registry/category-detail/budget" TargetMode="External" Id="rId20"/><Relationship Type="http://schemas.openxmlformats.org/officeDocument/2006/relationships/hyperlink" Target="https://www.archives.gov/cui/registry/category-detail/comptroller-general" TargetMode="External" Id="rId21"/><Relationship Type="http://schemas.openxmlformats.org/officeDocument/2006/relationships/hyperlink" Target="https://www.archives.gov/cui/registry/category-detail/consumer-complaint-information" TargetMode="External" Id="rId22"/><Relationship Type="http://schemas.openxmlformats.org/officeDocument/2006/relationships/hyperlink" Target="https://www.archives.gov/cui/registry/category-detail/electronic-funds-transfer" TargetMode="External" Id="rId23"/><Relationship Type="http://schemas.openxmlformats.org/officeDocument/2006/relationships/hyperlink" Target="https://www.archives.gov/cui/registry/category-detail/fhfa-nonpublic-info" TargetMode="External" Id="rId24"/><Relationship Type="http://schemas.openxmlformats.org/officeDocument/2006/relationships/hyperlink" Target="https://www.archives.gov/cui/registry/category-detail/financial-supervision-information" TargetMode="External" Id="rId25"/><Relationship Type="http://schemas.openxmlformats.org/officeDocument/2006/relationships/hyperlink" Target="https://www.archives.gov/cui/registry/category-detail/financial" TargetMode="External" Id="rId26"/><Relationship Type="http://schemas.openxmlformats.org/officeDocument/2006/relationships/hyperlink" Target="https://www.archives.gov/cui/registry/category-detail/international-financial-institutions" TargetMode="External" Id="rId27"/><Relationship Type="http://schemas.openxmlformats.org/officeDocument/2006/relationships/hyperlink" Target="https://www.archives.gov/cui/registry/category-detail/mergers" TargetMode="External" Id="rId28"/><Relationship Type="http://schemas.openxmlformats.org/officeDocument/2006/relationships/hyperlink" Target="https://www.archives.gov/cui/registry/category-detail/net-worth" TargetMode="External" Id="rId29"/><Relationship Type="http://schemas.openxmlformats.org/officeDocument/2006/relationships/hyperlink" Target="https://www.archives.gov/cui/registry/category-detail/retirement" TargetMode="External" Id="rId30"/><Relationship Type="http://schemas.openxmlformats.org/officeDocument/2006/relationships/hyperlink" Target="https://www.archives.gov/cui/registry/category-detail/asylee" TargetMode="External" Id="rId31"/><Relationship Type="http://schemas.openxmlformats.org/officeDocument/2006/relationships/hyperlink" Target="https://www.archives.gov/cui/registry/category-detail/battered-spouse-or-child" TargetMode="External" Id="rId32"/><Relationship Type="http://schemas.openxmlformats.org/officeDocument/2006/relationships/hyperlink" Target="https://www.archives.gov/cui/registry/category-detail/permanent-resident-status" TargetMode="External" Id="rId33"/><Relationship Type="http://schemas.openxmlformats.org/officeDocument/2006/relationships/hyperlink" Target="https://www.archives.gov/cui/registry/category-detail/status-adjustment" TargetMode="External" Id="rId34"/><Relationship Type="http://schemas.openxmlformats.org/officeDocument/2006/relationships/hyperlink" Target="https://www.archives.gov/cui/registry/category-detail/temporary-protected-status" TargetMode="External" Id="rId35"/><Relationship Type="http://schemas.openxmlformats.org/officeDocument/2006/relationships/hyperlink" Target="https://www.archives.gov/cui/registry/category-detail/victims-of-human-trafficking" TargetMode="External" Id="rId36"/><Relationship Type="http://schemas.openxmlformats.org/officeDocument/2006/relationships/hyperlink" Target="https://www.archives.gov/cui/registry/category-detail/visas" TargetMode="External" Id="rId37"/><Relationship Type="http://schemas.openxmlformats.org/officeDocument/2006/relationships/hyperlink" Target="https://www.archives.gov/cui/registry/category-detail/agriculture" TargetMode="External" Id="rId38"/><Relationship Type="http://schemas.openxmlformats.org/officeDocument/2006/relationships/hyperlink" Target="https://www.archives.gov/cui/registry/category-detail/foreign-intelligence-surveillance-act" TargetMode="External" Id="rId39"/><Relationship Type="http://schemas.openxmlformats.org/officeDocument/2006/relationships/hyperlink" Target="https://www.archives.gov/cui/registry/category-detail/foreign-intelligence-surveillance-act-business-records" TargetMode="External" Id="rId40"/><Relationship Type="http://schemas.openxmlformats.org/officeDocument/2006/relationships/hyperlink" Target="https://www.archives.gov/cui/registry/category-detail/intelligence" TargetMode="External" Id="rId41"/><Relationship Type="http://schemas.openxmlformats.org/officeDocument/2006/relationships/hyperlink" Target="https://www.archives.gov/cui/registry/category-detail/geodetic-product-info" TargetMode="External" Id="rId42"/><Relationship Type="http://schemas.openxmlformats.org/officeDocument/2006/relationships/hyperlink" Target="https://www.archives.gov/cui/registry/category-detail/intelligence-financial-records" TargetMode="External" Id="rId43"/><Relationship Type="http://schemas.openxmlformats.org/officeDocument/2006/relationships/hyperlink" Target="https://www.archives.gov/cui/registry/category-detail/internal-data" TargetMode="External" Id="rId44"/><Relationship Type="http://schemas.openxmlformats.org/officeDocument/2006/relationships/hyperlink" Target="https://www.archives.gov/cui/registry/category-detail/opsec" TargetMode="External" Id="rId45"/><Relationship Type="http://schemas.openxmlformats.org/officeDocument/2006/relationships/hyperlink" Target="https://www.archives.gov/cui/registry/category-detail/international-agreements" TargetMode="External" Id="rId46"/><Relationship Type="http://schemas.openxmlformats.org/officeDocument/2006/relationships/hyperlink" Target="https://www.archives.gov/cui/registry/category-detail/accident-investigation" TargetMode="External" Id="rId47"/><Relationship Type="http://schemas.openxmlformats.org/officeDocument/2006/relationships/hyperlink" Target="https://www.archives.gov/cui/registry/category-detail/campaign-funds" TargetMode="External" Id="rId48"/><Relationship Type="http://schemas.openxmlformats.org/officeDocument/2006/relationships/hyperlink" Target="https://www.archives.gov/cui/registry/category-detail/committed-person" TargetMode="External" Id="rId49"/><Relationship Type="http://schemas.openxmlformats.org/officeDocument/2006/relationships/hyperlink" Target="https://www.archives.gov/cui/registry/category-detail/communications" TargetMode="External" Id="rId50"/><Relationship Type="http://schemas.openxmlformats.org/officeDocument/2006/relationships/hyperlink" Target="https://www.archives.gov/cui/registry/category-detail/controlled-substances" TargetMode="External" Id="rId51"/><Relationship Type="http://schemas.openxmlformats.org/officeDocument/2006/relationships/hyperlink" Target="https://www.archives.gov/cui/registry/category-detail/criminal-history-records-info" TargetMode="External" Id="rId52"/><Relationship Type="http://schemas.openxmlformats.org/officeDocument/2006/relationships/hyperlink" Target="https://www.archives.gov/cui/registry/category-detail/dna" TargetMode="External" Id="rId53"/><Relationship Type="http://schemas.openxmlformats.org/officeDocument/2006/relationships/hyperlink" Target="https://www.archives.gov/cui/registry/category-detail/general-law-enforcement" TargetMode="External" Id="rId54"/><Relationship Type="http://schemas.openxmlformats.org/officeDocument/2006/relationships/hyperlink" Target="https://www.archives.gov/cui/registry/category-detail/informant" TargetMode="External" Id="rId55"/><Relationship Type="http://schemas.openxmlformats.org/officeDocument/2006/relationships/hyperlink" Target="https://www.archives.gov/cui/registry/category-detail/investigation" TargetMode="External" Id="rId56"/><Relationship Type="http://schemas.openxmlformats.org/officeDocument/2006/relationships/hyperlink" Target="https://www.archives.gov/cui/registry/category-detail/juvenile" TargetMode="External" Id="rId57"/><Relationship Type="http://schemas.openxmlformats.org/officeDocument/2006/relationships/hyperlink" Target="https://www.archives.gov/cui/registry/category-detail/law-enforcement-financial-records" TargetMode="External" Id="rId58"/><Relationship Type="http://schemas.openxmlformats.org/officeDocument/2006/relationships/hyperlink" Target="https://www.archives.gov/cui/registry/category-detail/national-security-letter" TargetMode="External" Id="rId59"/><Relationship Type="http://schemas.openxmlformats.org/officeDocument/2006/relationships/hyperlink" Target="https://www.archives.gov/cui/registry/category-detail/pen-register-trap-and-trace" TargetMode="External" Id="rId60"/><Relationship Type="http://schemas.openxmlformats.org/officeDocument/2006/relationships/hyperlink" Target="https://www.archives.gov/cui/registry/category-detail/reward" TargetMode="External" Id="rId61"/><Relationship Type="http://schemas.openxmlformats.org/officeDocument/2006/relationships/hyperlink" Target="https://www.archives.gov/cui/registry/category-detail/sex-crime-victim" TargetMode="External" Id="rId62"/><Relationship Type="http://schemas.openxmlformats.org/officeDocument/2006/relationships/hyperlink" Target="https://www.archives.gov/cui/registry/category-detail/terrorist-screening" TargetMode="External" Id="rId63"/><Relationship Type="http://schemas.openxmlformats.org/officeDocument/2006/relationships/hyperlink" Target="https://www.archives.gov/cui/registry/category-detail/whistleblower-identity" TargetMode="External" Id="rId64"/><Relationship Type="http://schemas.openxmlformats.org/officeDocument/2006/relationships/hyperlink" Target="https://www.archives.gov/cui/registry/category-detail/admin-proceedings" TargetMode="External" Id="rId65"/><Relationship Type="http://schemas.openxmlformats.org/officeDocument/2006/relationships/hyperlink" Target="https://www.archives.gov/cui/registry/category-detail/child-pornography" TargetMode="External" Id="rId66"/><Relationship Type="http://schemas.openxmlformats.org/officeDocument/2006/relationships/hyperlink" Target="https://www.archives.gov/cui/registry/category-detail/child-victim-witness" TargetMode="External" Id="rId67"/><Relationship Type="http://schemas.openxmlformats.org/officeDocument/2006/relationships/hyperlink" Target="https://www.archives.gov/cui/registry/category-detail/collective-bargaining" TargetMode="External" Id="rId68"/><Relationship Type="http://schemas.openxmlformats.org/officeDocument/2006/relationships/hyperlink" Target="https://www.archives.gov/cui/registry/category-detail/federal-grand-jury" TargetMode="External" Id="rId69"/><Relationship Type="http://schemas.openxmlformats.org/officeDocument/2006/relationships/hyperlink" Target="https://www.archives.gov/cui/registry/category-detail/legal-privilege" TargetMode="External" Id="rId70"/><Relationship Type="http://schemas.openxmlformats.org/officeDocument/2006/relationships/hyperlink" Target="https://www.archives.gov/cui/registry/category-detail/legislative-materials" TargetMode="External" Id="rId71"/><Relationship Type="http://schemas.openxmlformats.org/officeDocument/2006/relationships/hyperlink" Target="https://www.archives.gov/cui/registry/category-detail/presentence-report" TargetMode="External" Id="rId72"/><Relationship Type="http://schemas.openxmlformats.org/officeDocument/2006/relationships/hyperlink" Target="https://www.archives.gov/cui/registry/category-detail/prior-arrest" TargetMode="External" Id="rId73"/><Relationship Type="http://schemas.openxmlformats.org/officeDocument/2006/relationships/hyperlink" Target="https://www.archives.gov/cui/registry/category-detail/protective-order" TargetMode="External" Id="rId74"/><Relationship Type="http://schemas.openxmlformats.org/officeDocument/2006/relationships/hyperlink" Target="https://www.archives.gov/cui/registry/category-detail/victim" TargetMode="External" Id="rId75"/><Relationship Type="http://schemas.openxmlformats.org/officeDocument/2006/relationships/hyperlink" Target="https://www.archives.gov/cui/registry/category-detail/witness-protection" TargetMode="External" Id="rId76"/><Relationship Type="http://schemas.openxmlformats.org/officeDocument/2006/relationships/hyperlink" Target="https://www.archives.gov/cui/registry/category-detail/archaeological-resources" TargetMode="External" Id="rId77"/><Relationship Type="http://schemas.openxmlformats.org/officeDocument/2006/relationships/hyperlink" Target="https://www.archives.gov/cui/registry/category-detail/historic-properties" TargetMode="External" Id="rId78"/><Relationship Type="http://schemas.openxmlformats.org/officeDocument/2006/relationships/hyperlink" Target="https://www.archives.gov/cui/registry/category-detail/national-park-system-resources" TargetMode="External" Id="rId79"/><Relationship Type="http://schemas.openxmlformats.org/officeDocument/2006/relationships/hyperlink" Target="https://www.archives.gov/cui/registry/category-detail/nato-restricted" TargetMode="External" Id="rId80"/><Relationship Type="http://schemas.openxmlformats.org/officeDocument/2006/relationships/hyperlink" Target="https://www.archives.gov/cui/registry/category-detail/nato-unclassified" TargetMode="External" Id="rId81"/><Relationship Type="http://schemas.openxmlformats.org/officeDocument/2006/relationships/hyperlink" Target="https://www.archives.gov/cui/registry/category-detail/nuclear" TargetMode="External" Id="rId82"/><Relationship Type="http://schemas.openxmlformats.org/officeDocument/2006/relationships/hyperlink" Target="https://www.archives.gov/cui/registry/category-detail/nuclear-recommendation-material" TargetMode="External" Id="rId83"/><Relationship Type="http://schemas.openxmlformats.org/officeDocument/2006/relationships/hyperlink" Target="https://www.archives.gov/cui/registry/category-detail/nuclear-security-related-info.html" TargetMode="External" Id="rId84"/><Relationship Type="http://schemas.openxmlformats.org/officeDocument/2006/relationships/hyperlink" Target="https://www.archives.gov/cui/registry/category-detail/safeguards-info" TargetMode="External" Id="rId85"/><Relationship Type="http://schemas.openxmlformats.org/officeDocument/2006/relationships/hyperlink" Target="https://www.archives.gov/cui/registry/category-detail/ucni-doe" TargetMode="External" Id="rId86"/><Relationship Type="http://schemas.openxmlformats.org/officeDocument/2006/relationships/hyperlink" Target="https://www.archives.gov/cui/registry/category-detail/patent-application" TargetMode="External" Id="rId87"/><Relationship Type="http://schemas.openxmlformats.org/officeDocument/2006/relationships/hyperlink" Target="https://www.archives.gov/cui/registry/category-detail/inventions" TargetMode="External" Id="rId88"/><Relationship Type="http://schemas.openxmlformats.org/officeDocument/2006/relationships/hyperlink" Target="https://www.archives.gov/cui/registry/category-detail/secrecy-orders" TargetMode="External" Id="rId89"/><Relationship Type="http://schemas.openxmlformats.org/officeDocument/2006/relationships/hyperlink" Target="https://www.archives.gov/cui/registry/category-detail/contract-use" TargetMode="External" Id="rId90"/><Relationship Type="http://schemas.openxmlformats.org/officeDocument/2006/relationships/hyperlink" Target="https://www.archives.gov/cui/registry/category-detail/death-records" TargetMode="External" Id="rId91"/><Relationship Type="http://schemas.openxmlformats.org/officeDocument/2006/relationships/hyperlink" Target="https://www.archives.gov/cui/registry/category-detail/privacy" TargetMode="External" Id="rId92"/><Relationship Type="http://schemas.openxmlformats.org/officeDocument/2006/relationships/hyperlink" Target="https://www.archives.gov/cui/registry/category-detail/genetic-info" TargetMode="External" Id="rId93"/><Relationship Type="http://schemas.openxmlformats.org/officeDocument/2006/relationships/hyperlink" Target="https://www.archives.gov/cui/registry/category-detail/health-info" TargetMode="External" Id="rId94"/><Relationship Type="http://schemas.openxmlformats.org/officeDocument/2006/relationships/hyperlink" Target="https://www.archives.gov/cui/registry/category-detail/inspector-general-protected" TargetMode="External" Id="rId95"/><Relationship Type="http://schemas.openxmlformats.org/officeDocument/2006/relationships/hyperlink" Target="https://www.archives.gov/cui/registry/category-detail/military-personnel-records" TargetMode="External" Id="rId96"/><Relationship Type="http://schemas.openxmlformats.org/officeDocument/2006/relationships/hyperlink" Target="https://www.archives.gov/cui/registry/category-detail/personnel-records" TargetMode="External" Id="rId97"/><Relationship Type="http://schemas.openxmlformats.org/officeDocument/2006/relationships/hyperlink" Target="https://www.archives.gov/cui/registry/category-detail/student-records" TargetMode="External" Id="rId98"/><Relationship Type="http://schemas.openxmlformats.org/officeDocument/2006/relationships/hyperlink" Target="https://www.archives.gov/cui/registry/category-detail/procurement-acquisition" TargetMode="External" Id="rId99"/><Relationship Type="http://schemas.openxmlformats.org/officeDocument/2006/relationships/hyperlink" Target="https://www.archives.gov/cui/registry/category-detail/small-business-research-and-technology" TargetMode="External" Id="rId100"/><Relationship Type="http://schemas.openxmlformats.org/officeDocument/2006/relationships/hyperlink" Target="https://www.archives.gov/cui/registry/category-detail/source-selection" TargetMode="External" Id="rId101"/><Relationship Type="http://schemas.openxmlformats.org/officeDocument/2006/relationships/hyperlink" Target="https://www.archives.gov/cui/registry/category-detail/entity-registration-info" TargetMode="External" Id="rId102"/><Relationship Type="http://schemas.openxmlformats.org/officeDocument/2006/relationships/hyperlink" Target="https://www.archives.gov/cui/registry/category-detail/proprietary-business-info" TargetMode="External" Id="rId103"/><Relationship Type="http://schemas.openxmlformats.org/officeDocument/2006/relationships/hyperlink" Target="https://www.archives.gov/cui/registry/category-detail/occ-mto-agreements" TargetMode="External" Id="rId104"/><Relationship Type="http://schemas.openxmlformats.org/officeDocument/2006/relationships/hyperlink" Target="https://www.archives.gov/cui/registry/category-detail/ocean-common-carrier-service-contracts" TargetMode="External" Id="rId105"/><Relationship Type="http://schemas.openxmlformats.org/officeDocument/2006/relationships/hyperlink" Target="https://www.archives.gov/cui/registry/category-detail/proprietary-manufacturer" TargetMode="External" Id="rId106"/><Relationship Type="http://schemas.openxmlformats.org/officeDocument/2006/relationships/hyperlink" Target="https://www.archives.gov/cui/registry/category-detail/proprietary-postal" TargetMode="External" Id="rId107"/><Relationship Type="http://schemas.openxmlformats.org/officeDocument/2006/relationships/hyperlink" Target="https://www.archives.gov/cui/registry/category-detail/homeland-security-agreement-info" TargetMode="External" Id="rId108"/><Relationship Type="http://schemas.openxmlformats.org/officeDocument/2006/relationships/hyperlink" Target="https://www.archives.gov/cui/registry/category-detail/homeland-security-enforcement-info" TargetMode="External" Id="rId109"/><Relationship Type="http://schemas.openxmlformats.org/officeDocument/2006/relationships/hyperlink" Target="https://www.archives.gov/cui/registry/category-detail/information-systems-vulnerability-info-homeland" TargetMode="External" Id="rId110"/><Relationship Type="http://schemas.openxmlformats.org/officeDocument/2006/relationships/hyperlink" Target="https://www.archives.gov/cui/registry/category-detail/international-agreement-info-homeland" TargetMode="External" Id="rId111"/><Relationship Type="http://schemas.openxmlformats.org/officeDocument/2006/relationships/hyperlink" Target="https://www.archives.gov/cui/registry/category-detail/operations-security-info" TargetMode="External" Id="rId112"/><Relationship Type="http://schemas.openxmlformats.org/officeDocument/2006/relationships/hyperlink" Target="https://www.archives.gov/cui/registry/category-detail/personnel-security-info" TargetMode="External" Id="rId113"/><Relationship Type="http://schemas.openxmlformats.org/officeDocument/2006/relationships/hyperlink" Target="https://www.archives.gov/cui/registry/category-detail/physical-security-homeland" TargetMode="External" Id="rId114"/><Relationship Type="http://schemas.openxmlformats.org/officeDocument/2006/relationships/hyperlink" Target="https://www.archives.gov/cui/registry/category-detail/privacy-info" TargetMode="External" Id="rId115"/><Relationship Type="http://schemas.openxmlformats.org/officeDocument/2006/relationships/hyperlink" Target="https://www.archives.gov/cui/registry/category-detail/sensitive-personally-identifiable-info" TargetMode="External" Id="rId116"/><Relationship Type="http://schemas.openxmlformats.org/officeDocument/2006/relationships/hyperlink" Target="https://www.archives.gov/cui/registry/category-detail/investment-survey" TargetMode="External" Id="rId117"/><Relationship Type="http://schemas.openxmlformats.org/officeDocument/2006/relationships/hyperlink" Target="https://www.archives.gov/cui/registry/category-detail/pesticide-producer-survey" TargetMode="External" Id="rId118"/><Relationship Type="http://schemas.openxmlformats.org/officeDocument/2006/relationships/hyperlink" Target="https://www.archives.gov/cui/registry/category-detail/statistical" TargetMode="External" Id="rId119"/><Relationship Type="http://schemas.openxmlformats.org/officeDocument/2006/relationships/hyperlink" Target="https://www.archives.gov/cui/registry/category-detail/census" TargetMode="External" Id="rId120"/><Relationship Type="http://schemas.openxmlformats.org/officeDocument/2006/relationships/hyperlink" Target="https://www.archives.gov/cui/registry/category-detail/federal-taxpayer-info" TargetMode="External" Id="rId121"/><Relationship Type="http://schemas.openxmlformats.org/officeDocument/2006/relationships/hyperlink" Target="https://www.archives.gov/cui/registry/category-detail/tax-convention" TargetMode="External" Id="rId122"/><Relationship Type="http://schemas.openxmlformats.org/officeDocument/2006/relationships/hyperlink" Target="https://www.archives.gov/cui/registry/category-detail/taxpayer-advocate-info" TargetMode="External" Id="rId123"/><Relationship Type="http://schemas.openxmlformats.org/officeDocument/2006/relationships/hyperlink" Target="https://www.archives.gov/cui/registry/category-detail/written-determinations" TargetMode="External" Id="rId124"/><Relationship Type="http://schemas.openxmlformats.org/officeDocument/2006/relationships/hyperlink" Target="https://www.archives.gov/cui/registry/category-detail/railroad-safety-analysis-records" TargetMode="External" Id="rId125"/><Relationship Type="http://schemas.openxmlformats.org/officeDocument/2006/relationships/hyperlink" Target="https://www.archives.gov/cui/registry/category-detail/sensitive-security-info" TargetMode="External" Id="rId126"/></Relationships>
</file>

<file path=xl/worksheets/_rels/sheet2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F11"/>
  <sheetViews>
    <sheetView showGridLines="0" workbookViewId="0">
      <pane xSplit="1" ySplit="2" topLeftCell="B3" activePane="bottomRight" state="frozen"/>
      <selection pane="bottomRight" activeCell="A1" sqref="A1:F1"/>
      <selection pane="bottomLeft" activeCell="A1" sqref="A1"/>
      <selection pane="topRight" activeCell="A1" sqref="A1"/>
    </sheetView>
  </sheetViews>
  <sheetFormatPr baseColWidth="8" defaultColWidth="19.6640625" defaultRowHeight="13.5" customHeight="1"/>
  <cols>
    <col width="3.6640625" customWidth="1" style="1" min="1" max="1"/>
    <col width="55.33203125" customWidth="1" style="1" min="2" max="2"/>
    <col width="12.1640625" customWidth="1" style="1" min="3" max="3"/>
    <col width="10.83203125" customWidth="1" style="1" min="4" max="4"/>
    <col width="51.33203125" customWidth="1" style="1" min="5" max="5"/>
    <col width="79.83203125" customWidth="1" style="1" min="6" max="6"/>
    <col width="19.6640625" customWidth="1" style="1" min="7" max="7"/>
    <col width="19.6640625" customWidth="1" style="1" min="8" max="16384"/>
  </cols>
  <sheetData>
    <row r="1" ht="15.6" customHeight="1" s="566">
      <c r="A1" s="633" t="inlineStr">
        <is>
          <t>Version Control</t>
        </is>
      </c>
    </row>
    <row r="2" ht="15.2" customHeight="1" s="566">
      <c r="A2" s="2" t="inlineStr">
        <is>
          <t>ID</t>
        </is>
      </c>
      <c r="B2" s="2" t="inlineStr">
        <is>
          <t>Description</t>
        </is>
      </c>
      <c r="C2" s="2" t="inlineStr">
        <is>
          <t>Date</t>
        </is>
      </c>
      <c r="D2" s="2" t="inlineStr">
        <is>
          <t>Reviewer</t>
        </is>
      </c>
      <c r="E2" s="2" t="inlineStr">
        <is>
          <t>File Name</t>
        </is>
      </c>
      <c r="F2" s="2" t="inlineStr">
        <is>
          <t>Additional Comments</t>
        </is>
      </c>
    </row>
    <row r="3" ht="50.25" customHeight="1" s="566">
      <c r="A3" s="3" t="inlineStr">
        <is>
          <t>V1</t>
        </is>
      </c>
      <c r="B3" s="4" t="inlineStr">
        <is>
          <t xml:space="preserve">Initial Version
Copyright 2021-2023, CMMC Information Institute, Inc.  Released under the Creative Commons CC-BY-SA license.  </t>
        </is>
      </c>
      <c r="C3" s="5" t="n">
        <v>46051</v>
      </c>
      <c r="D3" s="6" t="inlineStr">
        <is>
          <t>G. Lazo</t>
        </is>
      </c>
      <c r="E3" s="6" t="inlineStr">
        <is>
          <t>20250130_AGL_v2023-02a-far-and-above-and-nist-sp-800-171-self-assessment-dod-score-tool</t>
        </is>
      </c>
      <c r="F3" s="6" t="inlineStr">
        <is>
          <t>Source: https://cmmcinfo.org/home/cmmc-info-tools/maturity-level-1-gap-assessment-tool/</t>
        </is>
      </c>
    </row>
    <row r="4" ht="26.1" customHeight="1" s="566">
      <c r="A4" s="7" t="inlineStr">
        <is>
          <t>V2</t>
        </is>
      </c>
      <c r="B4" s="8" t="inlineStr">
        <is>
          <t>Updated to include version tracking documentation and re-branded for AirGap Labs</t>
        </is>
      </c>
      <c r="C4" s="9" t="n">
        <v>46053</v>
      </c>
      <c r="D4" s="10" t="inlineStr">
        <is>
          <t>G. Lazo</t>
        </is>
      </c>
      <c r="E4" s="10" t="inlineStr">
        <is>
          <t>20260131_AGLv2_v2023-02a-far-and-above-and-nist-sp-800-171-self-assessment-dod-score-tool</t>
        </is>
      </c>
      <c r="F4" s="10" t="inlineStr">
        <is>
          <t xml:space="preserve">Internal version: 
</t>
        </is>
      </c>
    </row>
    <row r="5" ht="14.1" customHeight="1" s="566">
      <c r="A5" s="11" t="n"/>
      <c r="B5" s="12" t="n"/>
      <c r="C5" s="13" t="n"/>
      <c r="D5" s="13" t="n"/>
      <c r="E5" s="13" t="n"/>
      <c r="F5" s="13" t="n"/>
    </row>
    <row r="6" ht="14.1" customHeight="1" s="566">
      <c r="A6" s="11" t="n"/>
      <c r="B6" s="12" t="n"/>
      <c r="C6" s="13" t="n"/>
      <c r="D6" s="13" t="n"/>
      <c r="E6" s="13" t="n"/>
      <c r="F6" s="13" t="n"/>
    </row>
    <row r="7" ht="14.1" customHeight="1" s="566">
      <c r="A7" s="11" t="n"/>
      <c r="B7" s="12" t="n"/>
      <c r="C7" s="13" t="n"/>
      <c r="D7" s="13" t="n"/>
      <c r="E7" s="13" t="n"/>
      <c r="F7" s="13" t="n"/>
    </row>
    <row r="8" ht="14.1" customHeight="1" s="566">
      <c r="A8" s="11" t="n"/>
      <c r="B8" s="12" t="n"/>
      <c r="C8" s="13" t="n"/>
      <c r="D8" s="13" t="n"/>
      <c r="E8" s="13" t="n"/>
      <c r="F8" s="13" t="n"/>
    </row>
    <row r="9" ht="14.1" customHeight="1" s="566">
      <c r="A9" s="11" t="n"/>
      <c r="B9" s="12" t="n"/>
      <c r="C9" s="13" t="n"/>
      <c r="D9" s="13" t="n"/>
      <c r="E9" s="13" t="n"/>
      <c r="F9" s="13" t="n"/>
    </row>
    <row r="10" ht="14.1" customHeight="1" s="566">
      <c r="A10" s="11" t="n"/>
      <c r="B10" s="12" t="n"/>
      <c r="C10" s="13" t="n"/>
      <c r="D10" s="13" t="n"/>
      <c r="E10" s="13" t="n"/>
      <c r="F10" s="13" t="n"/>
    </row>
    <row r="11" ht="14.1" customHeight="1" s="566">
      <c r="A11" s="11" t="n"/>
      <c r="B11" s="12" t="n"/>
      <c r="C11" s="13" t="n"/>
      <c r="D11" s="13" t="n"/>
      <c r="E11" s="13" t="n"/>
      <c r="F11" s="13" t="n"/>
    </row>
  </sheetData>
  <mergeCells count="1">
    <mergeCell ref="A1:F1"/>
  </mergeCells>
  <hyperlinks>
    <hyperlink xmlns:r="http://schemas.openxmlformats.org/officeDocument/2006/relationships" ref="F3" display="https://cmmcinfo.org/home/cmmc-info-tools/maturity-level-1-gap-assessment-tool/" r:id="rId1"/>
  </hyperlink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Z48"/>
  <sheetViews>
    <sheetView showGridLines="0" workbookViewId="0">
      <selection activeCell="A1" sqref="A1:E5"/>
    </sheetView>
  </sheetViews>
  <sheetFormatPr baseColWidth="8" defaultColWidth="9" defaultRowHeight="12.75" customHeight="1"/>
  <cols>
    <col width="5.83203125" customWidth="1" style="1" min="1" max="4"/>
    <col width="14.6640625" customWidth="1" style="1" min="5" max="5"/>
    <col width="1.6640625" customWidth="1" style="1" min="6" max="6"/>
    <col width="10.83203125" customWidth="1" style="1" min="7" max="23"/>
    <col width="9" customWidth="1" style="1" min="24" max="26"/>
    <col width="5.83203125" customWidth="1" style="1" min="27" max="30"/>
    <col width="14.6640625" customWidth="1" style="1" min="31" max="31"/>
    <col width="1.6640625" customWidth="1" style="1" min="32" max="32"/>
    <col width="10.83203125" customWidth="1" style="1" min="33" max="49"/>
    <col width="9" customWidth="1" style="1" min="50" max="53"/>
    <col width="9" customWidth="1" style="1" min="54" max="16384"/>
  </cols>
  <sheetData>
    <row r="1" ht="35.1" customHeight="1" s="566">
      <c r="A1" s="680" t="n"/>
      <c r="B1" s="858" t="n"/>
      <c r="C1" s="858" t="n"/>
      <c r="D1" s="858" t="n"/>
      <c r="E1" s="859" t="n"/>
      <c r="F1" s="14" t="n"/>
      <c r="G1" s="698" t="inlineStr">
        <is>
          <t>Welcome!  This Tool is designed to provide guidance to government contractors who handle Controlled Unclassified Information as they try to meet the requirements in NIST SP 800-171.  The Tool organizes the 800-171 requirements using the FAR and Above program's 5-stage approach, providing contractors a step-by-step path for their compliance journey.  The Tool allows you to perform a self-assessment, record the results, and create Plans of Action and Milestones ("POA&amp;Ms") for requirements that are not met.  This Tool also automatically calculates both the FAR and Above and DoD Assessment Methodology scores (also called the SPRS score) based on the self-assessment results.  This Tool will be most beneficial to small businesses with a limited number of employees and a small IT infrastructure.  As the organization grows, we suggest migrating to a more robust platform, like FutureFeed (https://www.FutureFeed.co), to better build and manage your cybersecurity and compliance programs.  FutureFeed is a sponsor of the CMMC Information Institute.</t>
        </is>
      </c>
      <c r="H1" s="858" t="n"/>
      <c r="I1" s="858" t="n"/>
      <c r="J1" s="858" t="n"/>
      <c r="K1" s="858" t="n"/>
      <c r="L1" s="858" t="n"/>
      <c r="M1" s="858" t="n"/>
      <c r="N1" s="858" t="n"/>
      <c r="O1" s="858" t="n"/>
      <c r="P1" s="858" t="n"/>
      <c r="Q1" s="858" t="n"/>
      <c r="R1" s="858" t="n"/>
      <c r="S1" s="858" t="n"/>
      <c r="T1" s="858" t="n"/>
      <c r="U1" s="858" t="n"/>
      <c r="V1" s="858" t="n"/>
      <c r="W1" s="860" t="n"/>
      <c r="X1" s="15" t="n"/>
      <c r="Y1" s="81" t="n"/>
      <c r="Z1" s="81" t="n"/>
    </row>
    <row r="2" ht="35.1" customHeight="1" s="566">
      <c r="A2" s="861" t="n"/>
      <c r="E2" s="862" t="n"/>
      <c r="F2" s="17" t="n"/>
      <c r="G2" s="861" t="n"/>
      <c r="W2" s="863" t="n"/>
      <c r="X2" s="15" t="n"/>
      <c r="Y2" s="81" t="n"/>
      <c r="Z2" s="81" t="n"/>
    </row>
    <row r="3" ht="83.25" customHeight="1" s="566">
      <c r="A3" s="861" t="n"/>
      <c r="E3" s="862" t="n"/>
      <c r="F3" s="17" t="n"/>
      <c r="G3" s="864" t="n"/>
      <c r="H3" s="865" t="n"/>
      <c r="I3" s="865" t="n"/>
      <c r="J3" s="865" t="n"/>
      <c r="K3" s="865" t="n"/>
      <c r="L3" s="865" t="n"/>
      <c r="M3" s="865" t="n"/>
      <c r="N3" s="865" t="n"/>
      <c r="O3" s="865" t="n"/>
      <c r="P3" s="865" t="n"/>
      <c r="Q3" s="865" t="n"/>
      <c r="R3" s="865" t="n"/>
      <c r="S3" s="865" t="n"/>
      <c r="T3" s="865" t="n"/>
      <c r="U3" s="865" t="n"/>
      <c r="V3" s="865" t="n"/>
      <c r="W3" s="866" t="n"/>
      <c r="X3" s="15" t="n"/>
      <c r="Y3" s="81" t="n"/>
      <c r="Z3" s="81" t="n"/>
    </row>
    <row r="4" ht="60.6" customHeight="1" s="566">
      <c r="A4" s="861" t="n"/>
      <c r="E4" s="862" t="n"/>
      <c r="F4" s="17" t="n"/>
      <c r="G4" s="642" t="inlineStr">
        <is>
          <t>This Tool was created through the generous support of the CMMC Information Institute's donors and sponsors.  Please click here to make a tax-deductable donation to the Institute.  Even small donations help us offset the cost of providing valuable resources like this Tool.  If you are interested in sponsoring the Institute, please contact us at info@cmmcinfo.org.</t>
        </is>
      </c>
      <c r="H4" s="867" t="n"/>
      <c r="I4" s="867" t="n"/>
      <c r="J4" s="867" t="n"/>
      <c r="K4" s="867" t="n"/>
      <c r="L4" s="867" t="n"/>
      <c r="M4" s="867" t="n"/>
      <c r="N4" s="867" t="n"/>
      <c r="O4" s="867" t="n"/>
      <c r="P4" s="867" t="n"/>
      <c r="Q4" s="867" t="n"/>
      <c r="R4" s="867" t="n"/>
      <c r="S4" s="867" t="n"/>
      <c r="T4" s="867" t="n"/>
      <c r="U4" s="867" t="n"/>
      <c r="V4" s="867" t="n"/>
      <c r="W4" s="868" t="n"/>
      <c r="X4" s="15" t="n"/>
      <c r="Y4" s="81" t="n"/>
      <c r="Z4" s="81" t="n"/>
    </row>
    <row r="5" ht="48.75" customHeight="1" s="566">
      <c r="A5" s="869" t="n"/>
      <c r="B5" s="870" t="n"/>
      <c r="C5" s="870" t="n"/>
      <c r="D5" s="870" t="n"/>
      <c r="E5" s="871" t="n"/>
      <c r="F5" s="17" t="n"/>
      <c r="G5" s="669" t="inlineStr">
        <is>
          <t>This tool is updated periodically with feature enhancements, bug fixes, and other changes.  Be sure to register for our newsletter so that we can alert you when changes are made.</t>
        </is>
      </c>
      <c r="H5" s="867" t="n"/>
      <c r="I5" s="867" t="n"/>
      <c r="J5" s="867" t="n"/>
      <c r="K5" s="867" t="n"/>
      <c r="L5" s="867" t="n"/>
      <c r="M5" s="867" t="n"/>
      <c r="N5" s="867" t="n"/>
      <c r="O5" s="867" t="n"/>
      <c r="P5" s="867" t="n"/>
      <c r="Q5" s="867" t="n"/>
      <c r="R5" s="867" t="n"/>
      <c r="S5" s="867" t="n"/>
      <c r="T5" s="867" t="n"/>
      <c r="U5" s="867" t="n"/>
      <c r="V5" s="867" t="n"/>
      <c r="W5" s="872" t="n"/>
      <c r="X5" s="15" t="n"/>
      <c r="Y5" s="81" t="n"/>
      <c r="Z5" s="81" t="n"/>
    </row>
    <row r="6" ht="19.5" customHeight="1" s="566">
      <c r="A6" s="660" t="inlineStr">
        <is>
          <t xml:space="preserve">
THIS TOOL IS PROVIDED BY THE COPYRIGHT HOLDERS AND CONTRIBUTORS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t>
        </is>
      </c>
      <c r="B6" s="858" t="n"/>
      <c r="C6" s="858" t="n"/>
      <c r="D6" s="858" t="n"/>
      <c r="E6" s="859" t="n"/>
      <c r="F6" s="17" t="n"/>
      <c r="G6" s="642" t="inlineStr">
        <is>
          <t xml:space="preserve">This Tool consists of several worksheets, including:
</t>
        </is>
      </c>
      <c r="H6" s="867" t="n"/>
      <c r="I6" s="867" t="n"/>
      <c r="J6" s="867" t="n"/>
      <c r="K6" s="867" t="n"/>
      <c r="L6" s="867" t="n"/>
      <c r="M6" s="867" t="n"/>
      <c r="N6" s="867" t="n"/>
      <c r="O6" s="867" t="n"/>
      <c r="P6" s="867" t="n"/>
      <c r="Q6" s="867" t="n"/>
      <c r="R6" s="867" t="n"/>
      <c r="S6" s="867" t="n"/>
      <c r="T6" s="867" t="n"/>
      <c r="U6" s="867" t="n"/>
      <c r="V6" s="867" t="n"/>
      <c r="W6" s="868" t="n"/>
      <c r="X6" s="15" t="n"/>
      <c r="Y6" s="81" t="n"/>
      <c r="Z6" s="81" t="n"/>
    </row>
    <row r="7" ht="19.5" customHeight="1" s="566">
      <c r="A7" s="861" t="n"/>
      <c r="E7" s="862" t="n"/>
      <c r="F7" s="17" t="n"/>
      <c r="G7" s="676" t="inlineStr">
        <is>
          <t>Introduction - This page.  It provides a basic introduction to the tool and the different worksheets.</t>
        </is>
      </c>
      <c r="H7" s="867" t="n"/>
      <c r="I7" s="867" t="n"/>
      <c r="J7" s="867" t="n"/>
      <c r="K7" s="867" t="n"/>
      <c r="L7" s="867" t="n"/>
      <c r="M7" s="867" t="n"/>
      <c r="N7" s="867" t="n"/>
      <c r="O7" s="867" t="n"/>
      <c r="P7" s="867" t="n"/>
      <c r="Q7" s="867" t="n"/>
      <c r="R7" s="867" t="n"/>
      <c r="S7" s="867" t="n"/>
      <c r="T7" s="867" t="n"/>
      <c r="U7" s="867" t="n"/>
      <c r="V7" s="867" t="n"/>
      <c r="W7" s="872" t="n"/>
      <c r="X7" s="15" t="n"/>
      <c r="Y7" s="81" t="n"/>
      <c r="Z7" s="81" t="n"/>
    </row>
    <row r="8" ht="204" customHeight="1" s="566">
      <c r="A8" s="861" t="n"/>
      <c r="E8" s="862" t="n"/>
      <c r="F8" s="17" t="n"/>
      <c r="G8" s="873" t="inlineStr">
        <is>
          <t>Questionnaire - Used by organizations or their Managed Services Provider, Managed Security Service Provider, Consultant, etc. to help evaluate the overall maturity of the organization's cybersecurity program.  For organizations with scores below about 70 points, and those who do not handle CUI, a gap analysis and remediation that focuses on FAR and Above Phase 1 may be more appropriate due to their relative immaturity.   Organizations with scores above 70 are more likely to meet most of the Phase 1 requirements and thus could benefit from performing a gap analysis against all 110 controls.  Remediation of any gaps can be prioritized based on the corresponding control/requirement's order in FAR and Above.  For more details, please visit https://cmmcinfo.org/2022/05/11/cmmc-gap-analysis-client-engagement-process-and-questionnaire/</t>
        </is>
      </c>
      <c r="H8" s="867" t="n"/>
      <c r="I8" s="867" t="n"/>
      <c r="J8" s="867" t="n"/>
      <c r="K8" s="867" t="n"/>
      <c r="L8" s="867" t="n"/>
      <c r="M8" s="867" t="n"/>
      <c r="N8" s="867" t="n"/>
      <c r="O8" s="867" t="n"/>
      <c r="P8" s="867" t="n"/>
      <c r="Q8" s="867" t="n"/>
      <c r="R8" s="867" t="n"/>
      <c r="S8" s="867" t="n"/>
      <c r="T8" s="867" t="n"/>
      <c r="U8" s="867" t="n"/>
      <c r="V8" s="867" t="n"/>
      <c r="W8" s="874" t="n"/>
      <c r="X8" s="15" t="n"/>
      <c r="Y8" s="81" t="n"/>
      <c r="Z8" s="81" t="n"/>
    </row>
    <row r="9" ht="98.25" customHeight="1" s="566">
      <c r="A9" s="861" t="n"/>
      <c r="E9" s="862" t="n"/>
      <c r="F9" s="17" t="n"/>
      <c r="G9" s="875" t="inlineStr">
        <is>
          <t>System Overview &amp; SSP Preamble - Provides a template for the "front matter", or preamble of a System Security Plan ("SSP").  This worksheet collects additional, basic information which must be defined under NIST SP 800-171/CMMC.  Also displays FAR and Above and SPRS scores based on your answers in the SSP - DoD SPRS &amp; Far and Above worksheet (described below).  As a reminder, this SSP is used to define the security of a "system", or collection of devices, software, people, and information.  The system that is the subject of this SSP may be made up of one or more subsystems.</t>
        </is>
      </c>
      <c r="H9" s="867" t="n"/>
      <c r="I9" s="867" t="n"/>
      <c r="J9" s="867" t="n"/>
      <c r="K9" s="867" t="n"/>
      <c r="L9" s="867" t="n"/>
      <c r="M9" s="867" t="n"/>
      <c r="N9" s="867" t="n"/>
      <c r="O9" s="867" t="n"/>
      <c r="P9" s="867" t="n"/>
      <c r="Q9" s="867" t="n"/>
      <c r="R9" s="867" t="n"/>
      <c r="S9" s="867" t="n"/>
      <c r="T9" s="867" t="n"/>
      <c r="U9" s="867" t="n"/>
      <c r="V9" s="867" t="n"/>
      <c r="W9" s="874" t="n"/>
      <c r="X9" s="15" t="n"/>
      <c r="Y9" s="81" t="n"/>
      <c r="Z9" s="81" t="n"/>
    </row>
    <row r="10" ht="138.75" customHeight="1" s="566">
      <c r="A10" s="861" t="n"/>
      <c r="E10" s="862" t="n"/>
      <c r="F10" s="17" t="n"/>
      <c r="G10" s="875" t="inlineStr">
        <is>
          <t>SSP - DoD SPRS &amp; FAR and Above - Presents the NIST SP 800-171 requirements organized in the FAR and Above Program's recommended implementation order.  This is where you should record your self-assessment results.  Be sure to evaluate your organization against all of the objectives defined in NIST SP 800-171A (https://csrc.nist.gov/publications/detail/sp/800-171a/final) for each requirement when you perform your self-assessment.  We include a recommendation as to whether a particular requirement/objective is something a typical small or medium business is likely to be able to handle themselves ("DIY") or if it is something that should probably be outsourced ("Outsource").  In a few cases, the requirements will require a combination of outside help and company resources, and we refer to these as "Hybrid".  See below for additional details.</t>
        </is>
      </c>
      <c r="H10" s="867" t="n"/>
      <c r="I10" s="867" t="n"/>
      <c r="J10" s="867" t="n"/>
      <c r="K10" s="867" t="n"/>
      <c r="L10" s="867" t="n"/>
      <c r="M10" s="867" t="n"/>
      <c r="N10" s="867" t="n"/>
      <c r="O10" s="867" t="n"/>
      <c r="P10" s="867" t="n"/>
      <c r="Q10" s="867" t="n"/>
      <c r="R10" s="867" t="n"/>
      <c r="S10" s="867" t="n"/>
      <c r="T10" s="867" t="n"/>
      <c r="U10" s="867" t="n"/>
      <c r="V10" s="867" t="n"/>
      <c r="W10" s="874" t="n"/>
      <c r="X10" s="15" t="n"/>
      <c r="Y10" s="81" t="n"/>
      <c r="Z10" s="81" t="n"/>
    </row>
    <row r="11" ht="84" customHeight="1" s="566">
      <c r="A11" s="861" t="n"/>
      <c r="E11" s="862" t="n"/>
      <c r="F11" s="17" t="n"/>
      <c r="G11" s="875" t="inlineStr">
        <is>
          <t>POA&amp;Ms - Create and manage plans of action and milestones ("POA&amp;Ms") here.  POA&amp;Ms describe how your organization will meet any requirements that are not fully implemented in the assessed system.  References to the relevant control automatically appear in the POA&amp;M list if the control is not fully implemented.  You can reference NIST SP 800-53, specifically CA-5 and PM-4, for additional assistance in creating the POA&amp;Ms.  See below for additional details.</t>
        </is>
      </c>
      <c r="H11" s="867" t="n"/>
      <c r="I11" s="867" t="n"/>
      <c r="J11" s="867" t="n"/>
      <c r="K11" s="867" t="n"/>
      <c r="L11" s="867" t="n"/>
      <c r="M11" s="867" t="n"/>
      <c r="N11" s="867" t="n"/>
      <c r="O11" s="867" t="n"/>
      <c r="P11" s="867" t="n"/>
      <c r="Q11" s="867" t="n"/>
      <c r="R11" s="867" t="n"/>
      <c r="S11" s="867" t="n"/>
      <c r="T11" s="867" t="n"/>
      <c r="U11" s="867" t="n"/>
      <c r="V11" s="867" t="n"/>
      <c r="W11" s="874" t="n"/>
      <c r="X11" s="15" t="n"/>
      <c r="Y11" s="81" t="n"/>
      <c r="Z11" s="81" t="n"/>
    </row>
    <row r="12" ht="69" customHeight="1" s="566">
      <c r="A12" s="861" t="n"/>
      <c r="E12" s="862" t="n"/>
      <c r="F12" s="17" t="n"/>
      <c r="G12" s="669" t="inlineStr">
        <is>
          <t>The System Overview &amp; SSP Preamble, SSP - DoD SPRS &amp; FAR and Above, and POA&amp;Ms worksheets are required to submit a SPRS score.  As you conduct your gap assessment (on the SSP - DoD SPRS &amp; FAR and Above worksheet), you will note that your organization is expected to have certain lists and other such information.  The following worksheets help you build those lists.</t>
        </is>
      </c>
      <c r="H12" s="867" t="n"/>
      <c r="I12" s="867" t="n"/>
      <c r="J12" s="867" t="n"/>
      <c r="K12" s="867" t="n"/>
      <c r="L12" s="867" t="n"/>
      <c r="M12" s="867" t="n"/>
      <c r="N12" s="867" t="n"/>
      <c r="O12" s="867" t="n"/>
      <c r="P12" s="867" t="n"/>
      <c r="Q12" s="867" t="n"/>
      <c r="R12" s="867" t="n"/>
      <c r="S12" s="867" t="n"/>
      <c r="T12" s="867" t="n"/>
      <c r="U12" s="867" t="n"/>
      <c r="V12" s="867" t="n"/>
      <c r="W12" s="872" t="n"/>
      <c r="X12" s="15" t="n"/>
      <c r="Y12" s="81" t="n"/>
      <c r="Z12" s="81" t="n"/>
    </row>
    <row r="13" ht="60.6" customHeight="1" s="566">
      <c r="A13" s="861" t="n"/>
      <c r="E13" s="862" t="n"/>
      <c r="F13" s="17" t="n"/>
      <c r="G13" s="876" t="inlineStr">
        <is>
          <t>Privileged Accounts - NIST SP 800-171 and CMMC 2.0 require that you identify all of the "privileged accounts" in use in the system.  These include administrator accounts, developer accounts, and other accounts that can change security settings, alter the operation/configuration of the system, sub-system, or component, or take other actions that impact the security of the system.</t>
        </is>
      </c>
      <c r="H13" s="867" t="n"/>
      <c r="I13" s="867" t="n"/>
      <c r="J13" s="867" t="n"/>
      <c r="K13" s="867" t="n"/>
      <c r="L13" s="867" t="n"/>
      <c r="M13" s="867" t="n"/>
      <c r="N13" s="867" t="n"/>
      <c r="O13" s="867" t="n"/>
      <c r="P13" s="867" t="n"/>
      <c r="Q13" s="867" t="n"/>
      <c r="R13" s="867" t="n"/>
      <c r="S13" s="867" t="n"/>
      <c r="T13" s="867" t="n"/>
      <c r="U13" s="867" t="n"/>
      <c r="V13" s="867" t="n"/>
      <c r="W13" s="874" t="n"/>
      <c r="X13" s="15" t="n"/>
      <c r="Y13" s="81" t="n"/>
      <c r="Z13" s="81" t="n"/>
    </row>
    <row r="14" ht="96.75" customHeight="1" s="566">
      <c r="A14" s="861" t="n"/>
      <c r="E14" s="862" t="n"/>
      <c r="F14" s="17" t="n"/>
      <c r="G14" s="876" t="inlineStr">
        <is>
          <t xml:space="preserve">Physical Location(s) Info - This is a list of all of the physical locations where FCI and/or CUI is created, processed, stored, and/or transmitted (i.e., "handled").  In some cases, your organization may decide to limit access to some physical locations to only certain employee roles.  For example, if your organization has a closet where your servers are stored (i.e., a "data center"), you may limit physical access to that data center to only employees who are systems administrators to help reduce the likelihood of malicious activities.  The physical locations list is referenced in the Hardware Inventory worksheet (below) to help you identify the user roles which are permitted to access the different physical locations where FCI or CUI is handled.  </t>
        </is>
      </c>
      <c r="H14" s="867" t="n"/>
      <c r="I14" s="867" t="n"/>
      <c r="J14" s="867" t="n"/>
      <c r="K14" s="867" t="n"/>
      <c r="L14" s="867" t="n"/>
      <c r="M14" s="867" t="n"/>
      <c r="N14" s="867" t="n"/>
      <c r="O14" s="867" t="n"/>
      <c r="P14" s="867" t="n"/>
      <c r="Q14" s="867" t="n"/>
      <c r="R14" s="867" t="n"/>
      <c r="S14" s="867" t="n"/>
      <c r="T14" s="867" t="n"/>
      <c r="U14" s="867" t="n"/>
      <c r="V14" s="867" t="n"/>
      <c r="W14" s="874" t="n"/>
      <c r="X14" s="15" t="n"/>
      <c r="Y14" s="81" t="n"/>
      <c r="Z14" s="81" t="n"/>
    </row>
    <row r="15" ht="25.35" customHeight="1" s="566">
      <c r="A15" s="861" t="n"/>
      <c r="E15" s="862" t="n"/>
      <c r="F15" s="17" t="n"/>
      <c r="G15" s="876" t="inlineStr">
        <is>
          <t>Users Auth. to Access System - This is a list of all users who are authorized to access the system.</t>
        </is>
      </c>
      <c r="H15" s="867" t="n"/>
      <c r="I15" s="867" t="n"/>
      <c r="J15" s="867" t="n"/>
      <c r="K15" s="867" t="n"/>
      <c r="L15" s="867" t="n"/>
      <c r="M15" s="867" t="n"/>
      <c r="N15" s="867" t="n"/>
      <c r="O15" s="867" t="n"/>
      <c r="P15" s="867" t="n"/>
      <c r="Q15" s="867" t="n"/>
      <c r="R15" s="867" t="n"/>
      <c r="S15" s="867" t="n"/>
      <c r="T15" s="867" t="n"/>
      <c r="U15" s="867" t="n"/>
      <c r="V15" s="867" t="n"/>
      <c r="W15" s="874" t="n"/>
      <c r="X15" s="15" t="n"/>
      <c r="Y15" s="81" t="n"/>
      <c r="Z15" s="81" t="n"/>
    </row>
    <row r="16" ht="60.6" customHeight="1" s="566">
      <c r="A16" s="861" t="n"/>
      <c r="E16" s="862" t="n"/>
      <c r="F16" s="17" t="n"/>
      <c r="G16" s="876" t="inlineStr">
        <is>
          <t>User Roles - This is a list of all of the user roles relevant to the system.  Roles are used to defined categories of users who are authorized to access certain information, take certain actions, etc.  This allows the organization to more easily allocate and track authorizations as employees join the organization, change jobs within the organization, and/or leave the organization.</t>
        </is>
      </c>
      <c r="H16" s="867" t="n"/>
      <c r="I16" s="867" t="n"/>
      <c r="J16" s="867" t="n"/>
      <c r="K16" s="867" t="n"/>
      <c r="L16" s="867" t="n"/>
      <c r="M16" s="867" t="n"/>
      <c r="N16" s="867" t="n"/>
      <c r="O16" s="867" t="n"/>
      <c r="P16" s="867" t="n"/>
      <c r="Q16" s="867" t="n"/>
      <c r="R16" s="867" t="n"/>
      <c r="S16" s="867" t="n"/>
      <c r="T16" s="867" t="n"/>
      <c r="U16" s="867" t="n"/>
      <c r="V16" s="867" t="n"/>
      <c r="W16" s="874" t="n"/>
      <c r="X16" s="15" t="n"/>
      <c r="Y16" s="81" t="n"/>
      <c r="Z16" s="81" t="n"/>
    </row>
    <row r="17" ht="60.6" customHeight="1" s="566">
      <c r="A17" s="861" t="n"/>
      <c r="E17" s="862" t="n"/>
      <c r="F17" s="17" t="n"/>
      <c r="G17" s="877" t="inlineStr">
        <is>
          <t>Authorized Visitor List - A list of individuals authorized to visit the location, including whether the individual is authorized to access sensitive information (including CUI) and the area(s) the user is authorized to visit.</t>
        </is>
      </c>
      <c r="H17" s="867" t="n"/>
      <c r="I17" s="867" t="n"/>
      <c r="J17" s="867" t="n"/>
      <c r="K17" s="867" t="n"/>
      <c r="L17" s="867" t="n"/>
      <c r="M17" s="867" t="n"/>
      <c r="N17" s="867" t="n"/>
      <c r="O17" s="867" t="n"/>
      <c r="P17" s="867" t="n"/>
      <c r="Q17" s="867" t="n"/>
      <c r="R17" s="867" t="n"/>
      <c r="S17" s="867" t="n"/>
      <c r="T17" s="867" t="n"/>
      <c r="U17" s="867" t="n"/>
      <c r="V17" s="867" t="n"/>
      <c r="W17" s="874" t="n"/>
      <c r="X17" s="15" t="n"/>
      <c r="Y17" s="81" t="n"/>
      <c r="Z17" s="81" t="n"/>
    </row>
    <row r="18" ht="31.5" customHeight="1" s="566">
      <c r="A18" s="861" t="n"/>
      <c r="E18" s="862" t="n"/>
      <c r="F18" s="17" t="n"/>
      <c r="G18" s="877" t="inlineStr">
        <is>
          <t>Visitor Access Log - A log of individuals who have visited the location</t>
        </is>
      </c>
      <c r="H18" s="867" t="n"/>
      <c r="I18" s="867" t="n"/>
      <c r="J18" s="867" t="n"/>
      <c r="K18" s="867" t="n"/>
      <c r="L18" s="867" t="n"/>
      <c r="M18" s="867" t="n"/>
      <c r="N18" s="867" t="n"/>
      <c r="O18" s="867" t="n"/>
      <c r="P18" s="867" t="n"/>
      <c r="Q18" s="867" t="n"/>
      <c r="R18" s="867" t="n"/>
      <c r="S18" s="867" t="n"/>
      <c r="T18" s="867" t="n"/>
      <c r="U18" s="867" t="n"/>
      <c r="V18" s="867" t="n"/>
      <c r="W18" s="874" t="n"/>
      <c r="X18" s="15" t="n"/>
      <c r="Y18" s="81" t="n"/>
      <c r="Z18" s="81" t="n"/>
    </row>
    <row r="19" ht="99.59999999999999" customHeight="1" s="566">
      <c r="A19" s="861" t="n"/>
      <c r="E19" s="862" t="n"/>
      <c r="F19" s="17" t="n"/>
      <c r="G19" s="878" t="inlineStr">
        <is>
          <t>Sub-Systems -This is a list of the sub-systems that make up the system that is managed by the SSP.  For example, Mavis's Machine Shop might create an "enclave" that is specifically configured to handle CUI.  Mavis Machine Shop might use the .com version of their domain name for non-CUI E-mail, and may set up a separate E-mail system as part of the enclave (with the .US version of the domain name) that handles CUI.  Similarly, Mavis's might determine that they need a separate file storage system for CUI that is part of the enclave. In this scenario, the file storage and E-mail "systems" are sub-systems of the enclave.</t>
        </is>
      </c>
      <c r="H19" s="867" t="n"/>
      <c r="I19" s="867" t="n"/>
      <c r="J19" s="867" t="n"/>
      <c r="K19" s="867" t="n"/>
      <c r="L19" s="867" t="n"/>
      <c r="M19" s="867" t="n"/>
      <c r="N19" s="867" t="n"/>
      <c r="O19" s="867" t="n"/>
      <c r="P19" s="867" t="n"/>
      <c r="Q19" s="867" t="n"/>
      <c r="R19" s="867" t="n"/>
      <c r="S19" s="867" t="n"/>
      <c r="T19" s="867" t="n"/>
      <c r="U19" s="867" t="n"/>
      <c r="V19" s="867" t="n"/>
      <c r="W19" s="874" t="n"/>
      <c r="X19" s="15" t="n"/>
      <c r="Y19" s="81" t="n"/>
      <c r="Z19" s="81" t="n"/>
    </row>
    <row r="20" ht="41.1" customHeight="1" s="566">
      <c r="A20" s="861" t="n"/>
      <c r="E20" s="862" t="n"/>
      <c r="F20" s="17" t="n"/>
      <c r="G20" s="878" t="inlineStr">
        <is>
          <t>Hardware Inventory - Provides a worksheet for collecting and storing a basic hardware inventory.  This sheet is optional, but may be advantageous to smaller organizations.  Commercial and open source tools are available which can automate the collection of much of this information.</t>
        </is>
      </c>
      <c r="H20" s="867" t="n"/>
      <c r="I20" s="867" t="n"/>
      <c r="J20" s="867" t="n"/>
      <c r="K20" s="867" t="n"/>
      <c r="L20" s="867" t="n"/>
      <c r="M20" s="867" t="n"/>
      <c r="N20" s="867" t="n"/>
      <c r="O20" s="867" t="n"/>
      <c r="P20" s="867" t="n"/>
      <c r="Q20" s="867" t="n"/>
      <c r="R20" s="867" t="n"/>
      <c r="S20" s="867" t="n"/>
      <c r="T20" s="867" t="n"/>
      <c r="U20" s="867" t="n"/>
      <c r="V20" s="867" t="n"/>
      <c r="W20" s="874" t="n"/>
      <c r="X20" s="15" t="n"/>
      <c r="Y20" s="81" t="n"/>
      <c r="Z20" s="81" t="n"/>
    </row>
    <row r="21" ht="41.1" customHeight="1" s="566">
      <c r="A21" s="861" t="n"/>
      <c r="E21" s="862" t="n"/>
      <c r="F21" s="17" t="n"/>
      <c r="G21" s="878" t="inlineStr">
        <is>
          <t>Software Inventory - Provides a worksheet for collecting and storing a basic software inventory.  This sheet is optional, but may be advantageous to smaller organizations.  Commercial and open source tools are available which can automate the collection of much of this information.</t>
        </is>
      </c>
      <c r="H21" s="867" t="n"/>
      <c r="I21" s="867" t="n"/>
      <c r="J21" s="867" t="n"/>
      <c r="K21" s="867" t="n"/>
      <c r="L21" s="867" t="n"/>
      <c r="M21" s="867" t="n"/>
      <c r="N21" s="867" t="n"/>
      <c r="O21" s="867" t="n"/>
      <c r="P21" s="867" t="n"/>
      <c r="Q21" s="867" t="n"/>
      <c r="R21" s="867" t="n"/>
      <c r="S21" s="867" t="n"/>
      <c r="T21" s="867" t="n"/>
      <c r="U21" s="867" t="n"/>
      <c r="V21" s="867" t="n"/>
      <c r="W21" s="874" t="n"/>
      <c r="X21" s="15" t="n"/>
      <c r="Y21" s="81" t="n"/>
      <c r="Z21" s="81" t="n"/>
    </row>
    <row r="22" ht="58.35" customHeight="1" s="566">
      <c r="A22" s="861" t="n"/>
      <c r="E22" s="862" t="n"/>
      <c r="F22" s="17" t="n"/>
      <c r="G22" s="878" t="inlineStr">
        <is>
          <t>Cloud Svc. &amp; Ext. Syst. Inventory - Provides a worksheet for collecting and storing an inventory of the cloud services used by your organization.  This sheet is optional, but may be advantageous to smaller organizations.  Commercial and open source tools are available which can automate the collection of much of this information.</t>
        </is>
      </c>
      <c r="H22" s="867" t="n"/>
      <c r="I22" s="867" t="n"/>
      <c r="J22" s="867" t="n"/>
      <c r="K22" s="867" t="n"/>
      <c r="L22" s="867" t="n"/>
      <c r="M22" s="867" t="n"/>
      <c r="N22" s="867" t="n"/>
      <c r="O22" s="867" t="n"/>
      <c r="P22" s="867" t="n"/>
      <c r="Q22" s="867" t="n"/>
      <c r="R22" s="867" t="n"/>
      <c r="S22" s="867" t="n"/>
      <c r="T22" s="867" t="n"/>
      <c r="U22" s="867" t="n"/>
      <c r="V22" s="867" t="n"/>
      <c r="W22" s="874" t="n"/>
      <c r="X22" s="15" t="n"/>
      <c r="Y22" s="81" t="n"/>
      <c r="Z22" s="81" t="n"/>
    </row>
    <row r="23" ht="81" customHeight="1" s="566">
      <c r="A23" s="861" t="n"/>
      <c r="E23" s="862" t="n"/>
      <c r="F23" s="17" t="n"/>
      <c r="G23" s="878" t="inlineStr">
        <is>
          <t>Info. Sources and Destinations - NIST SP 800-171 and CMMC require that your organization understand how CUI enters, traverses, and leaves your organization.  The CUI Sources and Destinations worksheet gives you a place to describe where CUI enters the system, how it moves throughout the organization (including where it is stored), and how the information leaves the organization (e.g., to a subcontractor or back to the government).  It also allows you to identify and track other kinds of information, including non-government information.</t>
        </is>
      </c>
      <c r="H23" s="867" t="n"/>
      <c r="I23" s="867" t="n"/>
      <c r="J23" s="867" t="n"/>
      <c r="K23" s="867" t="n"/>
      <c r="L23" s="867" t="n"/>
      <c r="M23" s="867" t="n"/>
      <c r="N23" s="867" t="n"/>
      <c r="O23" s="867" t="n"/>
      <c r="P23" s="867" t="n"/>
      <c r="Q23" s="867" t="n"/>
      <c r="R23" s="867" t="n"/>
      <c r="S23" s="867" t="n"/>
      <c r="T23" s="867" t="n"/>
      <c r="U23" s="867" t="n"/>
      <c r="V23" s="867" t="n"/>
      <c r="W23" s="874" t="n"/>
      <c r="X23" s="15" t="n"/>
      <c r="Y23" s="81" t="n"/>
      <c r="Z23" s="81" t="n"/>
    </row>
    <row r="24" ht="42" customHeight="1" s="566">
      <c r="A24" s="861" t="n"/>
      <c r="E24" s="862" t="n"/>
      <c r="F24" s="17" t="n"/>
      <c r="G24" s="879" t="inlineStr">
        <is>
          <t>Media Library or Catalog - NIST SP 800-171 and CMMC require that your organization track the use of removable media.  A media library is used to identify the different forms of removable media authorized by the organization for use with FCI and/or CUI and the kind(s) of information stored on the media.  This allows the organization to ensure that only authorized media is used, that media is only accessible to authorized individuals/roles, and that media is properly destroyed when no longer in use.</t>
        </is>
      </c>
      <c r="H24" s="867" t="n"/>
      <c r="I24" s="867" t="n"/>
      <c r="J24" s="867" t="n"/>
      <c r="K24" s="867" t="n"/>
      <c r="L24" s="867" t="n"/>
      <c r="M24" s="867" t="n"/>
      <c r="N24" s="867" t="n"/>
      <c r="O24" s="867" t="n"/>
      <c r="P24" s="867" t="n"/>
      <c r="Q24" s="867" t="n"/>
      <c r="R24" s="867" t="n"/>
      <c r="S24" s="867" t="n"/>
      <c r="T24" s="867" t="n"/>
      <c r="U24" s="867" t="n"/>
      <c r="V24" s="867" t="n"/>
      <c r="W24" s="874" t="n"/>
      <c r="X24" s="15" t="n"/>
      <c r="Y24" s="81" t="n"/>
      <c r="Z24" s="81" t="n"/>
    </row>
    <row r="25" ht="45.75" customHeight="1" s="566">
      <c r="A25" s="861" t="n"/>
      <c r="E25" s="862" t="n"/>
      <c r="F25" s="17" t="n"/>
      <c r="G25" s="880" t="inlineStr">
        <is>
          <t>Media Access Log - The media access log is used by individuals in the organization to "check out" and "check in" different media.  This allows the organization to easily track the media in use by the organization.</t>
        </is>
      </c>
      <c r="H25" s="867" t="n"/>
      <c r="I25" s="867" t="n"/>
      <c r="J25" s="867" t="n"/>
      <c r="K25" s="867" t="n"/>
      <c r="L25" s="867" t="n"/>
      <c r="M25" s="867" t="n"/>
      <c r="N25" s="867" t="n"/>
      <c r="O25" s="867" t="n"/>
      <c r="P25" s="867" t="n"/>
      <c r="Q25" s="867" t="n"/>
      <c r="R25" s="867" t="n"/>
      <c r="S25" s="867" t="n"/>
      <c r="T25" s="867" t="n"/>
      <c r="U25" s="867" t="n"/>
      <c r="V25" s="867" t="n"/>
      <c r="W25" s="874" t="n"/>
      <c r="X25" s="15" t="n"/>
      <c r="Y25" s="81" t="n"/>
      <c r="Z25" s="81" t="n"/>
    </row>
    <row r="26" ht="135" customHeight="1" s="566">
      <c r="A26" s="861" t="n"/>
      <c r="E26" s="862" t="n"/>
      <c r="F26" s="17" t="n"/>
      <c r="G26" s="881" t="inlineStr">
        <is>
          <t>SRM Template - If your organization outsources your computer-related services to a third party (e.g., you use cloud-based resources like QuickBooks Online, Microsoft 365, Amazon Web Services, Salesforce.com, etc., or you use a Managed IT Services Provider ("MSP"), Managed Security Services Provider ("MSSP"), etc.) your organization should carefully document the NIST SP 800-171 requirements and objectives that are the service provider's responsibilities and those which are your organization's responsibility.  The responsibilities are typically documented using a "Service Responsibility Matrix" or "SRM".  The SRM Template is an example of an SRM.  Each of your service providers should have an SRM of their own that they provide to you (you may need to ask for it).  If not, you can work with them to document the responsibilities using the SRM Template.</t>
        </is>
      </c>
      <c r="H26" s="867" t="n"/>
      <c r="I26" s="867" t="n"/>
      <c r="J26" s="867" t="n"/>
      <c r="K26" s="867" t="n"/>
      <c r="L26" s="867" t="n"/>
      <c r="M26" s="867" t="n"/>
      <c r="N26" s="867" t="n"/>
      <c r="O26" s="867" t="n"/>
      <c r="P26" s="867" t="n"/>
      <c r="Q26" s="867" t="n"/>
      <c r="R26" s="867" t="n"/>
      <c r="S26" s="867" t="n"/>
      <c r="T26" s="867" t="n"/>
      <c r="U26" s="867" t="n"/>
      <c r="V26" s="867" t="n"/>
      <c r="W26" s="874" t="n"/>
      <c r="X26" s="15" t="n"/>
      <c r="Y26" s="81" t="n"/>
      <c r="Z26" s="81" t="n"/>
    </row>
    <row r="27" ht="46.5" customHeight="1" s="566">
      <c r="A27" s="861" t="n"/>
      <c r="E27" s="862" t="n"/>
      <c r="F27" s="17" t="n"/>
      <c r="G27" s="669" t="inlineStr">
        <is>
          <t>The following worksheets provide additional information, reference material, etc. and are provided as additional resources.  They are not likely to be used in an assessment.</t>
        </is>
      </c>
      <c r="H27" s="867" t="n"/>
      <c r="I27" s="867" t="n"/>
      <c r="J27" s="867" t="n"/>
      <c r="K27" s="867" t="n"/>
      <c r="L27" s="867" t="n"/>
      <c r="M27" s="867" t="n"/>
      <c r="N27" s="867" t="n"/>
      <c r="O27" s="867" t="n"/>
      <c r="P27" s="867" t="n"/>
      <c r="Q27" s="867" t="n"/>
      <c r="R27" s="867" t="n"/>
      <c r="S27" s="867" t="n"/>
      <c r="T27" s="867" t="n"/>
      <c r="U27" s="867" t="n"/>
      <c r="V27" s="867" t="n"/>
      <c r="W27" s="872" t="n"/>
      <c r="X27" s="15" t="n"/>
      <c r="Y27" s="81" t="n"/>
      <c r="Z27" s="81" t="n"/>
    </row>
    <row r="28" ht="42" customHeight="1" s="566">
      <c r="A28" s="861" t="n"/>
      <c r="E28" s="862" t="n"/>
      <c r="F28" s="17" t="n"/>
      <c r="G28" s="882" t="inlineStr">
        <is>
          <t>Potential Assessment Considerations - This provides the list of Potential Assessment Considerations defined by NIST in SP 800-171A.  The list can be helpful in understanding the types of information sought in a particular requirement.</t>
        </is>
      </c>
      <c r="H28" s="867" t="n"/>
      <c r="I28" s="867" t="n"/>
      <c r="J28" s="867" t="n"/>
      <c r="K28" s="867" t="n"/>
      <c r="L28" s="867" t="n"/>
      <c r="M28" s="867" t="n"/>
      <c r="N28" s="867" t="n"/>
      <c r="O28" s="867" t="n"/>
      <c r="P28" s="867" t="n"/>
      <c r="Q28" s="867" t="n"/>
      <c r="R28" s="867" t="n"/>
      <c r="S28" s="867" t="n"/>
      <c r="T28" s="867" t="n"/>
      <c r="U28" s="867" t="n"/>
      <c r="V28" s="867" t="n"/>
      <c r="W28" s="874" t="n"/>
      <c r="X28" s="15" t="n"/>
      <c r="Y28" s="81" t="n"/>
      <c r="Z28" s="81" t="n"/>
    </row>
    <row r="29" ht="59.25" customHeight="1" s="566">
      <c r="A29" s="861" t="n"/>
      <c r="E29" s="862" t="n"/>
      <c r="F29" s="17" t="n"/>
      <c r="G29" s="882" t="inlineStr">
        <is>
          <t>CUI Types - This is a (potentially outdated) copy of the CUI Registry maintained by the National Archives and Records Administration ("NARA"), the government organization responsible for overseeing the CUI program.  Always refer to https://archives.gov/CUI for the latest version of the CUI Registry.</t>
        </is>
      </c>
      <c r="H29" s="867" t="n"/>
      <c r="I29" s="867" t="n"/>
      <c r="J29" s="867" t="n"/>
      <c r="K29" s="867" t="n"/>
      <c r="L29" s="867" t="n"/>
      <c r="M29" s="867" t="n"/>
      <c r="N29" s="867" t="n"/>
      <c r="O29" s="867" t="n"/>
      <c r="P29" s="867" t="n"/>
      <c r="Q29" s="867" t="n"/>
      <c r="R29" s="867" t="n"/>
      <c r="S29" s="867" t="n"/>
      <c r="T29" s="867" t="n"/>
      <c r="U29" s="867" t="n"/>
      <c r="V29" s="867" t="n"/>
      <c r="W29" s="874" t="n"/>
      <c r="X29" s="15" t="n"/>
      <c r="Y29" s="81" t="n"/>
      <c r="Z29" s="81" t="n"/>
    </row>
    <row r="30" ht="42.75" customHeight="1" s="566">
      <c r="A30" s="861" t="n"/>
      <c r="E30" s="862" t="n"/>
      <c r="F30" s="17" t="n"/>
      <c r="G30" s="882" t="inlineStr">
        <is>
          <t>Old DoD 800-171 Score Template - a copy of the DoD Assessment Methodology with automated scoring.  The requirements are organized by NIST SP 800-171 family and requirement number.</t>
        </is>
      </c>
      <c r="H30" s="867" t="n"/>
      <c r="I30" s="867" t="n"/>
      <c r="J30" s="867" t="n"/>
      <c r="K30" s="867" t="n"/>
      <c r="L30" s="867" t="n"/>
      <c r="M30" s="867" t="n"/>
      <c r="N30" s="867" t="n"/>
      <c r="O30" s="867" t="n"/>
      <c r="P30" s="867" t="n"/>
      <c r="Q30" s="867" t="n"/>
      <c r="R30" s="867" t="n"/>
      <c r="S30" s="867" t="n"/>
      <c r="T30" s="867" t="n"/>
      <c r="U30" s="867" t="n"/>
      <c r="V30" s="867" t="n"/>
      <c r="W30" s="874" t="n"/>
      <c r="X30" s="15" t="n"/>
      <c r="Y30" s="81" t="n"/>
      <c r="Z30" s="81" t="n"/>
    </row>
    <row r="31" ht="21" customHeight="1" s="566">
      <c r="A31" s="861" t="n"/>
      <c r="E31" s="862" t="n"/>
      <c r="F31" s="17" t="n"/>
      <c r="G31" s="882" t="inlineStr">
        <is>
          <t>References - This is a "master list" of information used to populate drop-down lists in the tool.</t>
        </is>
      </c>
      <c r="H31" s="867" t="n"/>
      <c r="I31" s="867" t="n"/>
      <c r="J31" s="867" t="n"/>
      <c r="K31" s="867" t="n"/>
      <c r="L31" s="867" t="n"/>
      <c r="M31" s="867" t="n"/>
      <c r="N31" s="867" t="n"/>
      <c r="O31" s="867" t="n"/>
      <c r="P31" s="867" t="n"/>
      <c r="Q31" s="867" t="n"/>
      <c r="R31" s="867" t="n"/>
      <c r="S31" s="867" t="n"/>
      <c r="T31" s="867" t="n"/>
      <c r="U31" s="867" t="n"/>
      <c r="V31" s="867" t="n"/>
      <c r="W31" s="874" t="n"/>
      <c r="X31" s="15" t="n"/>
      <c r="Y31" s="81" t="n"/>
      <c r="Z31" s="81" t="n"/>
    </row>
    <row r="32" ht="20.85" customHeight="1" s="566">
      <c r="A32" s="861" t="n"/>
      <c r="E32" s="862" t="n"/>
      <c r="F32" s="17" t="n"/>
      <c r="G32" s="882" t="inlineStr">
        <is>
          <t>Change Log - The change log describes the changes made in different versions of this tool.</t>
        </is>
      </c>
      <c r="H32" s="867" t="n"/>
      <c r="I32" s="867" t="n"/>
      <c r="J32" s="867" t="n"/>
      <c r="K32" s="867" t="n"/>
      <c r="L32" s="867" t="n"/>
      <c r="M32" s="867" t="n"/>
      <c r="N32" s="867" t="n"/>
      <c r="O32" s="867" t="n"/>
      <c r="P32" s="867" t="n"/>
      <c r="Q32" s="867" t="n"/>
      <c r="R32" s="867" t="n"/>
      <c r="S32" s="867" t="n"/>
      <c r="T32" s="867" t="n"/>
      <c r="U32" s="867" t="n"/>
      <c r="V32" s="867" t="n"/>
      <c r="W32" s="874" t="n"/>
      <c r="X32" s="15" t="n"/>
      <c r="Y32" s="81" t="n"/>
      <c r="Z32" s="81" t="n"/>
    </row>
    <row r="33" ht="41.25" customHeight="1" s="566">
      <c r="A33" s="861" t="n"/>
      <c r="E33" s="862" t="n"/>
      <c r="F33" s="17" t="n"/>
      <c r="G33" s="634" t="inlineStr">
        <is>
          <t>Background and How to Use these Worksheets</t>
        </is>
      </c>
      <c r="H33" s="867" t="n"/>
      <c r="I33" s="867" t="n"/>
      <c r="J33" s="867" t="n"/>
      <c r="K33" s="867" t="n"/>
      <c r="L33" s="867" t="n"/>
      <c r="M33" s="867" t="n"/>
      <c r="N33" s="867" t="n"/>
      <c r="O33" s="867" t="n"/>
      <c r="P33" s="867" t="n"/>
      <c r="Q33" s="867" t="n"/>
      <c r="R33" s="867" t="n"/>
      <c r="S33" s="867" t="n"/>
      <c r="T33" s="867" t="n"/>
      <c r="U33" s="867" t="n"/>
      <c r="V33" s="867" t="n"/>
      <c r="W33" s="872" t="n"/>
      <c r="X33" s="15" t="n"/>
      <c r="Y33" s="81" t="n"/>
      <c r="Z33" s="81" t="n"/>
    </row>
    <row r="34" ht="59.25" customHeight="1" s="566">
      <c r="A34" s="861" t="n"/>
      <c r="E34" s="862" t="n"/>
      <c r="F34" s="17" t="n"/>
      <c r="G34" s="642" t="inlineStr">
        <is>
          <t xml:space="preserve">If your contract has DFARS 252.204-7019 and -7020 clauses in it, each system that is used by your organization to create, store, process, or transmit CUI under that contract must be assessed using NIST SP 800-171 and scored using DoD's Assessment Methodology.  The resulting score to must be submitted to DoD's Supplier Performance Risk System ("SPRS").  </t>
        </is>
      </c>
      <c r="H34" s="867" t="n"/>
      <c r="I34" s="867" t="n"/>
      <c r="J34" s="867" t="n"/>
      <c r="K34" s="867" t="n"/>
      <c r="L34" s="867" t="n"/>
      <c r="M34" s="867" t="n"/>
      <c r="N34" s="867" t="n"/>
      <c r="O34" s="867" t="n"/>
      <c r="P34" s="867" t="n"/>
      <c r="Q34" s="867" t="n"/>
      <c r="R34" s="867" t="n"/>
      <c r="S34" s="867" t="n"/>
      <c r="T34" s="867" t="n"/>
      <c r="U34" s="867" t="n"/>
      <c r="V34" s="867" t="n"/>
      <c r="W34" s="868" t="n"/>
      <c r="X34" s="15" t="n"/>
      <c r="Y34" s="81" t="n"/>
      <c r="Z34" s="81" t="n"/>
    </row>
    <row r="35" ht="117" customHeight="1" s="566">
      <c r="A35" s="861" t="n"/>
      <c r="E35" s="862" t="n"/>
      <c r="F35" s="17" t="n"/>
      <c r="G35" s="669" t="inlineStr">
        <is>
          <t>Unlike the CMMC program, which requires independent assessments to obtain a certification, the -7019 and -7020 clauses allow you to perform the assessment, and calculate the score, yourself or to hire a third party (e.g., a consultant) to perform the self-assessment for you.  Each system must be covered by a System Security Plan ("SSP") (see the requirements in NIST SP 800-171A 3.12.4 for more details on an SSP).  The SSP must define the scope of the system (i.e., which physical and logical equipment and software is used as part of the system) as well as other key information such as the Commercial and Government Entity ("CAGE") code(s) supported by the system.  If you are not familiar with your organization's CAGE code, you can search SAM.GOV for that information.</t>
        </is>
      </c>
      <c r="H35" s="867" t="n"/>
      <c r="I35" s="867" t="n"/>
      <c r="J35" s="867" t="n"/>
      <c r="K35" s="867" t="n"/>
      <c r="L35" s="867" t="n"/>
      <c r="M35" s="867" t="n"/>
      <c r="N35" s="867" t="n"/>
      <c r="O35" s="867" t="n"/>
      <c r="P35" s="867" t="n"/>
      <c r="Q35" s="867" t="n"/>
      <c r="R35" s="867" t="n"/>
      <c r="S35" s="867" t="n"/>
      <c r="T35" s="867" t="n"/>
      <c r="U35" s="867" t="n"/>
      <c r="V35" s="867" t="n"/>
      <c r="W35" s="872" t="n"/>
      <c r="X35" s="15" t="n"/>
      <c r="Y35" s="81" t="n"/>
      <c r="Z35" s="81" t="n"/>
    </row>
    <row r="36" ht="62.45" customHeight="1" s="566">
      <c r="A36" s="861" t="n"/>
      <c r="E36" s="862" t="n"/>
      <c r="F36" s="17" t="n"/>
      <c r="G36" s="642" t="inlineStr">
        <is>
          <t>Under DoD's scoring system, all organizations begin with a score of 110.  The organization then loses points for each NIST SP 800-171 security requirement that is not fully implemented.  The number of points lost varies (either 1, 3, or 5 points) depending on certain factors defined by DoD.  Scores can range from -203 to 110.</t>
        </is>
      </c>
      <c r="H36" s="867" t="n"/>
      <c r="I36" s="867" t="n"/>
      <c r="J36" s="867" t="n"/>
      <c r="K36" s="867" t="n"/>
      <c r="L36" s="867" t="n"/>
      <c r="M36" s="867" t="n"/>
      <c r="N36" s="867" t="n"/>
      <c r="O36" s="867" t="n"/>
      <c r="P36" s="867" t="n"/>
      <c r="Q36" s="867" t="n"/>
      <c r="R36" s="867" t="n"/>
      <c r="S36" s="867" t="n"/>
      <c r="T36" s="867" t="n"/>
      <c r="U36" s="867" t="n"/>
      <c r="V36" s="867" t="n"/>
      <c r="W36" s="868" t="n"/>
      <c r="X36" s="15" t="n"/>
      <c r="Y36" s="81" t="n"/>
      <c r="Z36" s="81" t="n"/>
    </row>
    <row r="37" ht="57.6" customHeight="1" s="566">
      <c r="A37" s="861" t="n"/>
      <c r="E37" s="862" t="n"/>
      <c r="F37" s="17" t="n"/>
      <c r="G37" s="642" t="inlineStr">
        <is>
          <t>Under the FAR and Above Program, the organization begins with 0 points, and earns points for each requirement that is fully implemented.  Except for Phase 1, points earned in a given phase are not counted toward the organization's cumulative score until all requirements in all prior phases have been earned.  Scores can range from 0-500.</t>
        </is>
      </c>
      <c r="H37" s="867" t="n"/>
      <c r="I37" s="867" t="n"/>
      <c r="J37" s="867" t="n"/>
      <c r="K37" s="867" t="n"/>
      <c r="L37" s="867" t="n"/>
      <c r="M37" s="867" t="n"/>
      <c r="N37" s="867" t="n"/>
      <c r="O37" s="867" t="n"/>
      <c r="P37" s="867" t="n"/>
      <c r="Q37" s="867" t="n"/>
      <c r="R37" s="867" t="n"/>
      <c r="S37" s="867" t="n"/>
      <c r="T37" s="867" t="n"/>
      <c r="U37" s="867" t="n"/>
      <c r="V37" s="867" t="n"/>
      <c r="W37" s="868" t="n"/>
      <c r="X37" s="15" t="n"/>
      <c r="Y37" s="81" t="n"/>
      <c r="Z37" s="81" t="n"/>
    </row>
    <row r="38" ht="77.84999999999999" customHeight="1" s="566">
      <c r="A38" s="861" t="n"/>
      <c r="E38" s="862" t="n"/>
      <c r="F38" s="17" t="n"/>
      <c r="G38" s="642" t="inlineStr">
        <is>
          <t>To use the Tool, if you do not already have a system security plan, you should begin by entering the information in the System Overview and SSP Preamble worksheet.  You will need to collect several pieces of information about the system, including a graphic that clearly depicts that system boundaries, system interconnections, and key devices (e.g. a network diagram and data flow diagram), a detailed topology narrative, and other information.  The additional worksheets in this tool help you collect that information.</t>
        </is>
      </c>
      <c r="H38" s="867" t="n"/>
      <c r="I38" s="867" t="n"/>
      <c r="J38" s="867" t="n"/>
      <c r="K38" s="867" t="n"/>
      <c r="L38" s="867" t="n"/>
      <c r="M38" s="867" t="n"/>
      <c r="N38" s="867" t="n"/>
      <c r="O38" s="867" t="n"/>
      <c r="P38" s="867" t="n"/>
      <c r="Q38" s="867" t="n"/>
      <c r="R38" s="867" t="n"/>
      <c r="S38" s="867" t="n"/>
      <c r="T38" s="867" t="n"/>
      <c r="U38" s="867" t="n"/>
      <c r="V38" s="867" t="n"/>
      <c r="W38" s="868" t="n"/>
      <c r="X38" s="15" t="n"/>
      <c r="Y38" s="81" t="n"/>
      <c r="Z38" s="81" t="n"/>
    </row>
    <row r="39" ht="102" customHeight="1" s="566">
      <c r="A39" s="861" t="n"/>
      <c r="E39" s="862" t="n"/>
      <c r="F39" s="17" t="n"/>
      <c r="G39" s="642" t="inlineStr">
        <is>
          <t xml:space="preserve">When it comes time to perform your gap assessment, begin evaluating your organization's implementation of each of the NIST SP 800-171A security requirements described in the DoD SPRS &amp; FAR and Above worksheet.  Each security requirement includes a short description taken from DoD's Assessment Methodology.  For more details on how to assess whether your organization is meeting a particular requirement, please see NIST SP 800-171A and DoD's notes to the assessor (included on the worksheet).  You should record any observations, including objective evidence, in the Assessor Notes field.  </t>
        </is>
      </c>
      <c r="H39" s="867" t="n"/>
      <c r="I39" s="867" t="n"/>
      <c r="J39" s="867" t="n"/>
      <c r="K39" s="867" t="n"/>
      <c r="L39" s="867" t="n"/>
      <c r="M39" s="867" t="n"/>
      <c r="N39" s="867" t="n"/>
      <c r="O39" s="867" t="n"/>
      <c r="P39" s="867" t="n"/>
      <c r="Q39" s="867" t="n"/>
      <c r="R39" s="867" t="n"/>
      <c r="S39" s="867" t="n"/>
      <c r="T39" s="867" t="n"/>
      <c r="U39" s="867" t="n"/>
      <c r="V39" s="867" t="n"/>
      <c r="W39" s="868" t="n"/>
      <c r="X39" s="15" t="n"/>
      <c r="Y39" s="81" t="n"/>
      <c r="Z39" s="81" t="n"/>
    </row>
    <row r="40" ht="152.25" customHeight="1" s="566">
      <c r="A40" s="861" t="n"/>
      <c r="E40" s="862" t="n"/>
      <c r="F40" s="17" t="n"/>
      <c r="G40" s="642" t="inlineStr">
        <is>
          <t xml:space="preserve">The Implementation Status field is a drop-down menu, and you can choose from the available statuses.  Except where otherwise permitted by DoD, only full implementation of a security requirement will allow your organization to not lose points.  Those points will be automatically reflected in the "Score Impacts" column.  The Implementation Status includes several options.  "Not Yet Assessed" is the default status, and is used to indicate that you have not begun assessing the organization against that security requirement.  "Not Yet Addressed" means that the organization has not implemented the requirement, nor has it even begun planning how to address the requirement.  "Implementation Planned" use used to indicate that the organization has laid out a plan of action, including resource estimations and milestones, for implementing the requirement.  "Implementation Begun" means that the organization has begun implementing the requirement.  "Fully Implemented" means that the organization's implementation of the corresponding security requirements is complete. </t>
        </is>
      </c>
      <c r="H40" s="867" t="n"/>
      <c r="I40" s="867" t="n"/>
      <c r="J40" s="867" t="n"/>
      <c r="K40" s="867" t="n"/>
      <c r="L40" s="867" t="n"/>
      <c r="M40" s="867" t="n"/>
      <c r="N40" s="867" t="n"/>
      <c r="O40" s="867" t="n"/>
      <c r="P40" s="867" t="n"/>
      <c r="Q40" s="867" t="n"/>
      <c r="R40" s="867" t="n"/>
      <c r="S40" s="867" t="n"/>
      <c r="T40" s="867" t="n"/>
      <c r="U40" s="867" t="n"/>
      <c r="V40" s="867" t="n"/>
      <c r="W40" s="868" t="n"/>
      <c r="X40" s="15" t="n"/>
      <c r="Y40" s="81" t="n"/>
      <c r="Z40" s="81" t="n"/>
    </row>
    <row r="41" ht="47.25" customHeight="1" s="566">
      <c r="A41" s="861" t="n"/>
      <c r="E41" s="862" t="n"/>
      <c r="F41" s="17" t="n"/>
      <c r="G41" s="642" t="inlineStr">
        <is>
          <t>There are a few security requirements which permit additional or alternative statuses as well.  These are identified in the DoD Comments to the Assessor field, and choosing an entry identified in the DoD Comments to the Assessor field will have the corresponding effect on the score.</t>
        </is>
      </c>
      <c r="H41" s="867" t="n"/>
      <c r="I41" s="867" t="n"/>
      <c r="J41" s="867" t="n"/>
      <c r="K41" s="867" t="n"/>
      <c r="L41" s="867" t="n"/>
      <c r="M41" s="867" t="n"/>
      <c r="N41" s="867" t="n"/>
      <c r="O41" s="867" t="n"/>
      <c r="P41" s="867" t="n"/>
      <c r="Q41" s="867" t="n"/>
      <c r="R41" s="867" t="n"/>
      <c r="S41" s="867" t="n"/>
      <c r="T41" s="867" t="n"/>
      <c r="U41" s="867" t="n"/>
      <c r="V41" s="867" t="n"/>
      <c r="W41" s="868" t="n"/>
      <c r="X41" s="15" t="n"/>
      <c r="Y41" s="81" t="n"/>
      <c r="Z41" s="81" t="n"/>
    </row>
    <row r="42" ht="61.5" customHeight="1" s="566">
      <c r="A42" s="869" t="n"/>
      <c r="B42" s="870" t="n"/>
      <c r="C42" s="870" t="n"/>
      <c r="D42" s="870" t="n"/>
      <c r="E42" s="871" t="n"/>
      <c r="F42" s="17" t="n"/>
      <c r="G42" s="642" t="inlineStr">
        <is>
          <t>For each security requirement that the organization has not fully implemented, indicate a date by which the organization currently plans to fully implement that requirement.  The date farthest in the future will be used to populate the "Date When 110 Score Expected" field in the Information for SPRS Submission portion of the worksheet.</t>
        </is>
      </c>
      <c r="H42" s="867" t="n"/>
      <c r="I42" s="867" t="n"/>
      <c r="J42" s="867" t="n"/>
      <c r="K42" s="867" t="n"/>
      <c r="L42" s="867" t="n"/>
      <c r="M42" s="867" t="n"/>
      <c r="N42" s="867" t="n"/>
      <c r="O42" s="867" t="n"/>
      <c r="P42" s="867" t="n"/>
      <c r="Q42" s="867" t="n"/>
      <c r="R42" s="867" t="n"/>
      <c r="S42" s="867" t="n"/>
      <c r="T42" s="867" t="n"/>
      <c r="U42" s="867" t="n"/>
      <c r="V42" s="867" t="n"/>
      <c r="W42" s="868" t="n"/>
      <c r="X42" s="15" t="n"/>
      <c r="Y42" s="81" t="n"/>
      <c r="Z42" s="81" t="n"/>
    </row>
    <row r="43" ht="21.75" customHeight="1" s="566">
      <c r="A43" s="645" t="inlineStr">
        <is>
          <t>Version 2023.02a</t>
        </is>
      </c>
      <c r="B43" s="883" t="n"/>
      <c r="C43" s="883" t="n"/>
      <c r="D43" s="883" t="n"/>
      <c r="E43" s="884" t="n"/>
      <c r="F43" s="18" t="n"/>
      <c r="G43" s="657" t="n"/>
      <c r="H43" s="883" t="n"/>
      <c r="I43" s="883" t="n"/>
      <c r="J43" s="883" t="n"/>
      <c r="K43" s="883" t="n"/>
      <c r="L43" s="883" t="n"/>
      <c r="M43" s="883" t="n"/>
      <c r="N43" s="883" t="n"/>
      <c r="O43" s="883" t="n"/>
      <c r="P43" s="883" t="n"/>
      <c r="Q43" s="883" t="n"/>
      <c r="R43" s="883" t="n"/>
      <c r="S43" s="883" t="n"/>
      <c r="T43" s="883" t="n"/>
      <c r="U43" s="883" t="n"/>
      <c r="V43" s="883" t="n"/>
      <c r="W43" s="884" t="n"/>
      <c r="X43" s="15" t="n"/>
      <c r="Y43" s="81" t="n"/>
      <c r="Z43" s="81" t="n"/>
    </row>
    <row r="44" hidden="1" ht="48" customHeight="1" s="566">
      <c r="A44" s="19" t="n"/>
      <c r="B44" s="19" t="n"/>
      <c r="C44" s="19" t="n"/>
      <c r="D44" s="19" t="n"/>
      <c r="E44" s="19" t="n"/>
      <c r="F44" s="19" t="n"/>
      <c r="G44" s="20" t="n"/>
      <c r="H44" s="20" t="n"/>
      <c r="I44" s="19" t="n"/>
      <c r="J44" s="19" t="n"/>
      <c r="K44" s="19" t="n"/>
      <c r="L44" s="19" t="n"/>
      <c r="M44" s="19" t="n"/>
      <c r="N44" s="20" t="n"/>
      <c r="O44" s="20" t="n"/>
      <c r="P44" s="20" t="n"/>
      <c r="Q44" s="20" t="n"/>
      <c r="R44" s="20" t="n"/>
      <c r="S44" s="20" t="n"/>
      <c r="T44" s="20" t="n"/>
      <c r="U44" s="20" t="n"/>
      <c r="V44" s="20" t="n"/>
      <c r="W44" s="20" t="n"/>
      <c r="X44" s="21" t="n"/>
      <c r="Y44" s="81" t="n"/>
      <c r="Z44" s="81" t="n"/>
    </row>
    <row r="45" hidden="1" ht="48" customHeight="1" s="566">
      <c r="A45" s="19" t="n"/>
      <c r="B45" s="19" t="n"/>
      <c r="C45" s="19" t="n"/>
      <c r="D45" s="19" t="n"/>
      <c r="E45" s="19" t="n"/>
      <c r="F45" s="19" t="n"/>
      <c r="G45" s="20" t="n"/>
      <c r="H45" s="20" t="n"/>
      <c r="I45" s="20" t="n"/>
      <c r="J45" s="20" t="n"/>
      <c r="K45" s="20" t="n"/>
      <c r="L45" s="20" t="n"/>
      <c r="M45" s="20" t="n"/>
      <c r="N45" s="20" t="n"/>
      <c r="O45" s="20" t="n"/>
      <c r="P45" s="20" t="n"/>
      <c r="Q45" s="20" t="n"/>
      <c r="R45" s="20" t="n"/>
      <c r="S45" s="20" t="n"/>
      <c r="T45" s="20" t="n"/>
      <c r="U45" s="20" t="n"/>
      <c r="V45" s="20" t="n"/>
      <c r="W45" s="20" t="n"/>
      <c r="X45" s="21" t="n"/>
      <c r="Y45" s="81" t="n"/>
      <c r="Z45" s="81" t="n"/>
    </row>
    <row r="47" ht="65.45" customHeight="1" s="566">
      <c r="AA47" s="637" t="inlineStr">
        <is>
          <t xml:space="preserve">Copyright 2021-2023, CMMC Information Institute, Inc.  Released under the Creative Commons CC-BY-SA license.  
</t>
        </is>
      </c>
      <c r="AB47" s="885" t="n"/>
      <c r="AC47" s="885" t="n"/>
      <c r="AD47" s="885" t="n"/>
      <c r="AE47" s="886" t="n"/>
      <c r="AF47" s="17" t="n"/>
      <c r="AG47" s="642" t="inlineStr">
        <is>
          <t>Although we have tried to make the Tool useful, it is being provided to you as-is, and nothing in the Tool is intended to serve as, nor does it serve as, legal or technical advice.  To be clear, if you use the Tool or any of the information in it, you do so at your own risk.  If you do not agree, you must not use the Tool.  It's that simple.</t>
        </is>
      </c>
      <c r="AH47" s="867" t="n"/>
      <c r="AI47" s="867" t="n"/>
      <c r="AJ47" s="867" t="n"/>
      <c r="AK47" s="867" t="n"/>
      <c r="AL47" s="867" t="n"/>
      <c r="AM47" s="867" t="n"/>
      <c r="AN47" s="867" t="n"/>
      <c r="AO47" s="867" t="n"/>
      <c r="AP47" s="867" t="n"/>
      <c r="AQ47" s="867" t="n"/>
      <c r="AR47" s="867" t="n"/>
      <c r="AS47" s="867" t="n"/>
      <c r="AT47" s="867" t="n"/>
      <c r="AU47" s="867" t="n"/>
      <c r="AV47" s="867" t="n"/>
      <c r="AW47" s="868" t="n"/>
      <c r="AX47" s="15" t="n"/>
      <c r="AY47" s="81" t="n"/>
      <c r="AZ47" s="81" t="n"/>
    </row>
    <row r="48" ht="60.75" customHeight="1" s="566">
      <c r="AA48" s="869" t="n"/>
      <c r="AB48" s="870" t="n"/>
      <c r="AC48" s="870" t="n"/>
      <c r="AD48" s="870" t="n"/>
      <c r="AE48" s="871" t="n"/>
      <c r="AF48" s="17" t="n"/>
      <c r="AG48" s="634" t="inlineStr">
        <is>
          <t>Worksheet Listing
(Be sure to scroll down for additional information, including a background of the CMMC and SPRS programs and instructions for using the worksheets to conduct a self-assessment and calculate SPRS and FAR and Above scores)</t>
        </is>
      </c>
      <c r="AH48" s="867" t="n"/>
      <c r="AI48" s="867" t="n"/>
      <c r="AJ48" s="867" t="n"/>
      <c r="AK48" s="867" t="n"/>
      <c r="AL48" s="867" t="n"/>
      <c r="AM48" s="867" t="n"/>
      <c r="AN48" s="867" t="n"/>
      <c r="AO48" s="867" t="n"/>
      <c r="AP48" s="867" t="n"/>
      <c r="AQ48" s="867" t="n"/>
      <c r="AR48" s="867" t="n"/>
      <c r="AS48" s="867" t="n"/>
      <c r="AT48" s="867" t="n"/>
      <c r="AU48" s="867" t="n"/>
      <c r="AV48" s="867" t="n"/>
      <c r="AW48" s="872" t="n"/>
      <c r="AX48" s="15" t="n"/>
      <c r="AY48" s="81" t="n"/>
      <c r="AZ48" s="81" t="n"/>
    </row>
  </sheetData>
  <mergeCells count="47">
    <mergeCell ref="G31:W31"/>
    <mergeCell ref="G22:W22"/>
    <mergeCell ref="G40:W40"/>
    <mergeCell ref="G9:W9"/>
    <mergeCell ref="A6:E42"/>
    <mergeCell ref="G21:W21"/>
    <mergeCell ref="G43:W43"/>
    <mergeCell ref="G12:W12"/>
    <mergeCell ref="G36:W36"/>
    <mergeCell ref="G42:W42"/>
    <mergeCell ref="G11:W11"/>
    <mergeCell ref="G27:W27"/>
    <mergeCell ref="G23:W23"/>
    <mergeCell ref="G39:W39"/>
    <mergeCell ref="G8:W8"/>
    <mergeCell ref="G17:W17"/>
    <mergeCell ref="G7:W7"/>
    <mergeCell ref="A1:E5"/>
    <mergeCell ref="G38:W38"/>
    <mergeCell ref="G10:W10"/>
    <mergeCell ref="G28:W28"/>
    <mergeCell ref="G19:W19"/>
    <mergeCell ref="G37:W37"/>
    <mergeCell ref="G13:W13"/>
    <mergeCell ref="G6:W6"/>
    <mergeCell ref="G18:W18"/>
    <mergeCell ref="AG48:AW48"/>
    <mergeCell ref="G34:W34"/>
    <mergeCell ref="AA47:AE48"/>
    <mergeCell ref="G30:W30"/>
    <mergeCell ref="G15:W15"/>
    <mergeCell ref="G33:W33"/>
    <mergeCell ref="G24:W24"/>
    <mergeCell ref="G14:W14"/>
    <mergeCell ref="G5:W5"/>
    <mergeCell ref="G1:W3"/>
    <mergeCell ref="G35:W35"/>
    <mergeCell ref="G4:W4"/>
    <mergeCell ref="A43:E43"/>
    <mergeCell ref="G26:W26"/>
    <mergeCell ref="AG47:AW47"/>
    <mergeCell ref="G29:W29"/>
    <mergeCell ref="G20:W20"/>
    <mergeCell ref="G25:W25"/>
    <mergeCell ref="G16:W16"/>
    <mergeCell ref="G32:W32"/>
    <mergeCell ref="G41:W41"/>
  </mergeCells>
  <hyperlinks>
    <hyperlink xmlns:r="http://schemas.openxmlformats.org/officeDocument/2006/relationships" ref="G4" display="This Tool was created through the generous support of the CMMC Information Institute's donors and sponsors.  Please click here to make a tax-deductable donation to the Institute.  Even small donations help us offset the cost of providing valuable resources like this Tool.  If you are interested in sponsoring the Institute, please contact us at info@cmmcinfo.org." r:id="rId1"/>
    <hyperlink xmlns:r="http://schemas.openxmlformats.org/officeDocument/2006/relationships" ref="G5" r:id="rId2"/>
  </hyperlinks>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F45"/>
  <sheetViews>
    <sheetView showGridLines="0" workbookViewId="0">
      <selection activeCell="B14" sqref="B14"/>
    </sheetView>
  </sheetViews>
  <sheetFormatPr baseColWidth="8" defaultColWidth="9.33203125" defaultRowHeight="12.75" customHeight="1"/>
  <cols>
    <col width="104.33203125" customWidth="1" style="1" min="1" max="1"/>
    <col width="49.83203125" customWidth="1" style="1" min="2" max="2"/>
    <col hidden="1" width="9.33203125" customWidth="1" style="1" min="3" max="3"/>
    <col width="9.33203125" customWidth="1" style="1" min="4" max="6"/>
    <col width="9.33203125" customWidth="1" style="1" min="7" max="16384"/>
  </cols>
  <sheetData>
    <row r="1" ht="14.25" customHeight="1" s="566">
      <c r="A1" s="22" t="inlineStr">
        <is>
          <t>Client Name:</t>
        </is>
      </c>
      <c r="B1" s="23" t="inlineStr">
        <is>
          <t>Canopy Aerospace and Defense</t>
        </is>
      </c>
      <c r="C1" s="36" t="n"/>
      <c r="D1" s="25" t="n"/>
      <c r="E1" s="26" t="n"/>
    </row>
    <row r="2" ht="13.7" customHeight="1" s="566">
      <c r="A2" s="27" t="inlineStr">
        <is>
          <t>Client Point of Contact (POC) Name:</t>
        </is>
      </c>
      <c r="B2" s="28" t="inlineStr">
        <is>
          <t>Richard Bays</t>
        </is>
      </c>
      <c r="C2" s="36" t="n"/>
      <c r="D2" s="25" t="n"/>
      <c r="E2" s="26" t="n"/>
    </row>
    <row r="3" ht="13.7" customHeight="1" s="566">
      <c r="A3" s="27" t="inlineStr">
        <is>
          <t>Client POC Title:</t>
        </is>
      </c>
      <c r="B3" s="28" t="inlineStr">
        <is>
          <t>CIO</t>
        </is>
      </c>
      <c r="C3" s="36" t="n"/>
      <c r="D3" s="25" t="n"/>
      <c r="E3" s="26" t="n"/>
    </row>
    <row r="4" ht="13.7" customHeight="1" s="566">
      <c r="A4" s="27" t="inlineStr">
        <is>
          <t>Client POC E-mail Address:</t>
        </is>
      </c>
      <c r="B4" s="503" t="inlineStr">
        <is>
          <t>richard.bays@canopy-ad.com</t>
        </is>
      </c>
      <c r="C4" s="36" t="n"/>
      <c r="D4" s="25" t="n"/>
      <c r="E4" s="26" t="n"/>
    </row>
    <row r="5" ht="13.7" customHeight="1" s="566">
      <c r="A5" s="27" t="inlineStr">
        <is>
          <t>Client POC Phone Number:</t>
        </is>
      </c>
      <c r="B5" s="28" t="inlineStr">
        <is>
          <t>909-321-2001</t>
        </is>
      </c>
      <c r="C5" s="36" t="n"/>
      <c r="D5" s="25" t="n"/>
      <c r="E5" s="26" t="n"/>
    </row>
    <row r="6" ht="13.5" customHeight="1" s="566">
      <c r="A6" s="29" t="inlineStr">
        <is>
          <t>Date Questionnaire Completed:</t>
        </is>
      </c>
      <c r="B6" s="30" t="n"/>
      <c r="C6" s="36" t="n"/>
      <c r="D6" s="25" t="n"/>
      <c r="E6" s="26" t="n"/>
    </row>
    <row r="7" ht="13.5" customHeight="1" s="566">
      <c r="A7" s="31" t="inlineStr">
        <is>
          <t>Questionnaire Score (calculated - 0 to 107)</t>
        </is>
      </c>
      <c r="B7" s="32">
        <f t="array" ref="B7">SUM(C22:C45)</f>
        <v/>
      </c>
      <c r="C7" s="36" t="n"/>
      <c r="D7" s="25" t="n"/>
      <c r="E7" s="26" t="n"/>
    </row>
    <row r="8" ht="13.5" customHeight="1" s="566">
      <c r="A8" s="33" t="n"/>
      <c r="B8" s="33" t="n"/>
      <c r="C8" s="26" t="n"/>
      <c r="D8" s="26" t="n"/>
      <c r="E8" s="26" t="n"/>
    </row>
    <row r="9" ht="20.1" customHeight="1" s="566">
      <c r="A9" s="22" t="inlineStr">
        <is>
          <t>At how many physical locations (offices, data centers, or other facilities) does your organization handle CUI or FCI?</t>
        </is>
      </c>
      <c r="B9" s="23" t="n">
        <v>4</v>
      </c>
      <c r="C9" s="36" t="n"/>
      <c r="D9" s="25" t="n"/>
      <c r="E9" s="26" t="n"/>
    </row>
    <row r="10" ht="18.6" customHeight="1" s="566">
      <c r="A10" s="27" t="inlineStr">
        <is>
          <t>How many employees do you have, and how many are authorized to access government information?</t>
        </is>
      </c>
      <c r="B10" s="28" t="inlineStr">
        <is>
          <t>180 employees, about 50 employees have access</t>
        </is>
      </c>
      <c r="C10" s="36" t="n"/>
      <c r="D10" s="25" t="n"/>
      <c r="E10" s="26" t="n"/>
    </row>
    <row r="11" ht="13.7" customHeight="1" s="566">
      <c r="A11" s="27" t="inlineStr">
        <is>
          <t>Total employees and contractors:</t>
        </is>
      </c>
      <c r="B11" s="28" t="inlineStr">
        <is>
          <t>180 employees and 3 contractors</t>
        </is>
      </c>
      <c r="C11" s="36" t="n"/>
      <c r="D11" s="504" t="n"/>
      <c r="E11" s="26" t="n"/>
      <c r="F11" s="505" t="inlineStr">
        <is>
          <t>Need to get a count of Airgap employees</t>
        </is>
      </c>
    </row>
    <row r="12" ht="13.7" customHeight="1" s="566">
      <c r="A12" s="27" t="inlineStr">
        <is>
          <t>Authorized to access Government Information</t>
        </is>
      </c>
      <c r="B12" s="28" t="n"/>
      <c r="C12" s="36" t="n"/>
      <c r="D12" s="25" t="n"/>
      <c r="E12" s="26" t="n"/>
    </row>
    <row r="13" ht="17.85" customHeight="1" s="566">
      <c r="A13" s="27" t="inlineStr">
        <is>
          <t>How many accounts of the following types do you have in your organization's systems?</t>
        </is>
      </c>
      <c r="B13" s="34" t="n"/>
      <c r="C13" s="36" t="n"/>
      <c r="D13" s="25" t="n"/>
      <c r="E13" s="26" t="n"/>
    </row>
    <row r="14" ht="13.7" customHeight="1" s="566">
      <c r="A14" s="35" t="inlineStr">
        <is>
          <t>Users</t>
        </is>
      </c>
      <c r="B14" s="28" t="n">
        <v>180</v>
      </c>
      <c r="C14" s="36" t="n"/>
      <c r="D14" s="25" t="n"/>
      <c r="E14" s="26" t="n"/>
    </row>
    <row r="15" ht="13.7" customHeight="1" s="566">
      <c r="A15" s="35" t="inlineStr">
        <is>
          <t>Local Administrators</t>
        </is>
      </c>
      <c r="B15" s="28" t="n">
        <v>0</v>
      </c>
      <c r="C15" s="36" t="n"/>
      <c r="D15" s="25" t="n"/>
      <c r="E15" s="26" t="n"/>
    </row>
    <row r="16" ht="13.7" customHeight="1" s="566">
      <c r="A16" s="35" t="inlineStr">
        <is>
          <t>Application</t>
        </is>
      </c>
      <c r="B16" s="28" t="n"/>
      <c r="C16" s="36" t="n"/>
      <c r="D16" s="25" t="n"/>
      <c r="E16" s="26" t="n"/>
    </row>
    <row r="17" ht="13.7" customHeight="1" s="566">
      <c r="A17" s="35" t="inlineStr">
        <is>
          <t>Service</t>
        </is>
      </c>
      <c r="B17" s="28" t="n"/>
      <c r="C17" s="36" t="n"/>
      <c r="D17" s="25" t="n"/>
      <c r="E17" s="26" t="n"/>
    </row>
    <row r="18" ht="13.7" customHeight="1" s="566">
      <c r="A18" s="35" t="inlineStr">
        <is>
          <t>Domain Administrator</t>
        </is>
      </c>
      <c r="B18" s="28" t="n"/>
      <c r="C18" s="36" t="n"/>
      <c r="D18" s="25" t="n"/>
      <c r="E18" s="26" t="n"/>
    </row>
    <row r="19" ht="13.7" customHeight="1" s="566">
      <c r="A19" s="35" t="inlineStr">
        <is>
          <t>Other</t>
        </is>
      </c>
      <c r="B19" s="28" t="n"/>
      <c r="C19" s="36" t="n"/>
      <c r="D19" s="25" t="n"/>
      <c r="E19" s="26" t="n"/>
    </row>
    <row r="20" ht="30" customHeight="1" s="566">
      <c r="A20" s="27" t="inlineStr">
        <is>
          <t>Do you allow employees to access your systems, including E-mail, collaboration, and cloud resources, from their personal devices (i.e., BYOD)?</t>
        </is>
      </c>
      <c r="B20" s="28" t="n"/>
      <c r="C20" s="36" t="n"/>
      <c r="D20" s="25" t="n"/>
      <c r="E20" s="26" t="n"/>
    </row>
    <row r="21" ht="26.25" customHeight="1" s="566">
      <c r="A21" s="29" t="inlineStr">
        <is>
          <t xml:space="preserve">Can any of your employees work remotely? If so, can they work remotely using their own equipment or only organization-provided equipment? </t>
        </is>
      </c>
      <c r="B21" s="30" t="n"/>
      <c r="C21" s="36" t="n"/>
      <c r="D21" s="25" t="n"/>
      <c r="E21" s="26" t="n"/>
    </row>
    <row r="22" ht="29.1" customHeight="1" s="566">
      <c r="A22" s="22" t="inlineStr">
        <is>
          <t>Do your organization's employees periodically receive security awareness training regarding the risks associated with their activities and any applicable policies, procedures, standards, etc. relevant to the systems they use to conduct the activities?</t>
        </is>
      </c>
      <c r="B22" s="23" t="n"/>
      <c r="C22" s="36">
        <f t="array" ref="C22">IF(OR(B22=References!A28,B22=""),0,IF(B22=References!A29,3,5))</f>
        <v/>
      </c>
      <c r="D22" s="25" t="n"/>
      <c r="E22" s="26" t="n"/>
    </row>
    <row r="23" ht="30" customHeight="1" s="566">
      <c r="A23" s="27" t="inlineStr">
        <is>
          <t>Is your staff trained to recognize and properly handle sensitive information, such as bank accounts, social security numbers, design specifications, blueprints, Federal Contract Information (“FCI”) and Controlled Unclassified Information (“CUI”)?</t>
        </is>
      </c>
      <c r="B23" s="28" t="n"/>
      <c r="C23" s="36">
        <f t="array" ref="C23">IF(OR(B23="No",B23=""),0,3)</f>
        <v/>
      </c>
      <c r="D23" s="25" t="n"/>
      <c r="E23" s="26" t="n"/>
    </row>
    <row r="24" ht="45" customHeight="1" s="566">
      <c r="A24" s="27" t="inlineStr">
        <is>
          <t>Do you have a comprehensive list of all of the types of sensitive information (including FCI, CUI by type, and non-government information) in received, created, processed, stored, and/or transmitted by your organization? (If yes, we will ask you for a copy once a nondisclosure agreement is in place)</t>
        </is>
      </c>
      <c r="B24" s="28" t="n"/>
      <c r="C24" s="36">
        <f t="array" ref="C24">IF(OR(B24="No",B24=""),0,5)</f>
        <v/>
      </c>
      <c r="D24" s="25" t="n"/>
      <c r="E24" s="26" t="n"/>
    </row>
    <row r="25" ht="45" customHeight="1" s="566">
      <c r="A25" s="27" t="inlineStr">
        <is>
          <t>Do you have a comprehensive list of all hardware (including laptops, mobile devices, workstations, servers, printers, networking equipment, “smart devices” (like TVs, Alexas, etc.)) in use by your organization? (If yes, we will ask you for a copy once a nondisclosure agreement is in place)</t>
        </is>
      </c>
      <c r="B25" s="28" t="n"/>
      <c r="C25" s="36">
        <f t="array" ref="C25">IF(OR(B25="No",B25=""),0,3)</f>
        <v/>
      </c>
      <c r="D25" s="25" t="n"/>
      <c r="E25" s="26" t="n"/>
    </row>
    <row r="26" ht="29.25" customHeight="1" s="566">
      <c r="A26" s="27" t="inlineStr">
        <is>
          <t>Do you have a comprehensive list of all software (including operating systems, end-user software, and drivers) installed on the organization’s equipment? (If yes, we will ask you for a copy once a nondisclosure agreement is in place)</t>
        </is>
      </c>
      <c r="B26" s="28" t="n"/>
      <c r="C26" s="36">
        <f t="array" ref="C26">IF(OR(B26="No",B26=""),0,5)</f>
        <v/>
      </c>
      <c r="D26" s="25" t="n"/>
      <c r="E26" s="26" t="n"/>
    </row>
    <row r="27" ht="29.85" customHeight="1" s="566">
      <c r="A27" s="27" t="inlineStr">
        <is>
          <t>Do you have a comprehensive list of all cloud resources (including E-mail, file sharing, chat, collaboration, HR, payroll, and other resources) used by the organization? (If yes, we will ask you for a copy once a nondisclosure agreement is in place)</t>
        </is>
      </c>
      <c r="B27" s="28" t="n"/>
      <c r="C27" s="36">
        <f t="array" ref="C27">IF(OR(B27="No",B27=""),0,5)</f>
        <v/>
      </c>
      <c r="D27" s="25" t="n"/>
      <c r="E27" s="26" t="n"/>
    </row>
    <row r="28" ht="20.25" customHeight="1" s="566">
      <c r="A28" s="27" t="inlineStr">
        <is>
          <t>Do you have a network diagram? (If yes, we will ask you for a copy once a nondisclosure agreement is in place)</t>
        </is>
      </c>
      <c r="B28" s="28" t="n"/>
      <c r="C28" s="36">
        <f t="array" ref="C28">IF(OR(B28="No",B28=""),0,5)</f>
        <v/>
      </c>
      <c r="D28" s="25" t="n"/>
      <c r="E28" s="26" t="n"/>
    </row>
    <row r="29" ht="31.5" customHeight="1" s="566">
      <c r="A29" s="27" t="inlineStr">
        <is>
          <t>Can you show how and where sensitive information, and in particular FCI and CUI, is received, processed, stored, and transmitted within your organization? (If yes, we will ask you for a copy once a nondisclosure agreement is in place)</t>
        </is>
      </c>
      <c r="B29" s="28" t="n"/>
      <c r="C29" s="36">
        <f t="array" ref="C29">IF(OR(B29="No",B29=""),0,10)</f>
        <v/>
      </c>
      <c r="D29" s="25" t="n"/>
      <c r="E29" s="26" t="n"/>
    </row>
    <row r="30" ht="25.5" customHeight="1" s="566">
      <c r="A30" s="27" t="inlineStr">
        <is>
          <t>Do you have a list of all of your employees and contractors that includes their roles? If so, have you defined which roles are authorized to handle different categories of information (e.g., CUI vs FCI)?</t>
        </is>
      </c>
      <c r="B30" s="28" t="n"/>
      <c r="C30" s="36">
        <f t="array" ref="C30">IF(OR(B30=References!A32,B30=""),0,IF(B30=References!A33,3,5))</f>
        <v/>
      </c>
      <c r="D30" s="25" t="n"/>
      <c r="E30" s="26" t="n"/>
    </row>
    <row r="31" ht="18.6" customHeight="1" s="566">
      <c r="A31" s="27" t="inlineStr">
        <is>
          <t>Do all of your users have administrative privileges on their local computer (i.e., they are local administrators)?</t>
        </is>
      </c>
      <c r="B31" s="28" t="n"/>
      <c r="C31" s="36">
        <f t="array" ref="C31">IF(OR(B31="Yes",B31=""),0,5)</f>
        <v/>
      </c>
      <c r="D31" s="25" t="n"/>
      <c r="E31" s="26" t="n"/>
    </row>
    <row r="32" ht="13.7" customHeight="1" s="566">
      <c r="A32" s="27" t="inlineStr">
        <is>
          <t>Does your organization require multifactor authentication for:</t>
        </is>
      </c>
      <c r="B32" s="34" t="n"/>
      <c r="C32" s="36" t="n"/>
      <c r="D32" s="25" t="n"/>
      <c r="E32" s="26" t="n"/>
    </row>
    <row r="33" ht="13.7" customHeight="1" s="566">
      <c r="A33" s="35" t="inlineStr">
        <is>
          <t>Remote Administration</t>
        </is>
      </c>
      <c r="B33" s="28" t="n"/>
      <c r="C33" s="36">
        <f t="array" ref="C33">IF(OR(B33="Yes",B33=""),0,5)</f>
        <v/>
      </c>
      <c r="D33" s="25" t="n"/>
      <c r="E33" s="26" t="n"/>
    </row>
    <row r="34" ht="13.7" customHeight="1" s="566">
      <c r="A34" s="35" t="inlineStr">
        <is>
          <t>All user remote access</t>
        </is>
      </c>
      <c r="B34" s="28" t="n"/>
      <c r="C34" s="36">
        <f t="array" ref="C34">IF(OR(B34="Yes",B34=""),0,3)</f>
        <v/>
      </c>
      <c r="D34" s="25" t="n"/>
      <c r="E34" s="26" t="n"/>
    </row>
    <row r="35" ht="13.7" customHeight="1" s="566">
      <c r="A35" s="35" t="inlineStr">
        <is>
          <t>All administrator logins</t>
        </is>
      </c>
      <c r="B35" s="28" t="n"/>
      <c r="C35" s="36">
        <f t="array" ref="C35">IF(OR(B35="Yes",B35=""),0,5)</f>
        <v/>
      </c>
      <c r="D35" s="25" t="n"/>
      <c r="E35" s="26" t="n"/>
    </row>
    <row r="36" ht="13.7" customHeight="1" s="566">
      <c r="A36" s="35" t="inlineStr">
        <is>
          <t>All user logins</t>
        </is>
      </c>
      <c r="B36" s="28" t="n"/>
      <c r="C36" s="36">
        <f t="array" ref="C36">IF(OR(B36="Yes",B36=""),0,3)</f>
        <v/>
      </c>
      <c r="D36" s="25" t="n"/>
      <c r="E36" s="26" t="n"/>
    </row>
    <row r="37" ht="13.7" customHeight="1" s="566">
      <c r="A37" s="35" t="inlineStr">
        <is>
          <t>Administrator access to cloud resources</t>
        </is>
      </c>
      <c r="B37" s="28" t="n"/>
      <c r="C37" s="36">
        <f t="array" ref="C37">IF(OR(B37="Yes",B37=""),0,5)</f>
        <v/>
      </c>
      <c r="D37" s="25" t="n"/>
      <c r="E37" s="26" t="n"/>
    </row>
    <row r="38" ht="13.7" customHeight="1" s="566">
      <c r="A38" s="35" t="inlineStr">
        <is>
          <t>All user access to cloud resources</t>
        </is>
      </c>
      <c r="B38" s="28" t="n"/>
      <c r="C38" s="36">
        <f t="array" ref="C38">IF(OR(B38="Yes",B38=""),0,3)</f>
        <v/>
      </c>
      <c r="D38" s="25" t="n"/>
      <c r="E38" s="26" t="n"/>
    </row>
    <row r="39" ht="19.35" customHeight="1" s="566">
      <c r="A39" s="27" t="inlineStr">
        <is>
          <t>Does your organization deploy Wi-Fi? If so, is the Wi-Fi network part of your corporate network or external to it?</t>
        </is>
      </c>
      <c r="B39" s="28" t="n"/>
      <c r="C39" s="36">
        <f t="array" ref="C39">IF(OR(B39="",B39=References!A37),0,IF(B39=References!A36,3,5))</f>
        <v/>
      </c>
      <c r="D39" s="25" t="n"/>
      <c r="E39" s="26" t="n"/>
    </row>
    <row r="40" ht="29.1" customHeight="1" s="566">
      <c r="A40" s="27" t="inlineStr">
        <is>
          <t>Does your organization have an incident response plan that describes roles and responsibilities? If so, do you routinely test the plan? (If you have a plan, we will ask for a copy once a nondisclosure agreement is in place)</t>
        </is>
      </c>
      <c r="B40" s="34" t="n"/>
      <c r="C40" s="36" t="n"/>
      <c r="D40" s="25" t="n"/>
      <c r="E40" s="26" t="n"/>
    </row>
    <row r="41" ht="13.7" customHeight="1" s="566">
      <c r="A41" s="35" t="inlineStr">
        <is>
          <t>Plan</t>
        </is>
      </c>
      <c r="B41" s="28" t="n"/>
      <c r="C41" s="36">
        <f t="array" ref="C41">IF(OR(B41="Yes",B41=""),0,3)</f>
        <v/>
      </c>
      <c r="D41" s="25" t="n"/>
      <c r="E41" s="26" t="n"/>
    </row>
    <row r="42" ht="13.7" customHeight="1" s="566">
      <c r="A42" s="35" t="inlineStr">
        <is>
          <t>Roles and responsibilities are identified</t>
        </is>
      </c>
      <c r="B42" s="28" t="n"/>
      <c r="C42" s="36">
        <f t="array" ref="C42">IF(OR(B42="Yes",B42=""),0,3)</f>
        <v/>
      </c>
      <c r="D42" s="25" t="n"/>
      <c r="E42" s="26" t="n"/>
    </row>
    <row r="43" ht="13.7" customHeight="1" s="566">
      <c r="A43" s="35" t="inlineStr">
        <is>
          <t>Plan has been tested at least once in the past 12 months</t>
        </is>
      </c>
      <c r="B43" s="28" t="n"/>
      <c r="C43" s="36">
        <f t="array" ref="C43">IF(OR(B43="Yes",B43=""),0,5)</f>
        <v/>
      </c>
      <c r="D43" s="25" t="n"/>
      <c r="E43" s="26" t="n"/>
    </row>
    <row r="44" ht="44.85" customHeight="1" s="566">
      <c r="A44" s="27" t="inlineStr">
        <is>
          <t>Has your organization already performed a self-assessment against NIST SP 800-171? If so, did your assessment consider only the requirements themselves or also the objectives defined in NIST SP 800-171A? (If yes, we will ask for the results once a nondisclosure agreement is in place)</t>
        </is>
      </c>
      <c r="B44" s="28" t="n"/>
      <c r="C44" s="36">
        <f t="array" ref="C44">IF(OR(B44="",B44=References!A40),0,IF(B44=References!A41,3,8))</f>
        <v/>
      </c>
      <c r="D44" s="25" t="n"/>
      <c r="E44" s="26" t="n"/>
    </row>
    <row r="45" ht="30" customHeight="1" s="566">
      <c r="A45" s="29" t="inlineStr">
        <is>
          <t>Do you have a comprehensive set of policies, procedures, plans, and/or other documents that define your IT and cybersecurity programs? (If yes, we will ask you for copies once a nondisclosure agreement is in place)</t>
        </is>
      </c>
      <c r="B45" s="30" t="n"/>
      <c r="C45" s="36">
        <f t="array" ref="C45">IF(OR(B45="",B45="No"),0,IF(B45=References!A45,3,8))</f>
        <v/>
      </c>
      <c r="D45" s="25" t="n"/>
      <c r="E45" s="26" t="n"/>
    </row>
  </sheetData>
  <dataValidations count="11">
    <dataValidation sqref="B20" showDropDown="0" showInputMessage="1" showErrorMessage="1" allowBlank="1" type="list">
      <formula1>"No,Yes"</formula1>
    </dataValidation>
    <dataValidation sqref="B21" showDropDown="0" showInputMessage="1" showErrorMessage="1" allowBlank="1" type="list">
      <formula1>"No,Yes - From home with their own equipment,Yes - From home with equipment we provide"</formula1>
    </dataValidation>
    <dataValidation sqref="B22" showDropDown="0" showInputMessage="1" showErrorMessage="1" allowBlank="1" type="list">
      <formula1>"No,Yes - Admins and privileged users (3 points)"</formula1>
    </dataValidation>
    <dataValidation sqref="B23 B25 B34 B36 B38 B41:B42" showDropDown="0" showInputMessage="1" showErrorMessage="1" allowBlank="1" type="list">
      <formula1>"No,Yes (3 points)"</formula1>
    </dataValidation>
    <dataValidation sqref="B24 B26:B28 B33 B35 B37 B43" showDropDown="0" showInputMessage="1" showErrorMessage="1" allowBlank="1" type="list">
      <formula1>"No,Yes (5 points)"</formula1>
    </dataValidation>
    <dataValidation sqref="B29" showDropDown="0" showInputMessage="1" showErrorMessage="1" allowBlank="1" type="list">
      <formula1>"No,Yes (10 points)"</formula1>
    </dataValidation>
    <dataValidation sqref="B30" showDropDown="0" showInputMessage="1" showErrorMessage="1" allowBlank="1" type="list">
      <formula1>"No,Yes - without role-based access definitions (3 points),Yes - with role-based information access definitions (5 points)"</formula1>
    </dataValidation>
    <dataValidation sqref="B31" showDropDown="0" showInputMessage="1" showErrorMessage="1" allowBlank="1" type="list">
      <formula1>"No (5 points),Yes"</formula1>
    </dataValidation>
    <dataValidation sqref="B39" showDropDown="0" showInputMessage="1" showErrorMessage="1" allowBlank="1" type="list">
      <formula1>"No (3 points),Yes - WiFi is part of our network,Yes - WiFi goes to a guest network separate from our internal network (3 points) "</formula1>
    </dataValidation>
    <dataValidation sqref="B44" showDropDown="0" showInputMessage="1" showErrorMessage="1" allowBlank="1" type="list">
      <formula1>"No,Yes - without objectives (3 points),Yes - with objectives (8 points)"</formula1>
    </dataValidation>
    <dataValidation sqref="B45" showDropDown="0" showInputMessage="1" showErrorMessage="1" allowBlank="1" type="list">
      <formula1>"No,Yes - Partial/incomplete (3 points),Yes - Comprehensive (8 points)"</formula1>
    </dataValidation>
  </dataValidations>
  <hyperlinks>
    <hyperlink xmlns:r="http://schemas.openxmlformats.org/officeDocument/2006/relationships" ref="B4" r:id="rId1"/>
  </hyperlinks>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K73"/>
  <sheetViews>
    <sheetView showGridLines="0" workbookViewId="0">
      <selection activeCell="D15" sqref="D15"/>
    </sheetView>
  </sheetViews>
  <sheetFormatPr baseColWidth="8" defaultColWidth="9.33203125" defaultRowHeight="12.75" customHeight="1"/>
  <cols>
    <col width="15.33203125" customWidth="1" style="1" min="1" max="1"/>
    <col width="59.1640625" customWidth="1" style="1" min="2" max="2"/>
    <col width="28" customWidth="1" style="1" min="3" max="3"/>
    <col width="73.33203125" customWidth="1" style="1" min="4" max="4"/>
    <col width="59.6640625" customWidth="1" style="1" min="5" max="5"/>
    <col width="69.1640625" customWidth="1" style="1" min="6" max="6"/>
    <col width="5.6640625" customWidth="1" style="1" min="7" max="7"/>
    <col width="44.33203125" customWidth="1" style="1" min="8" max="8"/>
    <col width="75.6640625" customWidth="1" style="1" min="9" max="9"/>
    <col width="35.1640625" customWidth="1" style="1" min="10" max="10"/>
    <col width="30.1640625" customWidth="1" style="1" min="11" max="11"/>
    <col width="9.33203125" customWidth="1" style="1" min="12" max="12"/>
    <col width="9.33203125" customWidth="1" style="1" min="13" max="16384"/>
  </cols>
  <sheetData>
    <row r="1" ht="24" customHeight="1" s="566">
      <c r="A1" s="727" t="inlineStr">
        <is>
          <t>System Security Plan</t>
        </is>
      </c>
      <c r="B1" s="887" t="n"/>
      <c r="C1" s="887" t="n"/>
      <c r="D1" s="888" t="n"/>
      <c r="E1" s="37" t="inlineStr">
        <is>
          <t>Additional Assessor/Preparer Notes</t>
        </is>
      </c>
      <c r="F1" s="38" t="inlineStr">
        <is>
          <t>Relevant Notes from NIST</t>
        </is>
      </c>
      <c r="G1" s="39" t="n"/>
      <c r="H1" s="40" t="n"/>
      <c r="I1" s="40" t="n"/>
      <c r="J1" s="40" t="n"/>
      <c r="K1" s="40" t="n"/>
    </row>
    <row r="2" ht="15.75" customHeight="1" s="566">
      <c r="A2" s="725" t="inlineStr">
        <is>
          <t>FAR and Above Score (0 to 500) [Auto-calculated]</t>
        </is>
      </c>
      <c r="B2" s="888" t="n"/>
      <c r="C2" s="730">
        <f t="array" ref="C2">'SSP - DoD SPRS &amp; FAR and Above'!D1</f>
        <v/>
      </c>
      <c r="D2" s="888" t="n"/>
      <c r="E2" s="41" t="n"/>
      <c r="F2" s="42" t="n"/>
      <c r="G2" s="39" t="n"/>
      <c r="H2" s="40" t="n"/>
      <c r="I2" s="40" t="n"/>
      <c r="J2" s="40" t="n"/>
      <c r="K2" s="40" t="n"/>
    </row>
    <row r="3" ht="32.25" customHeight="1" s="566">
      <c r="A3" s="710" t="inlineStr">
        <is>
          <t>Information for SPRS Submission</t>
        </is>
      </c>
      <c r="B3" s="723" t="inlineStr">
        <is>
          <t>SPRS Score (-203 to 110) [Auto-calculated]</t>
        </is>
      </c>
      <c r="C3" s="731">
        <f t="array" ref="C3">IF('SSP - DoD SPRS &amp; FAR and Above'!O80=-1000,"No SSP, therefore an assessment could not be completed due to incomplete information and noncompliance with DFARS clause 252.204-7012.  See NIST SP 800-171 3.12.4.",'SSP - DoD SPRS &amp; FAR and Above'!B1)</f>
        <v/>
      </c>
      <c r="D3" s="889" t="n"/>
      <c r="E3" s="44" t="n"/>
      <c r="F3" s="45" t="n"/>
      <c r="G3" s="39" t="n"/>
      <c r="H3" s="40" t="n"/>
      <c r="I3" s="40" t="n"/>
      <c r="J3" s="40" t="n"/>
      <c r="K3" s="40" t="n"/>
    </row>
    <row r="4" ht="13.7" customHeight="1" s="566">
      <c r="A4" s="890" t="n"/>
      <c r="B4" s="720" t="inlineStr">
        <is>
          <t>Date when 110 Score Expected [Auto-calculated]</t>
        </is>
      </c>
      <c r="C4" s="732" t="inlineStr">
        <is>
          <t>N/A</t>
        </is>
      </c>
      <c r="D4" s="868" t="n"/>
      <c r="E4" s="47" t="n"/>
      <c r="F4" s="48" t="n"/>
      <c r="G4" s="39" t="n"/>
      <c r="H4" s="40" t="n"/>
      <c r="I4" s="40" t="n"/>
      <c r="J4" s="40" t="n"/>
      <c r="K4" s="40" t="n"/>
    </row>
    <row r="5" ht="13.7" customHeight="1" s="566">
      <c r="A5" s="890" t="n"/>
      <c r="B5" s="720" t="inlineStr">
        <is>
          <t>Prepared by (Assessor Name)</t>
        </is>
      </c>
      <c r="C5" s="734" t="inlineStr">
        <is>
          <t>Onnex AI Agency (MSP)</t>
        </is>
      </c>
      <c r="D5" s="868" t="n"/>
      <c r="E5" s="47" t="n"/>
      <c r="F5" s="48" t="n"/>
      <c r="G5" s="39" t="n"/>
      <c r="H5" s="40" t="n"/>
      <c r="I5" s="40" t="n"/>
      <c r="J5" s="40" t="n"/>
      <c r="K5" s="40" t="n"/>
    </row>
    <row r="6" ht="13.7" customHeight="1" s="566">
      <c r="A6" s="890" t="n"/>
      <c r="B6" s="720" t="inlineStr">
        <is>
          <t>Prepared for (Organization Name)</t>
        </is>
      </c>
      <c r="C6" s="729" t="inlineStr">
        <is>
          <t>Canopy Aerospace and Defense</t>
        </is>
      </c>
      <c r="D6" s="868" t="n"/>
      <c r="E6" s="47" t="n"/>
      <c r="F6" s="48" t="n"/>
      <c r="G6" s="39" t="n"/>
      <c r="H6" s="40" t="n"/>
      <c r="I6" s="40" t="n"/>
      <c r="J6" s="40" t="n"/>
      <c r="K6" s="50" t="n"/>
    </row>
    <row r="7" ht="13.7" customHeight="1" s="566">
      <c r="A7" s="890" t="n"/>
      <c r="B7" s="720" t="inlineStr">
        <is>
          <t>Date of Assessment</t>
        </is>
      </c>
      <c r="C7" s="729" t="inlineStr">
        <is>
          <t>2026-04-17</t>
        </is>
      </c>
      <c r="D7" s="868" t="n"/>
      <c r="E7" s="47" t="n"/>
      <c r="F7" s="48" t="n"/>
      <c r="G7" s="39" t="n"/>
      <c r="H7" s="40" t="n"/>
      <c r="I7" s="40" t="n"/>
      <c r="J7" s="40" t="n"/>
      <c r="K7" s="40" t="n"/>
    </row>
    <row r="8" ht="13.7" customHeight="1" s="566">
      <c r="A8" s="890" t="n"/>
      <c r="B8" s="720" t="inlineStr">
        <is>
          <t>CAGE Code(s) Supported by System</t>
        </is>
      </c>
      <c r="C8" s="729" t="inlineStr">
        <is>
          <t>CANPY</t>
        </is>
      </c>
      <c r="D8" s="868" t="n"/>
      <c r="E8" s="47" t="n"/>
      <c r="F8" s="48" t="n"/>
      <c r="G8" s="39" t="n"/>
      <c r="H8" s="40" t="n"/>
      <c r="I8" s="40" t="n"/>
      <c r="J8" s="40" t="n"/>
      <c r="K8" s="40" t="n"/>
    </row>
    <row r="9" ht="13.5" customHeight="1" s="566">
      <c r="A9" s="891" t="n"/>
      <c r="B9" s="51" t="inlineStr">
        <is>
          <t>System Description</t>
        </is>
      </c>
      <c r="C9" s="735" t="inlineStr">
        <is>
          <t>IT systems handling Controlled Unclassified Information (CUI) in support of DoD contracts</t>
        </is>
      </c>
      <c r="D9" s="892" t="n"/>
      <c r="E9" s="52" t="n"/>
      <c r="F9" s="53" t="n"/>
      <c r="G9" s="39" t="n"/>
      <c r="H9" s="40" t="n"/>
      <c r="I9" s="40" t="n"/>
      <c r="J9" s="40" t="n"/>
      <c r="K9" s="40" t="n"/>
    </row>
    <row r="10" ht="25.5" customHeight="1" s="566">
      <c r="A10" s="710" t="inlineStr">
        <is>
          <t>System Identification</t>
        </is>
      </c>
      <c r="B10" s="723" t="inlineStr">
        <is>
          <t>Canopy Aerospace and Defense — CMMC IT System</t>
        </is>
      </c>
      <c r="C10" s="889" t="n"/>
      <c r="D10" s="54" t="n"/>
      <c r="E10" s="44" t="n"/>
      <c r="F10" s="45" t="n"/>
      <c r="G10" s="39" t="n"/>
      <c r="H10" s="40" t="n"/>
      <c r="I10" s="40" t="n"/>
      <c r="J10" s="40" t="n"/>
      <c r="K10" s="40" t="n"/>
    </row>
    <row r="11" ht="25.5" customHeight="1" s="566">
      <c r="A11" s="890" t="n"/>
      <c r="B11" s="720" t="inlineStr">
        <is>
          <t>System Categorization - Confidentiality 
[MUST be at least Moderate if system handles CUI]</t>
        </is>
      </c>
      <c r="C11" s="55" t="inlineStr">
        <is>
          <t>Moderate</t>
        </is>
      </c>
      <c r="D11" s="56" t="n"/>
      <c r="E11" s="47" t="n"/>
      <c r="F11" s="48" t="n"/>
      <c r="G11" s="39" t="n"/>
      <c r="H11" s="40" t="n"/>
      <c r="I11" s="40" t="n"/>
      <c r="J11" s="40" t="n"/>
      <c r="K11" s="40" t="n"/>
    </row>
    <row r="12" ht="13.7" customHeight="1" s="566">
      <c r="A12" s="890" t="n"/>
      <c r="B12" s="720" t="inlineStr">
        <is>
          <t>System Categorization - Integrity</t>
        </is>
      </c>
      <c r="C12" s="55" t="inlineStr">
        <is>
          <t>Moderate</t>
        </is>
      </c>
      <c r="D12" s="56" t="n"/>
      <c r="E12" s="47" t="n"/>
      <c r="F12" s="48" t="n"/>
      <c r="G12" s="39" t="n"/>
      <c r="H12" s="40" t="n"/>
      <c r="I12" s="40" t="n"/>
      <c r="J12" s="40" t="n"/>
      <c r="K12" s="40" t="n"/>
    </row>
    <row r="13" ht="13.7" customHeight="1" s="566">
      <c r="A13" s="890" t="n"/>
      <c r="B13" s="720" t="inlineStr">
        <is>
          <t>System Categorization - Availability</t>
        </is>
      </c>
      <c r="C13" s="55" t="inlineStr">
        <is>
          <t>Moderate</t>
        </is>
      </c>
      <c r="D13" s="56" t="n"/>
      <c r="E13" s="47" t="n"/>
      <c r="F13" s="48" t="n"/>
      <c r="G13" s="39" t="n"/>
      <c r="H13" s="40" t="n"/>
      <c r="I13" s="40" t="n"/>
      <c r="J13" s="40" t="n"/>
      <c r="K13" s="40" t="n"/>
    </row>
    <row r="14" ht="13.7" customHeight="1" s="566">
      <c r="A14" s="890" t="n"/>
      <c r="B14" s="720" t="inlineStr">
        <is>
          <t>System Unique Identifier</t>
        </is>
      </c>
      <c r="C14" s="57" t="inlineStr">
        <is>
          <t>CANOPY-CMMC-001</t>
        </is>
      </c>
      <c r="D14" s="56" t="n"/>
      <c r="E14" s="47" t="n"/>
      <c r="F14" s="48" t="n"/>
      <c r="G14" s="39" t="n"/>
      <c r="H14" s="40" t="n"/>
      <c r="I14" s="40" t="n"/>
      <c r="J14" s="40" t="n"/>
      <c r="K14" s="40" t="n"/>
    </row>
    <row r="15" ht="13.7" customHeight="1" s="566">
      <c r="A15" s="890" t="n"/>
      <c r="B15" s="706" t="inlineStr">
        <is>
          <t>Responsible Organization</t>
        </is>
      </c>
      <c r="C15" s="55" t="inlineStr">
        <is>
          <t>Name:</t>
        </is>
      </c>
      <c r="D15" s="56" t="inlineStr">
        <is>
          <t>Canopy Aerospace and Defense</t>
        </is>
      </c>
      <c r="E15" s="47" t="n"/>
      <c r="F15" s="48" t="n"/>
      <c r="G15" s="39" t="n"/>
      <c r="H15" s="40" t="n"/>
      <c r="I15" s="40" t="n"/>
      <c r="J15" s="40" t="n"/>
      <c r="K15" s="40" t="n"/>
    </row>
    <row r="16" ht="13.7" customHeight="1" s="566">
      <c r="A16" s="890" t="n"/>
      <c r="B16" s="893" t="n"/>
      <c r="C16" s="55" t="inlineStr">
        <is>
          <t>Address:</t>
        </is>
      </c>
      <c r="D16" s="56" t="inlineStr">
        <is>
          <t>On file with MSP</t>
        </is>
      </c>
      <c r="E16" s="47" t="n"/>
      <c r="F16" s="48" t="n"/>
      <c r="G16" s="39" t="n"/>
      <c r="H16" s="40" t="n"/>
      <c r="I16" s="40" t="n"/>
      <c r="J16" s="40" t="n"/>
      <c r="K16" s="40" t="n"/>
    </row>
    <row r="17" ht="13.7" customHeight="1" s="566">
      <c r="A17" s="890" t="n"/>
      <c r="B17" s="894" t="n"/>
      <c r="C17" s="55" t="inlineStr">
        <is>
          <t>Phone:</t>
        </is>
      </c>
      <c r="D17" s="56" t="inlineStr">
        <is>
          <t>On file with MSP</t>
        </is>
      </c>
      <c r="E17" s="47" t="n"/>
      <c r="F17" s="48" t="n"/>
      <c r="G17" s="39" t="n"/>
      <c r="H17" s="40" t="n"/>
      <c r="I17" s="40" t="n"/>
      <c r="J17" s="40" t="n"/>
      <c r="K17" s="40" t="n"/>
    </row>
    <row r="18" ht="13.7" customHeight="1" s="566">
      <c r="A18" s="890" t="n"/>
      <c r="B18" s="706" t="inlineStr">
        <is>
          <t>Information Owner(s):
[Government point(s) of contact responsible for providing and/or receiving CUI]</t>
        </is>
      </c>
      <c r="C18" s="55" t="inlineStr">
        <is>
          <t>Name:</t>
        </is>
      </c>
      <c r="D18" s="56" t="inlineStr">
        <is>
          <t>To Be Determined — Contracting Officer</t>
        </is>
      </c>
      <c r="E18" s="47" t="n"/>
      <c r="F18" s="48" t="n"/>
      <c r="G18" s="39" t="n"/>
      <c r="H18" s="40" t="n"/>
      <c r="I18" s="40" t="n"/>
      <c r="J18" s="40" t="n"/>
      <c r="K18" s="40" t="n"/>
    </row>
    <row r="19" ht="13.7" customHeight="1" s="566">
      <c r="A19" s="890" t="n"/>
      <c r="B19" s="893" t="n"/>
      <c r="C19" s="55" t="inlineStr">
        <is>
          <t>Title:</t>
        </is>
      </c>
      <c r="D19" s="56" t="inlineStr">
        <is>
          <t>Contracting Officer</t>
        </is>
      </c>
      <c r="E19" s="47" t="n"/>
      <c r="F19" s="48" t="n"/>
      <c r="G19" s="39" t="n"/>
      <c r="H19" s="40" t="n"/>
      <c r="I19" s="40" t="n"/>
      <c r="J19" s="40" t="n"/>
      <c r="K19" s="40" t="n"/>
    </row>
    <row r="20" ht="13.7" customHeight="1" s="566">
      <c r="A20" s="890" t="n"/>
      <c r="B20" s="893" t="n"/>
      <c r="C20" s="55" t="inlineStr">
        <is>
          <t>Office Address:</t>
        </is>
      </c>
      <c r="D20" s="56" t="inlineStr">
        <is>
          <t>N/A</t>
        </is>
      </c>
      <c r="E20" s="47" t="n"/>
      <c r="F20" s="48" t="n"/>
      <c r="G20" s="39" t="n"/>
      <c r="H20" s="40" t="n"/>
      <c r="I20" s="40" t="n"/>
      <c r="J20" s="40" t="n"/>
      <c r="K20" s="40" t="n"/>
    </row>
    <row r="21" ht="13.7" customHeight="1" s="566">
      <c r="A21" s="890" t="n"/>
      <c r="B21" s="893" t="n"/>
      <c r="C21" s="55" t="inlineStr">
        <is>
          <t>Work Phone:</t>
        </is>
      </c>
      <c r="D21" s="56" t="inlineStr">
        <is>
          <t>N/A</t>
        </is>
      </c>
      <c r="E21" s="47" t="n"/>
      <c r="F21" s="48" t="n"/>
      <c r="G21" s="39" t="n"/>
      <c r="H21" s="40" t="n"/>
      <c r="I21" s="40" t="n"/>
      <c r="J21" s="40" t="n"/>
      <c r="K21" s="40" t="n"/>
    </row>
    <row r="22" ht="13.7" customHeight="1" s="566">
      <c r="A22" s="890" t="n"/>
      <c r="B22" s="894" t="n"/>
      <c r="C22" s="55" t="inlineStr">
        <is>
          <t>E-mail Address:</t>
        </is>
      </c>
      <c r="D22" s="56" t="inlineStr">
        <is>
          <t>N/A</t>
        </is>
      </c>
      <c r="E22" s="47" t="n"/>
      <c r="F22" s="48" t="n"/>
      <c r="G22" s="39" t="n"/>
      <c r="H22" s="40" t="n"/>
      <c r="I22" s="40" t="n"/>
      <c r="J22" s="40" t="n"/>
      <c r="K22" s="40" t="n"/>
    </row>
    <row r="23" ht="13.7" customHeight="1" s="566">
      <c r="A23" s="890" t="n"/>
      <c r="B23" s="706" t="inlineStr">
        <is>
          <t>System Owner:
[Assignment of security responsibility]</t>
        </is>
      </c>
      <c r="C23" s="55" t="inlineStr">
        <is>
          <t>Name:</t>
        </is>
      </c>
      <c r="D23" s="56" t="inlineStr">
        <is>
          <t>Canopy IT Admin</t>
        </is>
      </c>
      <c r="E23" s="47" t="n"/>
      <c r="F23" s="48" t="n"/>
      <c r="G23" s="39" t="n"/>
      <c r="H23" s="40" t="n"/>
      <c r="I23" s="40" t="n"/>
      <c r="J23" s="40" t="n"/>
      <c r="K23" s="40" t="n"/>
    </row>
    <row r="24" ht="13.7" customHeight="1" s="566">
      <c r="A24" s="890" t="n"/>
      <c r="B24" s="893" t="n"/>
      <c r="C24" s="55" t="inlineStr">
        <is>
          <t>Title:</t>
        </is>
      </c>
      <c r="D24" s="56" t="inlineStr">
        <is>
          <t>IT Administrator</t>
        </is>
      </c>
      <c r="E24" s="47" t="n"/>
      <c r="F24" s="48" t="n"/>
      <c r="G24" s="39" t="n"/>
      <c r="H24" s="40" t="n"/>
      <c r="I24" s="40" t="n"/>
      <c r="J24" s="40" t="n"/>
      <c r="K24" s="40" t="n"/>
    </row>
    <row r="25" ht="13.7" customHeight="1" s="566">
      <c r="A25" s="890" t="n"/>
      <c r="B25" s="893" t="n"/>
      <c r="C25" s="55" t="inlineStr">
        <is>
          <t>Office Address:</t>
        </is>
      </c>
      <c r="D25" s="56" t="inlineStr">
        <is>
          <t>On file with MSP</t>
        </is>
      </c>
      <c r="E25" s="47" t="n"/>
      <c r="F25" s="48" t="n"/>
      <c r="G25" s="39" t="n"/>
      <c r="H25" s="40" t="n"/>
      <c r="I25" s="40" t="n"/>
      <c r="J25" s="40" t="n"/>
      <c r="K25" s="40" t="n"/>
    </row>
    <row r="26" ht="13.7" customHeight="1" s="566">
      <c r="A26" s="890" t="n"/>
      <c r="B26" s="893" t="n"/>
      <c r="C26" s="55" t="inlineStr">
        <is>
          <t>Work Phone:</t>
        </is>
      </c>
      <c r="D26" s="56" t="inlineStr">
        <is>
          <t>On file with MSP</t>
        </is>
      </c>
      <c r="E26" s="47" t="n"/>
      <c r="F26" s="48" t="n"/>
      <c r="G26" s="39" t="n"/>
      <c r="H26" s="40" t="n"/>
      <c r="I26" s="40" t="n"/>
      <c r="J26" s="40" t="n"/>
      <c r="K26" s="40" t="n"/>
    </row>
    <row r="27" ht="13.7" customHeight="1" s="566">
      <c r="A27" s="890" t="n"/>
      <c r="B27" s="894" t="n"/>
      <c r="C27" s="55" t="inlineStr">
        <is>
          <t>E-mail Address:</t>
        </is>
      </c>
      <c r="D27" s="56" t="inlineStr">
        <is>
          <t>it@canopyaerospace.com</t>
        </is>
      </c>
      <c r="E27" s="47" t="n"/>
      <c r="F27" s="48" t="n"/>
      <c r="G27" s="39" t="n"/>
      <c r="H27" s="40" t="n"/>
      <c r="I27" s="40" t="n"/>
      <c r="J27" s="40" t="n"/>
      <c r="K27" s="40" t="n"/>
    </row>
    <row r="28" ht="13.7" customHeight="1" s="566">
      <c r="A28" s="890" t="n"/>
      <c r="B28" s="706" t="inlineStr">
        <is>
          <t>System Security Officer:</t>
        </is>
      </c>
      <c r="C28" s="55" t="inlineStr">
        <is>
          <t>Name:</t>
        </is>
      </c>
      <c r="D28" s="56" t="inlineStr">
        <is>
          <t>Canopy IT Admin</t>
        </is>
      </c>
      <c r="E28" s="47" t="n"/>
      <c r="F28" s="48" t="n"/>
      <c r="G28" s="39" t="n"/>
      <c r="H28" s="40" t="n"/>
      <c r="I28" s="40" t="n"/>
      <c r="J28" s="40" t="n"/>
      <c r="K28" s="40" t="n"/>
    </row>
    <row r="29" ht="13.7" customHeight="1" s="566">
      <c r="A29" s="890" t="n"/>
      <c r="B29" s="893" t="n"/>
      <c r="C29" s="55" t="inlineStr">
        <is>
          <t>Title:</t>
        </is>
      </c>
      <c r="D29" s="56" t="inlineStr">
        <is>
          <t>IT Administrator / ISSO</t>
        </is>
      </c>
      <c r="E29" s="47" t="n"/>
      <c r="F29" s="48" t="n"/>
      <c r="G29" s="39" t="n"/>
      <c r="H29" s="40" t="n"/>
      <c r="I29" s="40" t="n"/>
      <c r="J29" s="40" t="n"/>
      <c r="K29" s="40" t="n"/>
    </row>
    <row r="30" ht="13.7" customHeight="1" s="566">
      <c r="A30" s="890" t="n"/>
      <c r="B30" s="893" t="n"/>
      <c r="C30" s="55" t="inlineStr">
        <is>
          <t>Office Address:</t>
        </is>
      </c>
      <c r="D30" s="56" t="inlineStr">
        <is>
          <t>On file with MSP</t>
        </is>
      </c>
      <c r="E30" s="47" t="n"/>
      <c r="F30" s="48" t="n"/>
      <c r="G30" s="39" t="n"/>
      <c r="H30" s="40" t="n"/>
      <c r="I30" s="40" t="n"/>
      <c r="J30" s="40" t="n"/>
      <c r="K30" s="40" t="n"/>
    </row>
    <row r="31" ht="13.7" customHeight="1" s="566">
      <c r="A31" s="890" t="n"/>
      <c r="B31" s="893" t="n"/>
      <c r="C31" s="55" t="inlineStr">
        <is>
          <t>Work Phone:</t>
        </is>
      </c>
      <c r="D31" s="56" t="inlineStr">
        <is>
          <t>On file with MSP</t>
        </is>
      </c>
      <c r="E31" s="47" t="n"/>
      <c r="F31" s="48" t="n"/>
      <c r="G31" s="39" t="n"/>
      <c r="H31" s="40" t="n"/>
      <c r="I31" s="40" t="n"/>
      <c r="J31" s="40" t="n"/>
      <c r="K31" s="40" t="n"/>
    </row>
    <row r="32" ht="13.7" customHeight="1" s="566">
      <c r="A32" s="890" t="n"/>
      <c r="B32" s="894" t="n"/>
      <c r="C32" s="55" t="inlineStr">
        <is>
          <t>E-mail Address:</t>
        </is>
      </c>
      <c r="D32" s="56" t="inlineStr">
        <is>
          <t>it@canopyaerospace.com</t>
        </is>
      </c>
      <c r="E32" s="47" t="n"/>
      <c r="F32" s="48" t="n"/>
      <c r="G32" s="39" t="n"/>
      <c r="H32" s="40" t="n"/>
      <c r="I32" s="40" t="n"/>
      <c r="J32" s="40" t="n"/>
      <c r="K32" s="40" t="n"/>
    </row>
    <row r="33" ht="51" customHeight="1" s="566">
      <c r="A33" s="890" t="n"/>
      <c r="B33" s="706" t="inlineStr">
        <is>
          <t>General Description/Purpose of the system:
What is the function/purpose of the system? 
[Provide a short, high-level description of the function/purpose of the system]</t>
        </is>
      </c>
      <c r="C33" s="868" t="n"/>
      <c r="D33" s="56" t="n"/>
      <c r="E33" s="47" t="n"/>
      <c r="F33" s="48" t="n"/>
      <c r="G33" s="39" t="n"/>
      <c r="H33" s="40" t="n"/>
      <c r="I33" s="40" t="n"/>
      <c r="J33" s="40" t="n"/>
      <c r="K33" s="40" t="n"/>
    </row>
    <row r="34" ht="25.5" customHeight="1" s="566">
      <c r="A34" s="890" t="n"/>
      <c r="B34" s="720" t="inlineStr">
        <is>
          <t>TBD — pending full system inventory</t>
        </is>
      </c>
      <c r="C34" s="868" t="n"/>
      <c r="D34" s="56" t="n"/>
      <c r="E34" s="47" t="n"/>
      <c r="F34" s="48" t="n"/>
      <c r="G34" s="39" t="n"/>
      <c r="H34" s="40" t="n"/>
      <c r="I34" s="40" t="n"/>
      <c r="J34" s="40" t="n"/>
      <c r="K34" s="40" t="n"/>
    </row>
    <row r="35" ht="25.5" customHeight="1" s="566">
      <c r="A35" s="890" t="n"/>
      <c r="B35" s="720" t="inlineStr">
        <is>
          <t>System Management Functions (3.13.3b):</t>
        </is>
      </c>
      <c r="C35" s="868" t="n"/>
      <c r="D35" s="58" t="inlineStr">
        <is>
          <t>See Security Functions defined below.</t>
        </is>
      </c>
      <c r="E35" s="47" t="n"/>
      <c r="F35" s="48" t="n"/>
      <c r="G35" s="39" t="n"/>
      <c r="H35" s="40" t="n"/>
      <c r="I35" s="40" t="n"/>
      <c r="J35" s="40" t="n"/>
      <c r="K35" s="40" t="n"/>
    </row>
    <row r="36" ht="42" customHeight="1" s="566">
      <c r="A36" s="890" t="n"/>
      <c r="B36" s="706" t="inlineStr">
        <is>
          <t>Security Functions (3.1.5c):</t>
        </is>
      </c>
      <c r="C36" s="868" t="n"/>
      <c r="D36" s="58" t="inlineStr">
        <is>
          <t>Establishing System Accounts, Configuring Access Authorizations (i.e. Permissions, Privileges), Configuring Settings for Events to be Audited, Establishing Intrusion Detection Parameters, Reviewing Audit Logs [Add Additional Relevant Functions As Necessary]</t>
        </is>
      </c>
      <c r="E36" s="47" t="n"/>
      <c r="F36" s="48" t="n"/>
      <c r="G36" s="39" t="n"/>
      <c r="H36" s="40" t="n"/>
      <c r="I36" s="40" t="n"/>
      <c r="J36" s="40" t="n"/>
      <c r="K36" s="40" t="n"/>
    </row>
    <row r="37" ht="44.1" customHeight="1" s="566">
      <c r="A37" s="890" t="n"/>
      <c r="B37" s="706" t="inlineStr">
        <is>
          <t>Security Information</t>
        </is>
      </c>
      <c r="C37" s="868" t="n"/>
      <c r="D37" s="58" t="inlineStr">
        <is>
          <t>Filtering Rules for Routers/Firewalls, Configuration Parameters for Security Services/Devices, Cryptographic Key Management Information, Access Control Lists, Audit Logs [Add Additional Relevant Information As Necessary]</t>
        </is>
      </c>
      <c r="E37" s="47" t="n"/>
      <c r="F37" s="48" t="n"/>
      <c r="G37" s="39" t="n"/>
      <c r="H37" s="40" t="n"/>
      <c r="I37" s="40" t="n"/>
      <c r="J37" s="40" t="n"/>
      <c r="K37" s="40" t="n"/>
    </row>
    <row r="38" ht="21.75" customHeight="1" s="566">
      <c r="A38" s="890" t="n"/>
      <c r="B38" s="706" t="inlineStr">
        <is>
          <t>Non-Security Functions (3.1.6a, 3.13.3a):</t>
        </is>
      </c>
      <c r="C38" s="868" t="n"/>
      <c r="D38" s="58" t="inlineStr">
        <is>
          <t>All functions/activities except the Security Functions identified above.</t>
        </is>
      </c>
      <c r="E38" s="47" t="n"/>
      <c r="F38" s="48" t="n"/>
      <c r="G38" s="39" t="n"/>
      <c r="H38" s="40" t="n"/>
      <c r="I38" s="40" t="n"/>
      <c r="J38" s="40" t="n"/>
      <c r="K38" s="40" t="n"/>
    </row>
    <row r="39" ht="13.7" customHeight="1" s="566">
      <c r="A39" s="890" t="n"/>
      <c r="B39" s="720" t="inlineStr">
        <is>
          <t>Number of Privileged Users:
[Provide the approximate number of administrators, including system administrators, database administrators, application administrators, etc.]</t>
        </is>
      </c>
      <c r="C39" s="55" t="inlineStr">
        <is>
          <t>System Administrators:</t>
        </is>
      </c>
      <c r="D39" s="56" t="n"/>
      <c r="E39" s="47" t="n"/>
      <c r="F39" s="48" t="n"/>
      <c r="G39" s="39" t="n"/>
      <c r="H39" s="40" t="n"/>
      <c r="I39" s="40" t="n"/>
      <c r="J39" s="40" t="n"/>
      <c r="K39" s="40" t="n"/>
    </row>
    <row r="40" ht="13.7" customHeight="1" s="566">
      <c r="A40" s="890" t="n"/>
      <c r="B40" s="893" t="n"/>
      <c r="C40" s="55" t="inlineStr">
        <is>
          <t>Database Administrators:</t>
        </is>
      </c>
      <c r="D40" s="56" t="n"/>
      <c r="E40" s="47" t="n"/>
      <c r="F40" s="48" t="n"/>
      <c r="G40" s="39" t="n"/>
      <c r="H40" s="40" t="n"/>
      <c r="I40" s="40" t="n"/>
      <c r="J40" s="40" t="n"/>
      <c r="K40" s="40" t="n"/>
    </row>
    <row r="41" ht="13.7" customHeight="1" s="566">
      <c r="A41" s="890" t="n"/>
      <c r="B41" s="893" t="n"/>
      <c r="C41" s="55" t="inlineStr">
        <is>
          <t>Application Administrators:</t>
        </is>
      </c>
      <c r="D41" s="56" t="n"/>
      <c r="E41" s="47" t="n"/>
      <c r="F41" s="48" t="n"/>
      <c r="G41" s="39" t="n"/>
      <c r="H41" s="40" t="n"/>
      <c r="I41" s="40" t="n"/>
      <c r="J41" s="40" t="n"/>
      <c r="K41" s="40" t="n"/>
    </row>
    <row r="42" ht="13.7" customHeight="1" s="566">
      <c r="A42" s="890" t="n"/>
      <c r="B42" s="893" t="n"/>
      <c r="C42" s="55" t="inlineStr">
        <is>
          <t>Other Administrators:</t>
        </is>
      </c>
      <c r="D42" s="56" t="n"/>
      <c r="E42" s="47" t="n"/>
      <c r="F42" s="48" t="n"/>
      <c r="G42" s="39" t="n"/>
      <c r="H42" s="40" t="n"/>
      <c r="I42" s="40" t="n"/>
      <c r="J42" s="40" t="n"/>
      <c r="K42" s="40" t="n"/>
    </row>
    <row r="43" ht="13.7" customHeight="1" s="566">
      <c r="A43" s="890" t="n"/>
      <c r="B43" s="893" t="n"/>
      <c r="C43" s="55" t="inlineStr">
        <is>
          <t>Application/System Programmers:</t>
        </is>
      </c>
      <c r="D43" s="56" t="n"/>
      <c r="E43" s="47" t="n"/>
      <c r="F43" s="48" t="n"/>
      <c r="G43" s="39" t="n"/>
      <c r="H43" s="40" t="n"/>
      <c r="I43" s="40" t="n"/>
      <c r="J43" s="40" t="n"/>
      <c r="K43" s="40" t="n"/>
    </row>
    <row r="44" ht="13.7" customHeight="1" s="566">
      <c r="A44" s="890" t="n"/>
      <c r="B44" s="894" t="n"/>
      <c r="C44" s="55" t="inlineStr">
        <is>
          <t>Other Privileged Users:</t>
        </is>
      </c>
      <c r="D44" s="56" t="n"/>
      <c r="E44" s="47" t="n"/>
      <c r="F44" s="48" t="n"/>
      <c r="G44" s="39" t="n"/>
      <c r="H44" s="40" t="n"/>
      <c r="I44" s="40" t="n"/>
      <c r="J44" s="40" t="n"/>
      <c r="K44" s="40" t="n"/>
    </row>
    <row r="45" ht="51.75" customHeight="1" s="566">
      <c r="A45" s="891" t="n"/>
      <c r="B45" s="51" t="inlineStr">
        <is>
          <t xml:space="preserve">General Description of Information:
[See CUI Types worksheet or NARA CUI Registry for descriptions]
</t>
        </is>
      </c>
      <c r="C45" s="59" t="inlineStr">
        <is>
          <t xml:space="preserve">CUI Types processed, stored, or transmitted by the system:
</t>
        </is>
      </c>
      <c r="D45" s="60" t="n"/>
      <c r="E45" s="52" t="n"/>
      <c r="F45" s="53" t="n"/>
      <c r="G45" s="39" t="n"/>
      <c r="H45" s="40" t="n"/>
      <c r="I45" s="40" t="n"/>
      <c r="J45" s="40" t="n"/>
      <c r="K45" s="40" t="n"/>
    </row>
    <row r="46" ht="14.25" customHeight="1" s="566">
      <c r="A46" s="710" t="inlineStr">
        <is>
          <t>System Environment</t>
        </is>
      </c>
      <c r="B46" s="723" t="inlineStr">
        <is>
          <t>Type(s) of Remote Access Permitted (Dial-up, Broadband, Wireless, VPN, etc.) (3.1.12b):</t>
        </is>
      </c>
      <c r="C46" s="889" t="n"/>
      <c r="D46" s="54" t="n"/>
      <c r="E46" s="44" t="n"/>
      <c r="F46" s="45" t="n"/>
      <c r="G46" s="39" t="n"/>
      <c r="H46" s="40" t="n"/>
      <c r="I46" s="40" t="n"/>
      <c r="J46" s="40" t="n"/>
      <c r="K46" s="40" t="n"/>
    </row>
    <row r="47" ht="13.7" customHeight="1" s="566">
      <c r="A47" s="890" t="n"/>
      <c r="B47" s="720" t="inlineStr">
        <is>
          <t>Link to system topology graphic:</t>
        </is>
      </c>
      <c r="C47" s="868" t="n"/>
      <c r="D47" s="56" t="n"/>
      <c r="E47" s="47" t="n"/>
      <c r="F47" s="48" t="n"/>
      <c r="G47" s="39" t="n"/>
      <c r="H47" s="40" t="n"/>
      <c r="I47" s="40" t="n"/>
      <c r="J47" s="40" t="n"/>
      <c r="K47" s="40" t="n"/>
    </row>
    <row r="48" ht="68.25" customHeight="1" s="566">
      <c r="A48" s="890" t="n"/>
      <c r="B48" s="720" t="inlineStr">
        <is>
          <t>Detailed system topology narrative:</t>
        </is>
      </c>
      <c r="C48" s="868" t="n"/>
      <c r="D48" s="56" t="n"/>
      <c r="E48" s="47" t="n"/>
      <c r="F48" s="61" t="inlineStr">
        <is>
          <t>Include a detailed topology narrative and graphic that clearly depicts the system boundaries, system interconnections, and key devices. (Note: this does not require depicting every workstation or desktop, but include an instance for each operating system in use, an instance for portable components (if applicable), all virtual and physical servers (e.g., file, print, web, database, application), as well as any networked workstations (e.g., Unix, Windows, Mac, Linux), firewalls, routers, switches, copiers, printers, lab equipment, handhelds). If components of other systems that interconnect/interface with this system need to be shown on the diagram, denote the system boundaries by referencing the security plans or names and owners of the other system(s) in the diagram.</t>
        </is>
      </c>
      <c r="G48" s="39" t="n"/>
      <c r="H48" s="40" t="n"/>
      <c r="I48" s="40" t="n"/>
      <c r="J48" s="40" t="n"/>
      <c r="K48" s="40" t="n"/>
    </row>
    <row r="49" ht="68.25" customHeight="1" s="566">
      <c r="A49" s="890" t="n"/>
      <c r="B49" s="720" t="inlineStr">
        <is>
          <t>Architectural Design Concepts used to Promote Effective Information Security (3.13.2a):</t>
        </is>
      </c>
      <c r="C49" s="868" t="n"/>
      <c r="D49" s="56" t="n"/>
      <c r="E49" s="47" t="n"/>
      <c r="F49" s="28" t="n"/>
      <c r="G49" s="39" t="n"/>
      <c r="H49" s="40" t="n"/>
      <c r="I49" s="40" t="n"/>
      <c r="J49" s="40" t="n"/>
      <c r="K49" s="40" t="n"/>
    </row>
    <row r="50" ht="68.25" customHeight="1" s="566">
      <c r="A50" s="890" t="n"/>
      <c r="B50" s="720" t="inlineStr">
        <is>
          <t>Software Development Techniques used to Promote Effective Information Security (3.13.2b):</t>
        </is>
      </c>
      <c r="C50" s="868" t="n"/>
      <c r="D50" s="56" t="n"/>
      <c r="E50" s="47" t="n"/>
      <c r="F50" s="28" t="n"/>
      <c r="G50" s="39" t="n"/>
      <c r="H50" s="40" t="n"/>
      <c r="I50" s="40" t="n"/>
      <c r="J50" s="40" t="n"/>
      <c r="K50" s="40" t="n"/>
    </row>
    <row r="51" ht="68.25" customHeight="1" s="566">
      <c r="A51" s="890" t="n"/>
      <c r="B51" s="720" t="inlineStr">
        <is>
          <t>Systems Engineering Principles used that Promote Effective Information Security (3.13.2c):</t>
        </is>
      </c>
      <c r="C51" s="868" t="n"/>
      <c r="D51" s="62" t="inlineStr">
        <is>
          <t>[See NIST SP 800-160 (https://csrc.nist.gov/publications/detail/sp/800-160/vol-1/final) volume 1 for more details about systems engineering]</t>
        </is>
      </c>
      <c r="E51" s="47" t="n"/>
      <c r="F51" s="28" t="n"/>
      <c r="G51" s="39" t="n"/>
      <c r="H51" s="40" t="n"/>
      <c r="I51" s="40" t="n"/>
      <c r="J51" s="40" t="n"/>
      <c r="K51" s="40" t="n"/>
    </row>
    <row r="52" ht="29.85" customHeight="1" s="566">
      <c r="A52" s="890" t="n"/>
      <c r="B52" s="720" t="inlineStr">
        <is>
          <t>Complete and accurate listing of all hardware (or link to it):</t>
        </is>
      </c>
      <c r="C52" s="868" t="n"/>
      <c r="D52" s="58" t="inlineStr">
        <is>
          <t>(See Hardware Inventory Worksheet in this document)</t>
        </is>
      </c>
      <c r="E52" s="47" t="n"/>
      <c r="F52" s="61" t="inlineStr">
        <is>
          <t>A reference to the organizational component inventory database is acceptable.  Include the manufacturer/OEM, model, version, BIOS version, and responsible person/role.</t>
        </is>
      </c>
      <c r="G52" s="39" t="n"/>
      <c r="H52" s="40" t="n"/>
      <c r="I52" s="40" t="n"/>
      <c r="J52" s="40" t="n"/>
      <c r="K52" s="40" t="n"/>
    </row>
    <row r="53" ht="29.85" customHeight="1" s="566">
      <c r="A53" s="890" t="n"/>
      <c r="B53" s="720" t="inlineStr">
        <is>
          <t>Complete and accurate listing of all software (or link to it):</t>
        </is>
      </c>
      <c r="C53" s="868" t="n"/>
      <c r="D53" s="58" t="inlineStr">
        <is>
          <t>(See Software Inventory Worksheet in this document)</t>
        </is>
      </c>
      <c r="E53" s="47" t="n"/>
      <c r="F53" s="61" t="inlineStr">
        <is>
          <t>Include both system software and application software.  Provide the make/OEM/developer, model, version, service packs, and responsible person/role.</t>
        </is>
      </c>
      <c r="G53" s="39" t="n"/>
      <c r="H53" s="40" t="n"/>
      <c r="I53" s="40" t="n"/>
      <c r="J53" s="40" t="n"/>
      <c r="K53" s="40" t="n"/>
    </row>
    <row r="54" ht="24" customHeight="1" s="566">
      <c r="A54" s="891" t="n"/>
      <c r="B54" s="51" t="inlineStr">
        <is>
          <t>Complete and accurate listing of all cloud applications/services (or link to it):</t>
        </is>
      </c>
      <c r="C54" s="884" t="n"/>
      <c r="D54" s="63" t="inlineStr">
        <is>
          <t>(See Cloud Svc. &amp; Ext. System Invent. Worksheet in this document)</t>
        </is>
      </c>
      <c r="E54" s="52" t="n"/>
      <c r="F54" s="53" t="n"/>
      <c r="G54" s="39" t="n"/>
      <c r="H54" s="40" t="n"/>
      <c r="I54" s="40" t="n"/>
      <c r="J54" s="40" t="n"/>
      <c r="K54" s="40" t="n"/>
    </row>
    <row r="55" ht="24" customHeight="1" s="566">
      <c r="A55" s="710" t="inlineStr">
        <is>
          <t>Policies, Procedures, Plans, Standards, Etc.</t>
        </is>
      </c>
      <c r="B55" s="723" t="inlineStr">
        <is>
          <t>Listing of, and Links to, Relevant Policies, Procedures, Plans, Standards, and Related Documents (3.2.1b):</t>
        </is>
      </c>
      <c r="C55" s="889" t="n"/>
      <c r="D55" s="64" t="inlineStr">
        <is>
          <t>[See CMMCInfo.org for document templates]</t>
        </is>
      </c>
      <c r="E55" s="44" t="n"/>
      <c r="F55" s="45" t="n"/>
      <c r="G55" s="39" t="n"/>
      <c r="H55" s="40" t="n"/>
      <c r="I55" s="40" t="n"/>
      <c r="J55" s="40" t="n"/>
      <c r="K55" s="40" t="n"/>
    </row>
    <row r="56" ht="24" customHeight="1" s="566">
      <c r="A56" s="890" t="n"/>
      <c r="B56" s="720" t="inlineStr">
        <is>
          <t>Procedure to Ensure CUI is not Posted or Processed on Publicly Accessible Systems (3.1.22b):</t>
        </is>
      </c>
      <c r="C56" s="868" t="n"/>
      <c r="D56" s="62" t="inlineStr">
        <is>
          <t>[Describe Procedure or Point to Where the Procedure is Stored]</t>
        </is>
      </c>
      <c r="E56" s="47" t="n"/>
      <c r="F56" s="48" t="n"/>
      <c r="G56" s="39" t="n"/>
      <c r="H56" s="40" t="n"/>
      <c r="I56" s="40" t="n"/>
      <c r="J56" s="40" t="n"/>
      <c r="K56" s="40" t="n"/>
    </row>
    <row r="57" ht="24" customHeight="1" s="566">
      <c r="A57" s="890" t="n"/>
      <c r="B57" s="720" t="inlineStr">
        <is>
          <t>Privacy and Security Notices Required by CUI Specified Rules (if the environment contains CUI-specified information) (3.1.9a):</t>
        </is>
      </c>
      <c r="C57" s="868" t="n"/>
      <c r="D57" s="65" t="n"/>
      <c r="E57" s="47" t="n"/>
      <c r="F57" s="48" t="n"/>
      <c r="G57" s="39" t="n"/>
      <c r="H57" s="40" t="n"/>
      <c r="I57" s="40" t="n"/>
      <c r="J57" s="40" t="n"/>
      <c r="K57" s="40" t="n"/>
    </row>
    <row r="58" ht="24" customHeight="1" s="566">
      <c r="A58" s="890" t="n"/>
      <c r="B58" s="720" t="inlineStr">
        <is>
          <t>Limits on the Use of Portable Storage Devices Containing CUI on External Systems (3.1.21b):</t>
        </is>
      </c>
      <c r="C58" s="868" t="n"/>
      <c r="D58" s="62" t="inlineStr">
        <is>
          <t>[Describe Limits or Point to Policy or other Document Describing the Limits]</t>
        </is>
      </c>
      <c r="E58" s="47" t="n"/>
      <c r="F58" s="48" t="n"/>
      <c r="G58" s="39" t="n"/>
      <c r="H58" s="40" t="n"/>
      <c r="I58" s="40" t="n"/>
      <c r="J58" s="40" t="n"/>
      <c r="K58" s="40" t="n"/>
    </row>
    <row r="59" ht="24" customHeight="1" s="566">
      <c r="A59" s="890" t="n"/>
      <c r="B59" s="720" t="inlineStr">
        <is>
          <t>Security Risks Associated with the Organization's Activities Involving CUI:</t>
        </is>
      </c>
      <c r="C59" s="868" t="n"/>
      <c r="D59" s="65" t="n"/>
      <c r="E59" s="47" t="n"/>
      <c r="F59" s="48" t="n"/>
      <c r="G59" s="39" t="n"/>
      <c r="H59" s="40" t="n"/>
      <c r="I59" s="40" t="n"/>
      <c r="J59" s="40" t="n"/>
      <c r="K59" s="40" t="n"/>
    </row>
    <row r="60" ht="95.09999999999999" customHeight="1" s="566">
      <c r="A60" s="890" t="n"/>
      <c r="B60" s="706" t="inlineStr">
        <is>
          <t>Potential Indicators of Insider Threat (3.2.3a):</t>
        </is>
      </c>
      <c r="C60" s="868" t="n"/>
      <c r="D60" s="58" t="inlineStr">
        <is>
          <t>Potential indicators and possible precursors of insider threats against this system include behaviors such as: inordinate, long-term job dissatisfaction; attempts to gain access to information that is not required for job performance; unexplained access to financial resources; unexplained deviations from normal working hours; bullying or sexual harassment of fellow employees; workplace violence; and other serious violations of the policies, procedures, directives, rules, or practices of organizations. [Remove/Add Additional Potential Indicators of Insider Threat as Appropriate]</t>
        </is>
      </c>
      <c r="E60" s="47" t="n"/>
      <c r="F60" s="48" t="n"/>
      <c r="G60" s="39" t="n"/>
      <c r="H60" s="40" t="n"/>
      <c r="I60" s="40" t="n"/>
      <c r="J60" s="40" t="n"/>
      <c r="K60" s="40" t="n"/>
    </row>
    <row r="61" ht="57" customHeight="1" s="566">
      <c r="A61" s="890" t="n"/>
      <c r="B61" s="706" t="inlineStr">
        <is>
          <t>External security alerts, advisories, and directives from reputable external organizations that are relevant to the industry and technology used by our organization:</t>
        </is>
      </c>
      <c r="C61" s="868" t="n"/>
      <c r="D61" s="62" t="inlineStr">
        <is>
          <t>[e.g., subscribe to alerts/RSS feeds from https://www.cisa.gov/uscert/ncas/alerts, https://www.cyber.nj.gov]</t>
        </is>
      </c>
      <c r="E61" s="47" t="n"/>
      <c r="F61" s="48" t="n"/>
      <c r="G61" s="39" t="n"/>
      <c r="H61" s="40" t="n"/>
      <c r="I61" s="40" t="n"/>
      <c r="J61" s="40" t="n"/>
      <c r="K61" s="40" t="n"/>
    </row>
    <row r="62" ht="57" customHeight="1" s="566">
      <c r="A62" s="890" t="n"/>
      <c r="B62" s="895" t="inlineStr">
        <is>
          <t>Alerts and Advisory Response Plan (3.14.3a):</t>
        </is>
      </c>
      <c r="C62" s="868" t="n"/>
      <c r="D62" s="62" t="inlineStr">
        <is>
          <t>[Describe Plan or Point to Where the Plan is Stored]</t>
        </is>
      </c>
      <c r="E62" s="47" t="n"/>
      <c r="F62" s="48" t="n"/>
      <c r="G62" s="39" t="n"/>
      <c r="H62" s="40" t="n"/>
      <c r="I62" s="40" t="n"/>
      <c r="J62" s="40" t="n"/>
      <c r="K62" s="40" t="n"/>
    </row>
    <row r="63" ht="95.09999999999999" customHeight="1" s="566">
      <c r="A63" s="891" t="n"/>
      <c r="B63" s="718" t="inlineStr">
        <is>
          <t>Audit logs needed (i.e., event types to be logged) to enable the monitoring, analysis, investigation, and reporting of unlawful or unauthorized system activity (3.3.1a):</t>
        </is>
      </c>
      <c r="C63" s="884" t="n"/>
      <c r="D63" s="60" t="n"/>
      <c r="E63" s="52" t="n"/>
      <c r="F63" s="53" t="n"/>
      <c r="G63" s="39" t="n"/>
      <c r="H63" s="40" t="n"/>
      <c r="I63" s="40" t="n"/>
      <c r="J63" s="40" t="n"/>
      <c r="K63" s="40" t="n"/>
    </row>
    <row r="64" ht="32.45" customHeight="1" s="566">
      <c r="A64" s="710" t="inlineStr">
        <is>
          <t>Key Personnel</t>
        </is>
      </c>
      <c r="B64" s="723" t="inlineStr">
        <is>
          <t>Personnel to be Alerted in the Event of an Audit Logging Failure (3.3.4a):</t>
        </is>
      </c>
      <c r="C64" s="889" t="n"/>
      <c r="D64" s="54" t="n"/>
      <c r="E64" s="44" t="n"/>
      <c r="F64" s="45" t="n"/>
      <c r="G64" s="39" t="n"/>
      <c r="H64" s="40" t="n"/>
      <c r="I64" s="40" t="n"/>
      <c r="J64" s="40" t="n"/>
      <c r="K64" s="40" t="n"/>
    </row>
    <row r="65" ht="32.45" customHeight="1" s="566">
      <c r="A65" s="891" t="n"/>
      <c r="B65" s="51" t="inlineStr">
        <is>
          <t>Personnel to be Alerted in the Event an Incident is Detected (3.6.2d):</t>
        </is>
      </c>
      <c r="C65" s="884" t="n"/>
      <c r="D65" s="60" t="n"/>
      <c r="E65" s="52" t="n"/>
      <c r="F65" s="53" t="n"/>
      <c r="G65" s="39" t="n"/>
      <c r="H65" s="40" t="n"/>
      <c r="I65" s="40" t="n"/>
      <c r="J65" s="40" t="n"/>
      <c r="K65" s="40" t="n"/>
    </row>
    <row r="66" ht="41.25" customHeight="1" s="566">
      <c r="A66" s="66" t="inlineStr">
        <is>
          <t>Notice</t>
        </is>
      </c>
      <c r="B66" s="716" t="inlineStr">
        <is>
          <t>Authorities to be Notified if an Incident is Detected (3.6.2c):</t>
        </is>
      </c>
      <c r="C66" s="888" t="n"/>
      <c r="D66" s="68" t="n"/>
      <c r="E66" s="41" t="n"/>
      <c r="F66" s="42" t="n"/>
      <c r="G66" s="39" t="n"/>
      <c r="H66" s="40" t="n"/>
      <c r="I66" s="40" t="n"/>
      <c r="J66" s="40" t="n"/>
      <c r="K66" s="40" t="n"/>
    </row>
    <row r="67" ht="74.84999999999999" customHeight="1" s="566">
      <c r="A67" s="66" t="inlineStr">
        <is>
          <t>Compliance</t>
        </is>
      </c>
      <c r="B67" s="708" t="inlineStr">
        <is>
          <t>SSP Preamble Information (this page) Last Reviewed on and by:</t>
        </is>
      </c>
      <c r="C67" s="888" t="n"/>
      <c r="D67" s="68" t="n"/>
      <c r="E67" s="41" t="n"/>
      <c r="F67" s="42" t="n"/>
      <c r="G67" s="39" t="n"/>
      <c r="H67" s="40" t="n"/>
      <c r="I67" s="40" t="n"/>
      <c r="J67" s="40" t="n"/>
      <c r="K67" s="40" t="n"/>
    </row>
    <row r="68" ht="13.5" customHeight="1" s="566">
      <c r="A68" s="69" t="n"/>
      <c r="B68" s="69" t="n"/>
      <c r="C68" s="70" t="n"/>
      <c r="D68" s="71" t="n"/>
      <c r="E68" s="70" t="n"/>
      <c r="F68" s="70" t="n"/>
      <c r="G68" s="40" t="n"/>
      <c r="H68" s="40" t="n"/>
      <c r="I68" s="40" t="n"/>
      <c r="J68" s="40" t="n"/>
      <c r="K68" s="40" t="n"/>
    </row>
    <row r="69" ht="13.5" customHeight="1" s="566">
      <c r="A69" s="737" t="inlineStr">
        <is>
          <t>Helpful Links</t>
        </is>
      </c>
      <c r="B69" s="888" t="n"/>
      <c r="C69" s="39" t="n"/>
      <c r="D69" s="26" t="n"/>
      <c r="E69" s="40" t="n"/>
      <c r="F69" s="40" t="n"/>
      <c r="G69" s="40" t="n"/>
      <c r="H69" s="40" t="n"/>
      <c r="I69" s="40" t="n"/>
      <c r="J69" s="40" t="n"/>
      <c r="K69" s="40" t="n"/>
    </row>
    <row r="70" ht="14.25" customHeight="1" s="566">
      <c r="A70" s="72" t="inlineStr">
        <is>
          <t>SPRS Website:</t>
        </is>
      </c>
      <c r="B70" s="73" t="inlineStr">
        <is>
          <t>Supplier Performance Risk System (disa.mil)</t>
        </is>
      </c>
      <c r="C70" s="39" t="n"/>
      <c r="D70" s="26" t="n"/>
      <c r="E70" s="40" t="n"/>
      <c r="F70" s="40" t="n"/>
      <c r="G70" s="40" t="n"/>
      <c r="H70" s="40" t="n"/>
      <c r="I70" s="40" t="n"/>
      <c r="J70" s="40" t="n"/>
      <c r="K70" s="40" t="n"/>
    </row>
    <row r="71" ht="13.7" customHeight="1" s="566">
      <c r="A71" s="74" t="inlineStr">
        <is>
          <t>SPRS FAQ:</t>
        </is>
      </c>
      <c r="B71" s="75" t="inlineStr">
        <is>
          <t>SPRS - Frequently Asked Questions (disa.mil)</t>
        </is>
      </c>
      <c r="C71" s="39" t="n"/>
      <c r="D71" s="26" t="n"/>
      <c r="E71" s="40" t="n"/>
      <c r="F71" s="40" t="n"/>
      <c r="G71" s="40" t="n"/>
      <c r="H71" s="40" t="n"/>
      <c r="I71" s="40" t="n"/>
      <c r="J71" s="40" t="n"/>
      <c r="K71" s="40" t="n"/>
    </row>
    <row r="72" ht="13.7" customHeight="1" s="566">
      <c r="A72" s="74" t="inlineStr">
        <is>
          <t>SPRS 3.3 Training:</t>
        </is>
      </c>
      <c r="B72" s="75" t="inlineStr">
        <is>
          <t>NISTSP800-171QuickEntryGuide.pdf (disa.mil)</t>
        </is>
      </c>
      <c r="C72" s="39" t="n"/>
      <c r="D72" s="26" t="n"/>
      <c r="E72" s="40" t="n"/>
      <c r="F72" s="40" t="n"/>
      <c r="G72" s="40" t="n"/>
      <c r="H72" s="40" t="n"/>
      <c r="I72" s="40" t="n"/>
      <c r="J72" s="40" t="n"/>
      <c r="K72" s="40" t="n"/>
    </row>
    <row r="73" ht="13.5" customHeight="1" s="566">
      <c r="A73" s="76" t="inlineStr">
        <is>
          <t>NARA CUI Registry:</t>
        </is>
      </c>
      <c r="B73" s="77" t="inlineStr">
        <is>
          <t>CUI Categories | National Archives</t>
        </is>
      </c>
      <c r="C73" s="39" t="n"/>
      <c r="D73" s="26" t="n"/>
      <c r="E73" s="40" t="n"/>
      <c r="F73" s="40" t="n"/>
      <c r="G73" s="40" t="n"/>
      <c r="H73" s="40" t="n"/>
      <c r="I73" s="40" t="n"/>
      <c r="J73" s="40" t="n"/>
      <c r="K73" s="40" t="n"/>
    </row>
  </sheetData>
  <mergeCells count="50">
    <mergeCell ref="B47:C47"/>
    <mergeCell ref="B62:C62"/>
    <mergeCell ref="C6:D6"/>
    <mergeCell ref="B54:C54"/>
    <mergeCell ref="B59:C59"/>
    <mergeCell ref="A3:A9"/>
    <mergeCell ref="C5:D5"/>
    <mergeCell ref="B46:C46"/>
    <mergeCell ref="B28:B32"/>
    <mergeCell ref="A55:A63"/>
    <mergeCell ref="B15:B17"/>
    <mergeCell ref="B66:C66"/>
    <mergeCell ref="B56:C56"/>
    <mergeCell ref="A69:B69"/>
    <mergeCell ref="C4:D4"/>
    <mergeCell ref="B58:C58"/>
    <mergeCell ref="B52:C52"/>
    <mergeCell ref="B48:C48"/>
    <mergeCell ref="A46:A54"/>
    <mergeCell ref="B67:C67"/>
    <mergeCell ref="B39:B44"/>
    <mergeCell ref="A10:A45"/>
    <mergeCell ref="B61:C61"/>
    <mergeCell ref="B60:C60"/>
    <mergeCell ref="C9:D9"/>
    <mergeCell ref="B57:C57"/>
    <mergeCell ref="B53:C53"/>
    <mergeCell ref="A1:D1"/>
    <mergeCell ref="B38:C38"/>
    <mergeCell ref="A2:B2"/>
    <mergeCell ref="C2:D2"/>
    <mergeCell ref="B34:C34"/>
    <mergeCell ref="B37:C37"/>
    <mergeCell ref="B10:C10"/>
    <mergeCell ref="B49:C49"/>
    <mergeCell ref="B65:C65"/>
    <mergeCell ref="C8:D8"/>
    <mergeCell ref="B55:C55"/>
    <mergeCell ref="B18:B22"/>
    <mergeCell ref="B64:C64"/>
    <mergeCell ref="C7:D7"/>
    <mergeCell ref="B33:C33"/>
    <mergeCell ref="B23:B27"/>
    <mergeCell ref="B51:C51"/>
    <mergeCell ref="A64:A65"/>
    <mergeCell ref="B36:C36"/>
    <mergeCell ref="B50:C50"/>
    <mergeCell ref="B63:C63"/>
    <mergeCell ref="C3:D3"/>
    <mergeCell ref="B35:C35"/>
  </mergeCells>
  <dataValidations count="1">
    <dataValidation sqref="D11:F13" showDropDown="0" showInputMessage="1" showErrorMessage="1" allowBlank="1" type="list">
      <formula1>"Low,Moderate,High"</formula1>
    </dataValidation>
  </dataValidations>
  <hyperlinks>
    <hyperlink xmlns:r="http://schemas.openxmlformats.org/officeDocument/2006/relationships" ref="B70" r:id="rId1"/>
    <hyperlink xmlns:r="http://schemas.openxmlformats.org/officeDocument/2006/relationships" ref="B71" r:id="rId2"/>
    <hyperlink xmlns:r="http://schemas.openxmlformats.org/officeDocument/2006/relationships" ref="B72" r:id="rId3"/>
    <hyperlink xmlns:r="http://schemas.openxmlformats.org/officeDocument/2006/relationships" ref="B73" r:id="rId4"/>
  </hyperlinks>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V511"/>
  <sheetViews>
    <sheetView tabSelected="1" defaultGridColor="0" colorId="12" workbookViewId="0">
      <pane xSplit="7" topLeftCell="M1" activePane="topRight" state="frozen"/>
      <selection pane="topRight" activeCell="T4" sqref="T4"/>
    </sheetView>
  </sheetViews>
  <sheetFormatPr baseColWidth="8" defaultColWidth="9.33203125" defaultRowHeight="15" customHeight="1"/>
  <cols>
    <col hidden="1" width="23" customWidth="1" style="78" min="1" max="1"/>
    <col hidden="1" width="18" customWidth="1" style="78" min="2" max="2"/>
    <col width="19.6640625" customWidth="1" style="78" min="3" max="3"/>
    <col width="32.1640625" customWidth="1" style="78" min="4" max="4"/>
    <col hidden="1" width="15.1640625" customWidth="1" style="78" min="5" max="5"/>
    <col hidden="1" width="22.1640625" customWidth="1" style="78" min="6" max="6"/>
    <col width="25.1640625" customWidth="1" style="79" min="7" max="7"/>
    <col width="10.1640625" customWidth="1" style="79" min="8" max="8"/>
    <col width="55.1640625" customWidth="1" style="78" min="9" max="9"/>
    <col width="60" customWidth="1" style="78" min="10" max="10"/>
    <col width="50.83203125" customWidth="1" style="126" min="11" max="11"/>
    <col width="56.6640625" customWidth="1" style="126" min="12" max="12"/>
    <col width="26" customWidth="1" style="126" min="13" max="13"/>
    <col width="25" customWidth="1" style="126" min="14" max="14"/>
    <col width="17.83203125" customWidth="1" style="126" min="15" max="15"/>
    <col width="21.6640625" customWidth="1" style="78" min="16" max="16"/>
    <col width="9.33203125" customWidth="1" style="78" min="17" max="409"/>
    <col width="9.33203125" customWidth="1" style="1" min="410" max="410"/>
    <col width="9.33203125" customWidth="1" style="1" min="411" max="16384"/>
  </cols>
  <sheetData>
    <row r="1" ht="47.25" customFormat="1" customHeight="1" s="81">
      <c r="A1" s="82" t="inlineStr">
        <is>
          <t>SPRS Score</t>
        </is>
      </c>
      <c r="B1" s="83">
        <f t="array" ref="B1">110+(SUM(O89:O409)+SUM(O3:O79))</f>
        <v/>
      </c>
      <c r="C1" s="84" t="inlineStr">
        <is>
          <t>FAR and Above Score</t>
        </is>
      </c>
      <c r="D1" s="85">
        <f t="array" ref="D1">V323+V233+V164+V77+V3</f>
        <v/>
      </c>
      <c r="E1" s="896" t="inlineStr">
        <is>
          <t>FAR and AboveTM Phased Implementation Plan for NIST SP 800-171 and CMMC 2.0 Level 2 Compliance</t>
        </is>
      </c>
      <c r="F1" s="887" t="n"/>
      <c r="G1" s="887" t="n"/>
      <c r="H1" s="887" t="n"/>
      <c r="I1" s="887" t="n"/>
      <c r="J1" s="887" t="n"/>
      <c r="K1" s="887" t="n"/>
      <c r="L1" s="887" t="n"/>
      <c r="M1" s="887" t="n"/>
      <c r="N1" s="887" t="n"/>
      <c r="O1" s="897" t="n"/>
      <c r="P1" s="627" t="n"/>
    </row>
    <row r="2" ht="58.5" customFormat="1" customHeight="1" s="81">
      <c r="A2" s="86" t="inlineStr">
        <is>
          <t>FAR and Above Phase</t>
        </is>
      </c>
      <c r="B2" s="87" t="inlineStr">
        <is>
          <t>FAR and Above Sort Order</t>
        </is>
      </c>
      <c r="C2" s="88" t="inlineStr">
        <is>
          <t>SMB DIY or Outsource</t>
        </is>
      </c>
      <c r="D2" s="86" t="inlineStr">
        <is>
          <t>NIST SP 800-171 Family/ CMMC Domain</t>
        </is>
      </c>
      <c r="E2" s="89" t="inlineStr">
        <is>
          <t>NIST SP 800-171 ID</t>
        </is>
      </c>
      <c r="F2" s="87" t="inlineStr">
        <is>
          <t>NIST SP 800-171 Sort Order</t>
        </is>
      </c>
      <c r="G2" s="88" t="inlineStr">
        <is>
          <t>CMMC Control</t>
        </is>
      </c>
      <c r="H2" s="88" t="inlineStr">
        <is>
          <t>DoD Score Value</t>
        </is>
      </c>
      <c r="I2" s="86" t="inlineStr">
        <is>
          <t>Security Requirement</t>
        </is>
      </c>
      <c r="J2" s="87" t="inlineStr">
        <is>
          <t>Assessment Objective</t>
        </is>
      </c>
      <c r="K2" s="86" t="inlineStr">
        <is>
          <t>DoD Comment to Assessor</t>
        </is>
      </c>
      <c r="L2" s="87" t="inlineStr">
        <is>
          <t>Description of how your organization meets the Security Requirement or Assessment Objective and Link to Evidence</t>
        </is>
      </c>
      <c r="M2" s="86" t="inlineStr">
        <is>
          <t>Implementation Status</t>
        </is>
      </c>
      <c r="N2" s="89" t="inlineStr">
        <is>
          <t>Target Implementation Completion Date</t>
        </is>
      </c>
      <c r="O2" s="87" t="inlineStr">
        <is>
          <t>Score Impact</t>
        </is>
      </c>
      <c r="P2" s="626" t="inlineStr">
        <is>
          <t>Responsible Office/Organization</t>
        </is>
      </c>
      <c r="T2" s="90" t="inlineStr">
        <is>
          <t>FAR and Above Control Score</t>
        </is>
      </c>
      <c r="U2" s="90" t="inlineStr">
        <is>
          <t>FAR and Above Raw Score</t>
        </is>
      </c>
      <c r="V2" s="90" t="inlineStr">
        <is>
          <t>FAR and Above Phase Score</t>
        </is>
      </c>
    </row>
    <row r="3" ht="113.1" customFormat="1" customHeight="1" s="81">
      <c r="A3" s="91" t="inlineStr">
        <is>
          <t>1</t>
        </is>
      </c>
      <c r="B3" s="92" t="inlineStr">
        <is>
          <t>1.01.0</t>
        </is>
      </c>
      <c r="C3" s="93" t="inlineStr">
        <is>
          <t>Outsource</t>
        </is>
      </c>
      <c r="D3" s="94" t="inlineStr">
        <is>
          <t>System and Communications Protection</t>
        </is>
      </c>
      <c r="E3" s="95" t="inlineStr">
        <is>
          <t>3.13.1</t>
        </is>
      </c>
      <c r="F3" s="95" t="inlineStr">
        <is>
          <t>03.13.01.0</t>
        </is>
      </c>
      <c r="G3" s="564" t="inlineStr">
        <is>
          <t>SC.L1-3.13.1</t>
        </is>
      </c>
      <c r="H3" s="97" t="n">
        <v>5</v>
      </c>
      <c r="I3" s="94" t="inlineStr">
        <is>
          <t xml:space="preserve">Monitor, control, and protect communications (i.e., information transmitted or received by organizational systems) at the external boundaries and key internal boundaries of organizational systems. </t>
        </is>
      </c>
      <c r="J3" s="96" t="inlineStr">
        <is>
          <t>Determine if:</t>
        </is>
      </c>
      <c r="K3" s="501" t="n"/>
      <c r="L3" s="502" t="inlineStr">
        <is>
          <t xml:space="preserve">Overall Stats Meets Partially
Updates required to documentation
Test required for validating controls in place
Examine - Policy updates required. 
Interview  Controls are currently being implemented. - 
Test - Does not pass due to policy updates and required controls in place. </t>
        </is>
      </c>
      <c r="M3" s="99">
        <f t="array" ref="M3">IF(AND(M4="Fully Implemented",M5="Fully Implemented",M6="Fully Implemented",M7="Fully Implemented",M8="Fully Implemented",M9="Fully Implemented",M10="Fully Implemented",M11="Fully Implemented"),"Fully Implemented","")</f>
        <v/>
      </c>
      <c r="N3" s="100" t="n"/>
      <c r="O3" s="101">
        <f t="array" ref="O3">IF(AND(M4="Fully Implemented",M5="Fully Implemented",M6="Fully Implemented",M7="Fully Implemented",M8="Fully Implemented",M9="Fully Implemented",M10="Fully Implemented",M11="Fully Implemented"),0,-1*H3)</f>
        <v/>
      </c>
      <c r="P3" s="619" t="n"/>
      <c r="T3" s="102">
        <f t="array" ref="T3">IF(O3=0,H3,0)</f>
        <v/>
      </c>
      <c r="U3" s="102">
        <f t="array" ref="U3">SUM(T3:T76)</f>
        <v/>
      </c>
      <c r="V3" s="102">
        <f t="array" ref="V3">IF(U3=SUM(H3:H76),100,U3)</f>
        <v/>
      </c>
    </row>
    <row r="4" ht="256.5" customFormat="1" customHeight="1" s="81">
      <c r="A4" s="103" t="inlineStr">
        <is>
          <t>1</t>
        </is>
      </c>
      <c r="B4" s="104" t="inlineStr">
        <is>
          <t>1.01.a</t>
        </is>
      </c>
      <c r="C4" s="105" t="inlineStr">
        <is>
          <t>Outsource</t>
        </is>
      </c>
      <c r="D4" s="106" t="inlineStr">
        <is>
          <t>System and Communications Protection</t>
        </is>
      </c>
      <c r="E4" s="107" t="inlineStr">
        <is>
          <t>3.13.1[a]</t>
        </is>
      </c>
      <c r="F4" s="107" t="inlineStr">
        <is>
          <t>03.13.01.a</t>
        </is>
      </c>
      <c r="G4" s="108" t="inlineStr">
        <is>
          <t>SC.L1-3.13.1</t>
        </is>
      </c>
      <c r="H4" s="109" t="n"/>
      <c r="I4" s="110" t="n"/>
      <c r="J4" s="108" t="inlineStr">
        <is>
          <t xml:space="preserve">the external system boundary is defined. </t>
        </is>
      </c>
      <c r="K4" s="501" t="inlineStr">
        <is>
          <t xml:space="preserve">Meets Partially </t>
        </is>
      </c>
      <c r="L4" s="502" t="inlineStr">
        <is>
          <t>See the following document for details. 
20260303_2023_CMMC_SC_L2-3.13.1_Assessment_by_AO
Canopy-Azure-Ref-Arch
Hera Network Diagrams 11-20-2025.pdf
Hera All Sites IP Subnets-11-15-2025</t>
        </is>
      </c>
      <c r="M4" s="112" t="inlineStr">
        <is>
          <t>Implementation Begun</t>
        </is>
      </c>
      <c r="O4" s="113" t="n"/>
      <c r="P4" s="620" t="n"/>
    </row>
    <row r="5" ht="30" customFormat="1" customHeight="1" s="81">
      <c r="A5" s="103" t="inlineStr">
        <is>
          <t>1</t>
        </is>
      </c>
      <c r="B5" s="104" t="inlineStr">
        <is>
          <t>1.01.b</t>
        </is>
      </c>
      <c r="C5" s="105" t="inlineStr">
        <is>
          <t>Outsource</t>
        </is>
      </c>
      <c r="D5" s="106" t="inlineStr">
        <is>
          <t>System and Communications Protection</t>
        </is>
      </c>
      <c r="E5" s="107" t="inlineStr">
        <is>
          <t>3.13.1[b]</t>
        </is>
      </c>
      <c r="F5" s="107" t="inlineStr">
        <is>
          <t>03.13.01.b</t>
        </is>
      </c>
      <c r="G5" s="108" t="inlineStr">
        <is>
          <t>SC.L1-3.13.1</t>
        </is>
      </c>
      <c r="H5" s="109" t="n"/>
      <c r="I5" s="110" t="n"/>
      <c r="J5" s="108" t="inlineStr">
        <is>
          <t>key internal system boundaries are defined.</t>
        </is>
      </c>
      <c r="K5" s="501" t="inlineStr">
        <is>
          <t xml:space="preserve">Meets Partially </t>
        </is>
      </c>
      <c r="L5" s="500" t="inlineStr">
        <is>
          <t>See the following document for details. 
20260303_2023_CMMC_SC_L2-3.13.1_Assessment_by_AO</t>
        </is>
      </c>
      <c r="M5" s="123" t="inlineStr">
        <is>
          <t>Implementation Begun</t>
        </is>
      </c>
      <c r="O5" s="113" t="n"/>
      <c r="P5" s="620" t="n"/>
    </row>
    <row r="6" ht="30" customFormat="1" customHeight="1" s="81">
      <c r="A6" s="103" t="inlineStr">
        <is>
          <t>1</t>
        </is>
      </c>
      <c r="B6" s="104" t="inlineStr">
        <is>
          <t>1.01.c</t>
        </is>
      </c>
      <c r="C6" s="105" t="inlineStr">
        <is>
          <t>Outsource</t>
        </is>
      </c>
      <c r="D6" s="106" t="inlineStr">
        <is>
          <t>System and Communications Protection</t>
        </is>
      </c>
      <c r="E6" s="107" t="inlineStr">
        <is>
          <t>3.13.1[c]</t>
        </is>
      </c>
      <c r="F6" s="107" t="inlineStr">
        <is>
          <t>03.13.01.c</t>
        </is>
      </c>
      <c r="G6" s="108" t="inlineStr">
        <is>
          <t>SC.L1-3.13.1</t>
        </is>
      </c>
      <c r="H6" s="109" t="n"/>
      <c r="I6" s="110" t="n"/>
      <c r="J6" s="108" t="inlineStr">
        <is>
          <t>communications are monitored at the external system boundary.</t>
        </is>
      </c>
      <c r="K6" s="501" t="inlineStr">
        <is>
          <t xml:space="preserve">Meets Partially </t>
        </is>
      </c>
      <c r="L6" s="500" t="inlineStr">
        <is>
          <t>See the following document for details. 
20260303_2023_CMMC_SC_L2-3.13.1_Assessment_by_AO</t>
        </is>
      </c>
      <c r="M6" s="123" t="inlineStr">
        <is>
          <t>Implementation Begun</t>
        </is>
      </c>
      <c r="O6" s="113" t="n"/>
      <c r="P6" s="620" t="n"/>
    </row>
    <row r="7" ht="30" customFormat="1" customHeight="1" s="81">
      <c r="A7" s="103" t="inlineStr">
        <is>
          <t>1</t>
        </is>
      </c>
      <c r="B7" s="104" t="inlineStr">
        <is>
          <t>1.01.d</t>
        </is>
      </c>
      <c r="C7" s="105" t="inlineStr">
        <is>
          <t>Outsource</t>
        </is>
      </c>
      <c r="D7" s="106" t="inlineStr">
        <is>
          <t>System and Communications Protection</t>
        </is>
      </c>
      <c r="E7" s="107" t="inlineStr">
        <is>
          <t>3.13.1[d]</t>
        </is>
      </c>
      <c r="F7" s="107" t="inlineStr">
        <is>
          <t>03.13.01.d</t>
        </is>
      </c>
      <c r="G7" s="108" t="inlineStr">
        <is>
          <t>SC.L1-3.13.1</t>
        </is>
      </c>
      <c r="H7" s="109" t="n"/>
      <c r="I7" s="110" t="n"/>
      <c r="J7" s="108" t="inlineStr">
        <is>
          <t>communications are monitored at key internal boundaries.</t>
        </is>
      </c>
      <c r="K7" s="501" t="inlineStr">
        <is>
          <t xml:space="preserve">Meets Partially </t>
        </is>
      </c>
      <c r="L7" s="500" t="inlineStr">
        <is>
          <t>See the following document for details. 
20260303_2023_CMMC_SC_L2-3.13.1_Assessment_by_AO</t>
        </is>
      </c>
      <c r="M7" s="123" t="inlineStr">
        <is>
          <t>Implementation Begun</t>
        </is>
      </c>
      <c r="O7" s="113" t="n"/>
      <c r="P7" s="620" t="n"/>
    </row>
    <row r="8" ht="30" customFormat="1" customHeight="1" s="81">
      <c r="A8" s="103" t="inlineStr">
        <is>
          <t>1</t>
        </is>
      </c>
      <c r="B8" s="104" t="inlineStr">
        <is>
          <t>1.01.e</t>
        </is>
      </c>
      <c r="C8" s="105" t="inlineStr">
        <is>
          <t>Outsource</t>
        </is>
      </c>
      <c r="D8" s="106" t="inlineStr">
        <is>
          <t>System and Communications Protection</t>
        </is>
      </c>
      <c r="E8" s="107" t="inlineStr">
        <is>
          <t>3.13.1[e]</t>
        </is>
      </c>
      <c r="F8" s="107" t="inlineStr">
        <is>
          <t>03.13.01.e</t>
        </is>
      </c>
      <c r="G8" s="108" t="inlineStr">
        <is>
          <t>SC.L1-3.13.1</t>
        </is>
      </c>
      <c r="H8" s="109" t="n"/>
      <c r="I8" s="110" t="n"/>
      <c r="J8" s="108" t="inlineStr">
        <is>
          <t>communications are controlled at the external system boundary.</t>
        </is>
      </c>
      <c r="K8" s="501" t="inlineStr">
        <is>
          <t xml:space="preserve">Meets Partially </t>
        </is>
      </c>
      <c r="L8" s="500" t="inlineStr">
        <is>
          <t>See the following document for details. 
20260303_2023_CMMC_SC_L2-3.13.1_Assessment_by_AO</t>
        </is>
      </c>
      <c r="M8" s="123" t="inlineStr">
        <is>
          <t>Implementation Begun</t>
        </is>
      </c>
      <c r="O8" s="113" t="n"/>
      <c r="P8" s="620" t="n"/>
    </row>
    <row r="9" ht="30" customFormat="1" customHeight="1" s="81">
      <c r="A9" s="103" t="inlineStr">
        <is>
          <t>1</t>
        </is>
      </c>
      <c r="B9" s="104" t="inlineStr">
        <is>
          <t>1.01.f</t>
        </is>
      </c>
      <c r="C9" s="105" t="inlineStr">
        <is>
          <t>Outsource</t>
        </is>
      </c>
      <c r="D9" s="106" t="inlineStr">
        <is>
          <t>System and Communications Protection</t>
        </is>
      </c>
      <c r="E9" s="107" t="inlineStr">
        <is>
          <t>3.13.1[f]</t>
        </is>
      </c>
      <c r="F9" s="107" t="inlineStr">
        <is>
          <t>03.13.01.f</t>
        </is>
      </c>
      <c r="G9" s="108" t="inlineStr">
        <is>
          <t>SC.L1-3.13.1</t>
        </is>
      </c>
      <c r="H9" s="109" t="n"/>
      <c r="I9" s="110" t="n"/>
      <c r="J9" s="108" t="inlineStr">
        <is>
          <t>communications are controlled at key internal boundaries.</t>
        </is>
      </c>
      <c r="K9" s="501" t="inlineStr">
        <is>
          <t xml:space="preserve">Meets Partially </t>
        </is>
      </c>
      <c r="L9" s="500" t="inlineStr">
        <is>
          <t>See the following document for details. 
20260303_2023_CMMC_SC_L2-3.13.1_Assessment_by_AO</t>
        </is>
      </c>
      <c r="M9" s="123" t="inlineStr">
        <is>
          <t>Implementation Begun</t>
        </is>
      </c>
      <c r="O9" s="113" t="n"/>
      <c r="P9" s="620" t="n"/>
    </row>
    <row r="10" ht="30" customFormat="1" customHeight="1" s="81">
      <c r="A10" s="103" t="inlineStr">
        <is>
          <t>1</t>
        </is>
      </c>
      <c r="B10" s="104" t="inlineStr">
        <is>
          <t>1.01.g</t>
        </is>
      </c>
      <c r="C10" s="105" t="inlineStr">
        <is>
          <t>Outsource</t>
        </is>
      </c>
      <c r="D10" s="106" t="inlineStr">
        <is>
          <t>System and Communications Protection</t>
        </is>
      </c>
      <c r="E10" s="107" t="inlineStr">
        <is>
          <t>3.13.1[g]</t>
        </is>
      </c>
      <c r="F10" s="107" t="inlineStr">
        <is>
          <t>03.13.01.g</t>
        </is>
      </c>
      <c r="G10" s="108" t="inlineStr">
        <is>
          <t>SC.L1-3.13.1</t>
        </is>
      </c>
      <c r="H10" s="109" t="n"/>
      <c r="I10" s="110" t="n"/>
      <c r="J10" s="108" t="inlineStr">
        <is>
          <t>communications are protected at the external system boundary.</t>
        </is>
      </c>
      <c r="K10" s="501" t="inlineStr">
        <is>
          <t xml:space="preserve">Meets Partially </t>
        </is>
      </c>
      <c r="L10" s="500" t="inlineStr">
        <is>
          <t>See the following document for details. 
20260303_2023_CMMC_SC_L2-3.13.1_Assessment_by_AO</t>
        </is>
      </c>
      <c r="M10" s="123" t="inlineStr">
        <is>
          <t>Implementation Begun</t>
        </is>
      </c>
      <c r="O10" s="113" t="n"/>
      <c r="P10" s="620" t="n"/>
    </row>
    <row r="11" ht="30.75" customFormat="1" customHeight="1" s="81">
      <c r="A11" s="114" t="inlineStr">
        <is>
          <t>1</t>
        </is>
      </c>
      <c r="B11" s="115" t="inlineStr">
        <is>
          <t>1.01.h</t>
        </is>
      </c>
      <c r="C11" s="116" t="inlineStr">
        <is>
          <t>Outsource</t>
        </is>
      </c>
      <c r="D11" s="117" t="inlineStr">
        <is>
          <t>System and Communications Protection</t>
        </is>
      </c>
      <c r="E11" s="118" t="inlineStr">
        <is>
          <t>3.13.1[h]</t>
        </is>
      </c>
      <c r="F11" s="118" t="inlineStr">
        <is>
          <t>03.13.01.h</t>
        </is>
      </c>
      <c r="G11" s="119" t="inlineStr">
        <is>
          <t>SC.L1-3.13.1</t>
        </is>
      </c>
      <c r="H11" s="120" t="n"/>
      <c r="I11" s="121" t="n"/>
      <c r="J11" s="119" t="inlineStr">
        <is>
          <t>communications are protected at key internal boundaries.</t>
        </is>
      </c>
      <c r="K11" s="501" t="inlineStr">
        <is>
          <t xml:space="preserve">Meets Partially </t>
        </is>
      </c>
      <c r="L11" s="500" t="inlineStr">
        <is>
          <t>See the following document for details. 
20260303_2023_CMMC_SC_L2-3.13.1_Assessment_by_AO</t>
        </is>
      </c>
      <c r="M11" s="123" t="inlineStr">
        <is>
          <t>Implementation Begun</t>
        </is>
      </c>
      <c r="N11" s="124" t="n"/>
      <c r="O11" s="125" t="n"/>
      <c r="P11" s="620" t="n"/>
    </row>
    <row r="12" ht="106.5" customFormat="1" customHeight="1" s="81">
      <c r="A12" s="91" t="inlineStr">
        <is>
          <t>1</t>
        </is>
      </c>
      <c r="B12" s="92" t="inlineStr">
        <is>
          <t>1.02.0</t>
        </is>
      </c>
      <c r="C12" s="93" t="inlineStr">
        <is>
          <t>Hybrid</t>
        </is>
      </c>
      <c r="D12" s="94" t="inlineStr">
        <is>
          <t>System and Communications Protection</t>
        </is>
      </c>
      <c r="E12" s="95" t="inlineStr">
        <is>
          <t>3.13.5</t>
        </is>
      </c>
      <c r="F12" s="95" t="inlineStr">
        <is>
          <t>03.13.05.0</t>
        </is>
      </c>
      <c r="G12" s="96" t="inlineStr">
        <is>
          <t>SC.L1-3.13.5</t>
        </is>
      </c>
      <c r="H12" s="97" t="n">
        <v>5</v>
      </c>
      <c r="I12" s="94" t="inlineStr">
        <is>
          <t xml:space="preserve">Implement subnetworks for publicly accessible system components that are physically or logically separated from internal networks. </t>
        </is>
      </c>
      <c r="J12" s="96" t="inlineStr">
        <is>
          <t>Determine if:</t>
        </is>
      </c>
      <c r="K12" s="98" t="inlineStr">
        <is>
          <t>[No Comment Provided]</t>
        </is>
      </c>
      <c r="L12" s="502" t="inlineStr">
        <is>
          <t xml:space="preserve">Overall Status Meets Partially
Updates required to documentation
Test required for validating controls in place
Examine - Policy updates required. 
Interview  Controls are currently being implemented. - 
Test - Does not pass due to policy updates and required controls in place. </t>
        </is>
      </c>
      <c r="M12" s="99" t="inlineStr">
        <is>
          <t>Implementation Begun</t>
        </is>
      </c>
      <c r="N12" s="100" t="n"/>
      <c r="O12" s="101">
        <f t="array" ref="O12">IF(AND(M13="Fully Implemented",M14="Fully Implemented"),0,-1*H12)</f>
        <v/>
      </c>
      <c r="P12" s="619" t="n"/>
      <c r="R12" s="126" t="n"/>
      <c r="T12" s="102">
        <f t="array" ref="T12">IF(O12=0,H12,0)</f>
        <v/>
      </c>
    </row>
    <row r="13" ht="91.5" customFormat="1" customHeight="1" s="81">
      <c r="A13" s="103" t="inlineStr">
        <is>
          <t>1</t>
        </is>
      </c>
      <c r="B13" s="104" t="inlineStr">
        <is>
          <t>1.02.a</t>
        </is>
      </c>
      <c r="C13" s="105" t="inlineStr">
        <is>
          <t>DIY</t>
        </is>
      </c>
      <c r="D13" s="106" t="inlineStr">
        <is>
          <t>System and Communications Protection</t>
        </is>
      </c>
      <c r="E13" s="107" t="inlineStr">
        <is>
          <t>3.13.5[a]</t>
        </is>
      </c>
      <c r="F13" s="107" t="inlineStr">
        <is>
          <t>03.13.05.a</t>
        </is>
      </c>
      <c r="G13" s="108" t="inlineStr">
        <is>
          <t>SC.L1-3.13.5</t>
        </is>
      </c>
      <c r="H13" s="109" t="n"/>
      <c r="I13" s="110" t="n"/>
      <c r="J13" s="108" t="inlineStr">
        <is>
          <t>publicly accessible system components are identified.</t>
        </is>
      </c>
      <c r="K13" s="501" t="inlineStr">
        <is>
          <t xml:space="preserve">Meets Partially </t>
        </is>
      </c>
      <c r="L13" s="500" t="inlineStr">
        <is>
          <t xml:space="preserve">Request: 
Inventory of all exernally facing systems. 
See the following document for details. 
20260303_2023_CMMC_SC_L2-3.13.1_Assessment_by_AO
</t>
        </is>
      </c>
      <c r="M13" s="123" t="inlineStr">
        <is>
          <t>Implementation Begun</t>
        </is>
      </c>
      <c r="O13" s="113" t="n"/>
      <c r="P13" s="620" t="n"/>
    </row>
    <row r="14" ht="114.75" customFormat="1" customHeight="1" s="81">
      <c r="A14" s="114" t="inlineStr">
        <is>
          <t>1</t>
        </is>
      </c>
      <c r="B14" s="115" t="inlineStr">
        <is>
          <t>1.02.b</t>
        </is>
      </c>
      <c r="C14" s="116" t="inlineStr">
        <is>
          <t>Outsource</t>
        </is>
      </c>
      <c r="D14" s="117" t="inlineStr">
        <is>
          <t>System and Communications Protection</t>
        </is>
      </c>
      <c r="E14" s="118" t="inlineStr">
        <is>
          <t>3.13.5[b]</t>
        </is>
      </c>
      <c r="F14" s="118" t="inlineStr">
        <is>
          <t>03.13.05.b</t>
        </is>
      </c>
      <c r="G14" s="119" t="inlineStr">
        <is>
          <t>SC.L1-3.13.5</t>
        </is>
      </c>
      <c r="H14" s="120" t="n"/>
      <c r="I14" s="121" t="n"/>
      <c r="J14" s="119" t="inlineStr">
        <is>
          <t xml:space="preserve">subnetworks for publicly accessible system components are physically or logically separated from internal networks. </t>
        </is>
      </c>
      <c r="K14" s="501" t="inlineStr">
        <is>
          <t xml:space="preserve">Meets Partially </t>
        </is>
      </c>
      <c r="L14" s="515" t="inlineStr">
        <is>
          <t>See the following document for details. 
20260303_2023_CMMC_SC_L2-3.13.1_Assessment_by_AO
Intune GCC - MDM
VPN Information
Cloud authentication
Cloudflare Project Documentation
Firewall Information
OKTA project information
VLAN information / Could update</t>
        </is>
      </c>
      <c r="M14" s="123" t="inlineStr">
        <is>
          <t>Implementation Begun</t>
        </is>
      </c>
      <c r="N14" s="124" t="n"/>
      <c r="O14" s="125" t="n"/>
      <c r="P14" s="620" t="n"/>
    </row>
    <row r="15" ht="305.25" customFormat="1" customHeight="1" s="81">
      <c r="A15" s="91" t="inlineStr">
        <is>
          <t>1</t>
        </is>
      </c>
      <c r="B15" s="92" t="inlineStr">
        <is>
          <t>1.03.0</t>
        </is>
      </c>
      <c r="C15" s="93" t="inlineStr">
        <is>
          <t>DIY</t>
        </is>
      </c>
      <c r="D15" s="94" t="inlineStr">
        <is>
          <t>Physical Protection</t>
        </is>
      </c>
      <c r="E15" s="95" t="inlineStr">
        <is>
          <t>3.10.1</t>
        </is>
      </c>
      <c r="F15" s="95" t="inlineStr">
        <is>
          <t>03.10.01.0</t>
        </is>
      </c>
      <c r="G15" s="96" t="inlineStr">
        <is>
          <t>PE.L1-3.10.1</t>
        </is>
      </c>
      <c r="H15" s="97" t="n">
        <v>5</v>
      </c>
      <c r="I15" s="94" t="inlineStr">
        <is>
          <t xml:space="preserve">Limit physical access to organizational systems, equipment, and the respective operating environments to authorized individuals. </t>
        </is>
      </c>
      <c r="J15" s="96" t="inlineStr">
        <is>
          <t>Determine if:</t>
        </is>
      </c>
      <c r="K15" s="98" t="inlineStr">
        <is>
          <t>[No Comment Provided]</t>
        </is>
      </c>
      <c r="L15" s="502" t="inlineStr">
        <is>
          <t>Overall Status Meets Partially
Updates required to documentation
Test required for validating controls in place
Examine - Policy updates required. 
Interview  
Controls are currently being implemented. - 
Test - Pending evaluation of controls,  policy/procedure  updates and evidence of required controls in place. 
Canopy A&amp;D - 3.10 - Physical and Environmental Protection Policy
Physical Security Measures
-Surveillance: Surveillance cameras shall be installed at all entry points and sensitive areas to monitor access activities.
-Physical Barriers: Physical barriers such as locked doors, turnstiles, and security gates shall be used to prevent unauthorized access.
Safeguarding Measures at alternate work sites
-Ensure all CUI is stored in locked containers, cabinets, or desks when not in use.</t>
        </is>
      </c>
      <c r="M15" s="123" t="inlineStr">
        <is>
          <t>Implementation Begun</t>
        </is>
      </c>
      <c r="N15" s="100" t="n"/>
      <c r="O15" s="101">
        <f t="array" ref="O15">IF(AND(M16="Fully Implemented",M17="Fully Implemented",M18="Fully Implemented",M19="Fully Implemented"),0,-1*H15)</f>
        <v/>
      </c>
      <c r="P15" s="619" t="n"/>
      <c r="S15" s="126" t="n"/>
      <c r="T15" s="102">
        <f t="array" ref="T15">IF(O15=0,H15,0)</f>
        <v/>
      </c>
    </row>
    <row r="16" ht="25.5" customFormat="1" customHeight="1" s="81">
      <c r="A16" s="103" t="inlineStr">
        <is>
          <t>1</t>
        </is>
      </c>
      <c r="B16" s="104" t="inlineStr">
        <is>
          <t>1.03.a</t>
        </is>
      </c>
      <c r="C16" s="105" t="inlineStr">
        <is>
          <t>DIY</t>
        </is>
      </c>
      <c r="D16" s="106" t="inlineStr">
        <is>
          <t>Physical Protection</t>
        </is>
      </c>
      <c r="E16" s="107" t="inlineStr">
        <is>
          <t>3.10.1[a]</t>
        </is>
      </c>
      <c r="F16" s="107" t="inlineStr">
        <is>
          <t>03.10.01.a</t>
        </is>
      </c>
      <c r="G16" s="108" t="inlineStr">
        <is>
          <t>PE.L1-3.10.1</t>
        </is>
      </c>
      <c r="H16" s="109" t="n"/>
      <c r="I16" s="110" t="n"/>
      <c r="J16" s="108" t="inlineStr">
        <is>
          <t xml:space="preserve">authorized individuals allowed physical access are identified. </t>
        </is>
      </c>
      <c r="K16" s="501" t="inlineStr">
        <is>
          <t xml:space="preserve">Meets Partially </t>
        </is>
      </c>
      <c r="L16" s="563" t="inlineStr">
        <is>
          <t>See the following document for details. 
20260316_2252_CMMC_PE.L1-3.10.1_Assessment_by_AO</t>
        </is>
      </c>
      <c r="M16" s="112" t="inlineStr">
        <is>
          <t>Implementation Begun</t>
        </is>
      </c>
      <c r="O16" s="113" t="n"/>
      <c r="P16" s="620" t="n"/>
    </row>
    <row r="17" ht="25.5" customFormat="1" customHeight="1" s="81">
      <c r="A17" s="103" t="inlineStr">
        <is>
          <t>1</t>
        </is>
      </c>
      <c r="B17" s="104" t="inlineStr">
        <is>
          <t>1.03.b</t>
        </is>
      </c>
      <c r="C17" s="105" t="inlineStr">
        <is>
          <t>DIY</t>
        </is>
      </c>
      <c r="D17" s="106" t="inlineStr">
        <is>
          <t>Physical Protection</t>
        </is>
      </c>
      <c r="E17" s="107" t="inlineStr">
        <is>
          <t>3.10.1[b]</t>
        </is>
      </c>
      <c r="F17" s="107" t="inlineStr">
        <is>
          <t>03.10.01.b</t>
        </is>
      </c>
      <c r="G17" s="108" t="inlineStr">
        <is>
          <t>PE.L1-3.10.1</t>
        </is>
      </c>
      <c r="H17" s="109" t="n"/>
      <c r="I17" s="110" t="n"/>
      <c r="J17" s="108" t="inlineStr">
        <is>
          <t>physical access to organizational systems is limited to authorized individuals.</t>
        </is>
      </c>
      <c r="K17" s="501" t="inlineStr">
        <is>
          <t xml:space="preserve">Meets Partially </t>
        </is>
      </c>
      <c r="L17" s="563" t="inlineStr">
        <is>
          <t>See the following document for details. 
20260316_2252_CMMC_PE.L1-3.10.1_Assessment_by_AO</t>
        </is>
      </c>
      <c r="M17" s="112" t="inlineStr">
        <is>
          <t>Implementation Begun</t>
        </is>
      </c>
      <c r="O17" s="113" t="n"/>
      <c r="P17" s="620" t="n"/>
    </row>
    <row r="18" ht="47.25" customFormat="1" customHeight="1" s="81">
      <c r="A18" s="103" t="inlineStr">
        <is>
          <t>1</t>
        </is>
      </c>
      <c r="B18" s="104" t="inlineStr">
        <is>
          <t>1.03.c</t>
        </is>
      </c>
      <c r="C18" s="105" t="inlineStr">
        <is>
          <t>DIY</t>
        </is>
      </c>
      <c r="D18" s="106" t="inlineStr">
        <is>
          <t>Physical Protection</t>
        </is>
      </c>
      <c r="E18" s="107" t="inlineStr">
        <is>
          <t>3.10.1[c]</t>
        </is>
      </c>
      <c r="F18" s="107" t="inlineStr">
        <is>
          <t>03.10.01.c</t>
        </is>
      </c>
      <c r="G18" s="108" t="inlineStr">
        <is>
          <t>PE.L1-3.10.1</t>
        </is>
      </c>
      <c r="H18" s="109" t="n"/>
      <c r="I18" s="110" t="n"/>
      <c r="J18" s="108" t="inlineStr">
        <is>
          <t>physical access to equipment is limited to authorized individuals.</t>
        </is>
      </c>
      <c r="K18" s="501" t="inlineStr">
        <is>
          <t xml:space="preserve">Meets Partially </t>
        </is>
      </c>
      <c r="L18" s="563" t="inlineStr">
        <is>
          <t>See the following document for details. 
20260316_2252_CMMC_PE.L1-3.10.1_Assessment_by_AO</t>
        </is>
      </c>
      <c r="M18" s="112" t="inlineStr">
        <is>
          <t>Implementation Begun</t>
        </is>
      </c>
      <c r="O18" s="113" t="n"/>
      <c r="P18" s="620" t="n"/>
    </row>
    <row r="19" ht="40.5" customFormat="1" customHeight="1" s="81">
      <c r="A19" s="114" t="inlineStr">
        <is>
          <t>1</t>
        </is>
      </c>
      <c r="B19" s="115" t="inlineStr">
        <is>
          <t>1.03.d</t>
        </is>
      </c>
      <c r="C19" s="116" t="inlineStr">
        <is>
          <t>DIY</t>
        </is>
      </c>
      <c r="D19" s="117" t="inlineStr">
        <is>
          <t>Physical Protection</t>
        </is>
      </c>
      <c r="E19" s="118" t="inlineStr">
        <is>
          <t>3.10.1[d]</t>
        </is>
      </c>
      <c r="F19" s="118" t="inlineStr">
        <is>
          <t>03.10.01.d</t>
        </is>
      </c>
      <c r="G19" s="119" t="inlineStr">
        <is>
          <t>PE.L1-3.10.1</t>
        </is>
      </c>
      <c r="H19" s="120" t="n"/>
      <c r="I19" s="121" t="n"/>
      <c r="J19" s="119" t="inlineStr">
        <is>
          <t>physical access to operating environments is limited to authorized individuals.</t>
        </is>
      </c>
      <c r="K19" s="501" t="inlineStr">
        <is>
          <t xml:space="preserve">Meets Partially </t>
        </is>
      </c>
      <c r="L19" s="563" t="inlineStr">
        <is>
          <t>See the following document for details. 
20260316_2252_CMMC_PE.L1-3.10.1_Assessment_by_AO</t>
        </is>
      </c>
      <c r="M19" s="123" t="inlineStr">
        <is>
          <t>Implementation Begun</t>
        </is>
      </c>
      <c r="N19" s="124" t="n"/>
      <c r="O19" s="125" t="n"/>
      <c r="P19" s="620" t="n"/>
    </row>
    <row r="20" ht="137.25" customFormat="1" customHeight="1" s="81">
      <c r="A20" s="91" t="inlineStr">
        <is>
          <t>1</t>
        </is>
      </c>
      <c r="B20" s="92" t="inlineStr">
        <is>
          <t>1.04.0</t>
        </is>
      </c>
      <c r="C20" s="93" t="inlineStr">
        <is>
          <t>DIY</t>
        </is>
      </c>
      <c r="D20" s="94" t="inlineStr">
        <is>
          <t>Physical Protection</t>
        </is>
      </c>
      <c r="E20" s="95" t="inlineStr">
        <is>
          <t>3.10.3</t>
        </is>
      </c>
      <c r="F20" s="95" t="inlineStr">
        <is>
          <t>03.10.03.0</t>
        </is>
      </c>
      <c r="G20" s="564" t="inlineStr">
        <is>
          <t>PE.L1-3.10.3</t>
        </is>
      </c>
      <c r="H20" s="97" t="n">
        <v>1</v>
      </c>
      <c r="I20" s="94" t="inlineStr">
        <is>
          <t xml:space="preserve">Escort visitors and monitor visitor activity. </t>
        </is>
      </c>
      <c r="J20" s="96" t="inlineStr">
        <is>
          <t>Determine if:</t>
        </is>
      </c>
      <c r="K20" s="98" t="inlineStr">
        <is>
          <t>[No Comment Provided]</t>
        </is>
      </c>
      <c r="L20" s="502" t="inlineStr">
        <is>
          <t>Overall Status Meets - Pending policy/procedure review meeting and observation of controls in place. 
Updates required to documentation
Test required for validating controls in place
Examine - Policy updates required. 
Interview  Controls are currently being implemented. - 
Test - Review testing measures in place. 
Canopy A&amp;D - 3.10 - Physical and Environmental Protection Policy, Page 1-4</t>
        </is>
      </c>
      <c r="M20" s="123" t="inlineStr">
        <is>
          <t>Implementation Begun</t>
        </is>
      </c>
      <c r="N20" s="100" t="n"/>
      <c r="O20" s="101">
        <f t="array" ref="O20">IF(AND(M21="Fully Implemented",M22="Fully Implemented"),0,-1*H20)</f>
        <v/>
      </c>
      <c r="P20" s="619" t="n"/>
      <c r="T20" s="102">
        <f t="array" ref="T20">IF(O20=0,H20,0)</f>
        <v/>
      </c>
    </row>
    <row r="21" ht="45.75" customFormat="1" customHeight="1" s="81">
      <c r="A21" s="103" t="inlineStr">
        <is>
          <t>1</t>
        </is>
      </c>
      <c r="B21" s="104" t="inlineStr">
        <is>
          <t>1.04.a</t>
        </is>
      </c>
      <c r="C21" s="105" t="inlineStr">
        <is>
          <t>DIY</t>
        </is>
      </c>
      <c r="D21" s="106" t="inlineStr">
        <is>
          <t>Physical Protection</t>
        </is>
      </c>
      <c r="E21" s="107" t="inlineStr">
        <is>
          <t>3.10.3[a]</t>
        </is>
      </c>
      <c r="F21" s="107" t="inlineStr">
        <is>
          <t>03.10.03.a</t>
        </is>
      </c>
      <c r="G21" s="108" t="inlineStr">
        <is>
          <t>PE.L1-3.10.3</t>
        </is>
      </c>
      <c r="H21" s="109" t="n"/>
      <c r="I21" s="110" t="n"/>
      <c r="J21" s="108" t="inlineStr">
        <is>
          <t xml:space="preserve">visitors are escorted. </t>
        </is>
      </c>
      <c r="K21" s="501" t="inlineStr">
        <is>
          <t xml:space="preserve">Meets Partially </t>
        </is>
      </c>
      <c r="L21" s="500" t="inlineStr">
        <is>
          <t>See the following document for details. 
20260322_2023_CMMC_PE.L1-3.10.3_Assessment_by_AO</t>
        </is>
      </c>
      <c r="M21" s="123" t="inlineStr">
        <is>
          <t>Implementation Begun</t>
        </is>
      </c>
      <c r="O21" s="113" t="n"/>
      <c r="P21" s="620" t="n"/>
    </row>
    <row r="22" ht="45.75" customFormat="1" customHeight="1" s="81">
      <c r="A22" s="114" t="inlineStr">
        <is>
          <t>1</t>
        </is>
      </c>
      <c r="B22" s="115" t="inlineStr">
        <is>
          <t>1.04.b</t>
        </is>
      </c>
      <c r="C22" s="116" t="inlineStr">
        <is>
          <t>DIY</t>
        </is>
      </c>
      <c r="D22" s="117" t="inlineStr">
        <is>
          <t>Physical Protection</t>
        </is>
      </c>
      <c r="E22" s="118" t="inlineStr">
        <is>
          <t>3.10.3[b]</t>
        </is>
      </c>
      <c r="F22" s="118" t="inlineStr">
        <is>
          <t>03.10.03.b</t>
        </is>
      </c>
      <c r="G22" s="119" t="inlineStr">
        <is>
          <t>PE.L1-3.10.3</t>
        </is>
      </c>
      <c r="H22" s="120" t="n"/>
      <c r="I22" s="121" t="n"/>
      <c r="J22" s="119" t="inlineStr">
        <is>
          <t>visitor activity is monitored.</t>
        </is>
      </c>
      <c r="K22" s="501" t="inlineStr">
        <is>
          <t xml:space="preserve">Meets Partially </t>
        </is>
      </c>
      <c r="L22" s="500" t="inlineStr">
        <is>
          <t>See the following document for details. 
20260322_2023_CMMC_PE.L1-3.10.3_Assessment_by_AO</t>
        </is>
      </c>
      <c r="M22" s="123" t="inlineStr">
        <is>
          <t>Implementation Begun</t>
        </is>
      </c>
      <c r="N22" s="124" t="n"/>
      <c r="O22" s="125" t="n"/>
      <c r="P22" s="620" t="n"/>
    </row>
    <row r="23" ht="137.25" customFormat="1" customHeight="1" s="81">
      <c r="A23" s="128" t="inlineStr">
        <is>
          <t>1</t>
        </is>
      </c>
      <c r="B23" s="129" t="inlineStr">
        <is>
          <t>1.05.0</t>
        </is>
      </c>
      <c r="C23" s="130" t="inlineStr">
        <is>
          <t>DIY</t>
        </is>
      </c>
      <c r="D23" s="131" t="inlineStr">
        <is>
          <t>Physical Protection</t>
        </is>
      </c>
      <c r="E23" s="132" t="inlineStr">
        <is>
          <t>3.10.4</t>
        </is>
      </c>
      <c r="F23" s="132" t="inlineStr">
        <is>
          <t>03.10.04.0</t>
        </is>
      </c>
      <c r="G23" s="133" t="inlineStr">
        <is>
          <t>PE.L1-3.10.4</t>
        </is>
      </c>
      <c r="H23" s="134" t="n">
        <v>1</v>
      </c>
      <c r="I23" s="131" t="inlineStr">
        <is>
          <t xml:space="preserve">Maintain audit logs of physical access. </t>
        </is>
      </c>
      <c r="J23" s="133" t="inlineStr">
        <is>
          <t>Determine if audit logs of physical access are maintained.</t>
        </is>
      </c>
      <c r="K23" s="135" t="inlineStr">
        <is>
          <t>[No Comment Provided]</t>
        </is>
      </c>
      <c r="L23" s="502" t="inlineStr">
        <is>
          <t>Overall Status Meets - Pending policy/procedure review meeting and observation of controls in place. 
Updates required to documentation
Test required for validating controls in place
Examine - Policy updates required. 
Interview  Controls are currently being implemented. - 
Test - Review testing measures in place. 
Canopy A&amp;D - 3.10 - Physical and Environmental Protection Policy, Page 1-4</t>
        </is>
      </c>
      <c r="M23" s="123" t="inlineStr">
        <is>
          <t>Implementation Begun</t>
        </is>
      </c>
      <c r="N23" s="136" t="n"/>
      <c r="O23" s="137">
        <f t="array" ref="O23">IF(M23&lt;&gt;"Fully Implemented",-1*H23,0)</f>
        <v/>
      </c>
      <c r="P23" s="619" t="n"/>
      <c r="T23" s="102">
        <f t="array" ref="T23">IF(O23=0,H23,0)</f>
        <v/>
      </c>
    </row>
    <row r="24" ht="51" customFormat="1" customHeight="1" s="81">
      <c r="A24" s="91" t="inlineStr">
        <is>
          <t>1</t>
        </is>
      </c>
      <c r="B24" s="92" t="inlineStr">
        <is>
          <t>1.06.0</t>
        </is>
      </c>
      <c r="C24" s="93" t="inlineStr">
        <is>
          <t>DIY</t>
        </is>
      </c>
      <c r="D24" s="94" t="inlineStr">
        <is>
          <t>Physical Protection</t>
        </is>
      </c>
      <c r="E24" s="95" t="inlineStr">
        <is>
          <t>3.10.5</t>
        </is>
      </c>
      <c r="F24" s="95" t="inlineStr">
        <is>
          <t>03.10.05.0</t>
        </is>
      </c>
      <c r="G24" s="96" t="inlineStr">
        <is>
          <t>PE.L1-3.10.5</t>
        </is>
      </c>
      <c r="H24" s="97" t="n">
        <v>1</v>
      </c>
      <c r="I24" s="94" t="inlineStr">
        <is>
          <t xml:space="preserve">Control and manage physical access devices. </t>
        </is>
      </c>
      <c r="J24" s="96" t="inlineStr">
        <is>
          <t>Determine if:</t>
        </is>
      </c>
      <c r="K24" s="98" t="inlineStr">
        <is>
          <t>[No Comment Provided]</t>
        </is>
      </c>
      <c r="L24" s="502" t="inlineStr">
        <is>
          <t>Overall Status Meets - Pending policy/procedure review meeting and observation of controls in place. 
Updates required to documentation
Test required for validating controls in place
Examine - Policy updates required. 
Interview  Controls are currently being implemented. - 
Test - Review testing measures in place. 
Canopy A&amp;D - 3.10 - Physical and Environmental Protection Policy, Page 1-4</t>
        </is>
      </c>
      <c r="M24" s="123" t="inlineStr">
        <is>
          <t>Implementation Begun</t>
        </is>
      </c>
      <c r="N24" s="100" t="n"/>
      <c r="O24" s="101">
        <f t="array" ref="O24">IF(AND(OR(M25="Fully Implemented",M25="Not Permitted"),OR(M26="Fully Implemented",M26="Not Permitted"),OR(M27="Fully Implemented",M27="Not Permitted")),0,-1*H24)</f>
        <v/>
      </c>
      <c r="P24" s="619" t="n"/>
      <c r="T24" s="102">
        <f t="array" ref="T24">IF(O24=0,H24,0)</f>
        <v/>
      </c>
    </row>
    <row r="25" ht="13.5" customFormat="1" customHeight="1" s="81">
      <c r="A25" s="103" t="inlineStr">
        <is>
          <t>1</t>
        </is>
      </c>
      <c r="B25" s="104" t="inlineStr">
        <is>
          <t>1.06.a</t>
        </is>
      </c>
      <c r="C25" s="105" t="inlineStr">
        <is>
          <t>DIY</t>
        </is>
      </c>
      <c r="D25" s="106" t="inlineStr">
        <is>
          <t>Physical Protection</t>
        </is>
      </c>
      <c r="E25" s="107" t="inlineStr">
        <is>
          <t>3.10.5[a]</t>
        </is>
      </c>
      <c r="F25" s="107" t="inlineStr">
        <is>
          <t>03.10.05.a</t>
        </is>
      </c>
      <c r="G25" s="108" t="inlineStr">
        <is>
          <t>PE.L1-3.10.5</t>
        </is>
      </c>
      <c r="H25" s="109" t="n"/>
      <c r="I25" s="110" t="n"/>
      <c r="J25" s="108" t="inlineStr">
        <is>
          <t xml:space="preserve">physical access devices are identified.  </t>
        </is>
      </c>
      <c r="K25" s="111" t="n"/>
      <c r="M25" s="112" t="inlineStr">
        <is>
          <t>Implementation Begun</t>
        </is>
      </c>
      <c r="O25" s="113" t="n"/>
      <c r="P25" s="620" t="n"/>
    </row>
    <row r="26" ht="13.5" customFormat="1" customHeight="1" s="81">
      <c r="A26" s="103" t="inlineStr">
        <is>
          <t>1</t>
        </is>
      </c>
      <c r="B26" s="104" t="inlineStr">
        <is>
          <t>1.06.b</t>
        </is>
      </c>
      <c r="C26" s="105" t="inlineStr">
        <is>
          <t>DIY</t>
        </is>
      </c>
      <c r="D26" s="106" t="inlineStr">
        <is>
          <t>Physical Protection</t>
        </is>
      </c>
      <c r="E26" s="107" t="inlineStr">
        <is>
          <t>3.10.5[b]</t>
        </is>
      </c>
      <c r="F26" s="107" t="inlineStr">
        <is>
          <t>03.10.05.b</t>
        </is>
      </c>
      <c r="G26" s="108" t="inlineStr">
        <is>
          <t>PE.L1-3.10.5</t>
        </is>
      </c>
      <c r="H26" s="109" t="n"/>
      <c r="I26" s="110" t="n"/>
      <c r="J26" s="108" t="inlineStr">
        <is>
          <t xml:space="preserve">physical access devices are controlled.  </t>
        </is>
      </c>
      <c r="K26" s="111" t="n"/>
      <c r="M26" s="112" t="inlineStr">
        <is>
          <t>Implementation Begun</t>
        </is>
      </c>
      <c r="O26" s="113" t="n"/>
      <c r="P26" s="620" t="n"/>
    </row>
    <row r="27" ht="15.75" customFormat="1" customHeight="1" s="81">
      <c r="A27" s="539" t="inlineStr">
        <is>
          <t>1</t>
        </is>
      </c>
      <c r="B27" s="540" t="inlineStr">
        <is>
          <t>1.06.c</t>
        </is>
      </c>
      <c r="C27" s="541" t="inlineStr">
        <is>
          <t>DIY</t>
        </is>
      </c>
      <c r="D27" s="542" t="inlineStr">
        <is>
          <t>Physical Protection</t>
        </is>
      </c>
      <c r="E27" s="543" t="inlineStr">
        <is>
          <t>3.10.5[c]</t>
        </is>
      </c>
      <c r="F27" s="543" t="inlineStr">
        <is>
          <t>03.10.05.c</t>
        </is>
      </c>
      <c r="G27" s="544" t="inlineStr">
        <is>
          <t>PE.L1-3.10.5</t>
        </is>
      </c>
      <c r="H27" s="545" t="n"/>
      <c r="I27" s="546" t="n"/>
      <c r="J27" s="544" t="inlineStr">
        <is>
          <t>physical access devices are managed.</t>
        </is>
      </c>
      <c r="K27" s="547" t="n"/>
      <c r="L27" s="548" t="n"/>
      <c r="M27" s="549" t="inlineStr">
        <is>
          <t>Implementation Begun</t>
        </is>
      </c>
      <c r="N27" s="550" t="n"/>
      <c r="O27" s="551" t="n"/>
      <c r="P27" s="620" t="n"/>
    </row>
    <row r="28" ht="152.25" customFormat="1" customHeight="1" s="81">
      <c r="A28" s="516" t="inlineStr">
        <is>
          <t>1</t>
        </is>
      </c>
      <c r="B28" s="517" t="inlineStr">
        <is>
          <t>1.07.0</t>
        </is>
      </c>
      <c r="C28" s="518" t="inlineStr">
        <is>
          <t>DIY</t>
        </is>
      </c>
      <c r="D28" s="519" t="inlineStr">
        <is>
          <t>Media Protection</t>
        </is>
      </c>
      <c r="E28" s="520" t="inlineStr">
        <is>
          <t>3.8.3</t>
        </is>
      </c>
      <c r="F28" s="520" t="inlineStr">
        <is>
          <t>03.08.03.0</t>
        </is>
      </c>
      <c r="G28" s="562" t="inlineStr">
        <is>
          <t>MP.L1-3.8.3</t>
        </is>
      </c>
      <c r="H28" s="522" t="n">
        <v>5</v>
      </c>
      <c r="I28" s="519" t="inlineStr">
        <is>
          <t>Sanitize or destroy system media containing CUI before disposal or release for reuse.</t>
        </is>
      </c>
      <c r="J28" s="521" t="inlineStr">
        <is>
          <t>Determine if:</t>
        </is>
      </c>
      <c r="K28" s="98" t="inlineStr">
        <is>
          <t>[No Comment Provided]</t>
        </is>
      </c>
      <c r="L28" s="502" t="inlineStr">
        <is>
          <t>Overall Status Meets - Pending policy/procedure review meeting and observation of controls in place. 
Updates required to documentation
Test required for validating controls in place
Examine - Policy updates required. 
Interview  Controls are currently being implemented. - 
Test - Review testing measures in place. 
DOC-012 Canopy A&amp;D - 3.8 - System Media Protection Policy.docx
DOC-023 Certificate of Destruction-Sanitization.pdf</t>
        </is>
      </c>
      <c r="M28" s="523">
        <f t="array" ref="M28">IF(AND(M29="Fully Implemented",M30="Fully Implemented"),"Fully Implemented","")</f>
        <v/>
      </c>
      <c r="N28" s="524" t="n"/>
      <c r="O28" s="525">
        <f t="array" ref="O28">IF(AND(M29="Fully Implemented",M30="Fully Implemented"),0,-1*H28)</f>
        <v/>
      </c>
      <c r="P28" s="619" t="n"/>
      <c r="Q28" s="538" t="n"/>
      <c r="T28" s="102">
        <f t="array" ref="T28">IF(O28=0,H28,0)</f>
        <v/>
      </c>
    </row>
    <row r="29" ht="45.75" customFormat="1" customHeight="1" s="81">
      <c r="A29" s="526" t="inlineStr">
        <is>
          <t>1</t>
        </is>
      </c>
      <c r="B29" s="104" t="inlineStr">
        <is>
          <t>1.07.a</t>
        </is>
      </c>
      <c r="C29" s="105" t="inlineStr">
        <is>
          <t>DIY</t>
        </is>
      </c>
      <c r="D29" s="106" t="inlineStr">
        <is>
          <t>Media Protection</t>
        </is>
      </c>
      <c r="E29" s="107" t="inlineStr">
        <is>
          <t>3.8.3[a]</t>
        </is>
      </c>
      <c r="F29" s="107" t="inlineStr">
        <is>
          <t>03.08.03.a</t>
        </is>
      </c>
      <c r="G29" s="108" t="inlineStr">
        <is>
          <t>MP.L1-3.8.3</t>
        </is>
      </c>
      <c r="H29" s="109" t="n"/>
      <c r="I29" s="110" t="n"/>
      <c r="J29" s="108" t="inlineStr">
        <is>
          <t>system media containing CUI is sanitized or destroyed before disposal.</t>
        </is>
      </c>
      <c r="K29" s="501" t="inlineStr">
        <is>
          <t>Meets pending meeting</t>
        </is>
      </c>
      <c r="L29" s="500" t="inlineStr">
        <is>
          <t>See the following document for details. 
20260322_2233_CMMC_MP.L1-3.8.3_Assessment_by_AO</t>
        </is>
      </c>
      <c r="M29" s="123" t="inlineStr">
        <is>
          <t>Implementation Begun</t>
        </is>
      </c>
      <c r="O29" s="527" t="n"/>
      <c r="P29" s="620" t="n"/>
      <c r="Q29" s="538" t="n"/>
    </row>
    <row r="30" ht="45.75" customFormat="1" customHeight="1" s="81">
      <c r="A30" s="528" t="inlineStr">
        <is>
          <t>1</t>
        </is>
      </c>
      <c r="B30" s="529" t="inlineStr">
        <is>
          <t>1.07.b</t>
        </is>
      </c>
      <c r="C30" s="530" t="inlineStr">
        <is>
          <t>DIY</t>
        </is>
      </c>
      <c r="D30" s="531" t="inlineStr">
        <is>
          <t>Media Protection</t>
        </is>
      </c>
      <c r="E30" s="532" t="inlineStr">
        <is>
          <t>3.8.3[b]</t>
        </is>
      </c>
      <c r="F30" s="532" t="inlineStr">
        <is>
          <t>03.08.03.b</t>
        </is>
      </c>
      <c r="G30" s="533" t="inlineStr">
        <is>
          <t>MP.L1-3.8.3</t>
        </is>
      </c>
      <c r="H30" s="534" t="n"/>
      <c r="I30" s="535" t="n"/>
      <c r="J30" s="533" t="inlineStr">
        <is>
          <t>system media containing CUI is sanitized before it is released for reuse.</t>
        </is>
      </c>
      <c r="K30" s="501" t="inlineStr">
        <is>
          <t>Meets pending meeting</t>
        </is>
      </c>
      <c r="L30" s="500" t="inlineStr">
        <is>
          <t>See the following document for details. 
20260322_2233_CMMC_MP.L1-3.8.3_Assessment_by_AO</t>
        </is>
      </c>
      <c r="M30" s="123" t="inlineStr">
        <is>
          <t>Implementation Begun</t>
        </is>
      </c>
      <c r="N30" s="536" t="n"/>
      <c r="O30" s="537" t="n"/>
      <c r="P30" s="620" t="n"/>
      <c r="Q30" s="538" t="n"/>
    </row>
    <row r="31" ht="156.95" customFormat="1" customHeight="1" s="81" thickBot="1">
      <c r="A31" s="552" t="inlineStr">
        <is>
          <t>1</t>
        </is>
      </c>
      <c r="B31" s="553" t="inlineStr">
        <is>
          <t>1.08.0</t>
        </is>
      </c>
      <c r="C31" s="554" t="inlineStr">
        <is>
          <t>DIY</t>
        </is>
      </c>
      <c r="D31" s="555" t="inlineStr">
        <is>
          <t>System and Information Integrity</t>
        </is>
      </c>
      <c r="E31" s="556" t="inlineStr">
        <is>
          <t>3.14.1</t>
        </is>
      </c>
      <c r="F31" s="556" t="inlineStr">
        <is>
          <t>03.14.01.0</t>
        </is>
      </c>
      <c r="G31" s="557" t="inlineStr">
        <is>
          <t>SI.L1-3.14.1</t>
        </is>
      </c>
      <c r="H31" s="558" t="n">
        <v>5</v>
      </c>
      <c r="I31" s="555" t="inlineStr">
        <is>
          <t>Identify, report, and correct system flaws in a timely manner.</t>
        </is>
      </c>
      <c r="J31" s="557" t="inlineStr">
        <is>
          <t>Determine if:</t>
        </is>
      </c>
      <c r="K31" s="559" t="inlineStr">
        <is>
          <t>[No Comment Provided]</t>
        </is>
      </c>
      <c r="L31" s="565" t="inlineStr">
        <is>
          <t xml:space="preserve">Overall Status - Pending policy/procedure review meeting and observation of controls in place. 
Updates required to documentation
Test required for validating controls in place
Examine - Policy updates may be required based on interviews/walkthroughs. 
Interview  Controls are currently being implemented. - 
Test - Review testing measures in place. </t>
        </is>
      </c>
      <c r="M31" s="99" t="inlineStr">
        <is>
          <t>Implementation Begun</t>
        </is>
      </c>
      <c r="N31" s="560" t="n"/>
      <c r="O31" s="561">
        <f t="array" ref="O31">IF(AND(M32="Fully Implemented",M33="Fully Implemented",M34="Fully Implemented",M35="Fully Implemented",M36="Fully Implemented",M37="Fully Implemented"),0,-1*H31)</f>
        <v/>
      </c>
      <c r="P31" s="619" t="n"/>
      <c r="T31" s="102">
        <f t="array" ref="T31">IF(O31=0,H31,0)</f>
        <v/>
      </c>
    </row>
    <row r="32" ht="30" customFormat="1" customHeight="1" s="81">
      <c r="A32" s="103" t="inlineStr">
        <is>
          <t>1</t>
        </is>
      </c>
      <c r="B32" s="104" t="inlineStr">
        <is>
          <t>1.08.a</t>
        </is>
      </c>
      <c r="C32" s="105" t="inlineStr">
        <is>
          <t>DIY</t>
        </is>
      </c>
      <c r="D32" s="106" t="inlineStr">
        <is>
          <t>System and Information Integrity</t>
        </is>
      </c>
      <c r="E32" s="107" t="inlineStr">
        <is>
          <t>3.14.1[a]</t>
        </is>
      </c>
      <c r="F32" s="107" t="inlineStr">
        <is>
          <t>03.14.01.a</t>
        </is>
      </c>
      <c r="G32" s="108" t="inlineStr">
        <is>
          <t>SI.L1-3.14.1</t>
        </is>
      </c>
      <c r="H32" s="109" t="n"/>
      <c r="I32" s="110" t="n"/>
      <c r="J32" s="108" t="inlineStr">
        <is>
          <t>the time within which to identify system flaws is specified.</t>
        </is>
      </c>
      <c r="K32" s="111" t="n"/>
      <c r="M32" s="112" t="inlineStr">
        <is>
          <t>Implementation Begun</t>
        </is>
      </c>
      <c r="O32" s="113" t="n"/>
      <c r="P32" s="620" t="n"/>
    </row>
    <row r="33" ht="30" customFormat="1" customHeight="1" s="81">
      <c r="A33" s="103" t="inlineStr">
        <is>
          <t>1</t>
        </is>
      </c>
      <c r="B33" s="104" t="inlineStr">
        <is>
          <t>1.08.b</t>
        </is>
      </c>
      <c r="C33" s="105" t="inlineStr">
        <is>
          <t>DIY</t>
        </is>
      </c>
      <c r="D33" s="106" t="inlineStr">
        <is>
          <t>System and Information Integrity</t>
        </is>
      </c>
      <c r="E33" s="107" t="inlineStr">
        <is>
          <t>3.14.1[b]</t>
        </is>
      </c>
      <c r="F33" s="107" t="inlineStr">
        <is>
          <t>03.14.01.b</t>
        </is>
      </c>
      <c r="G33" s="108" t="inlineStr">
        <is>
          <t>SI.L1-3.14.1</t>
        </is>
      </c>
      <c r="H33" s="109" t="n"/>
      <c r="I33" s="110" t="n"/>
      <c r="J33" s="108" t="inlineStr">
        <is>
          <t>system flaws are identified within the specified time frame.</t>
        </is>
      </c>
      <c r="K33" s="111" t="n"/>
      <c r="M33" s="112" t="inlineStr">
        <is>
          <t>Implementation Begun</t>
        </is>
      </c>
      <c r="O33" s="113" t="n"/>
      <c r="P33" s="620" t="n"/>
    </row>
    <row r="34" ht="30" customFormat="1" customHeight="1" s="81">
      <c r="A34" s="103" t="inlineStr">
        <is>
          <t>1</t>
        </is>
      </c>
      <c r="B34" s="104" t="inlineStr">
        <is>
          <t>1.08.c</t>
        </is>
      </c>
      <c r="C34" s="105" t="inlineStr">
        <is>
          <t>DIY</t>
        </is>
      </c>
      <c r="D34" s="106" t="inlineStr">
        <is>
          <t>System and Information Integrity</t>
        </is>
      </c>
      <c r="E34" s="107" t="inlineStr">
        <is>
          <t>3.14.1[c]</t>
        </is>
      </c>
      <c r="F34" s="107" t="inlineStr">
        <is>
          <t>03.14.01.c</t>
        </is>
      </c>
      <c r="G34" s="108" t="inlineStr">
        <is>
          <t>SI.L1-3.14.1</t>
        </is>
      </c>
      <c r="H34" s="109" t="n"/>
      <c r="I34" s="110" t="n"/>
      <c r="J34" s="108" t="inlineStr">
        <is>
          <t>the time within which to report system flaws is specified.</t>
        </is>
      </c>
      <c r="K34" s="111" t="n"/>
      <c r="M34" s="112" t="inlineStr">
        <is>
          <t>Implementation Begun</t>
        </is>
      </c>
      <c r="O34" s="113" t="n"/>
      <c r="P34" s="620" t="n"/>
    </row>
    <row r="35" ht="30" customFormat="1" customHeight="1" s="81">
      <c r="A35" s="103" t="inlineStr">
        <is>
          <t>1</t>
        </is>
      </c>
      <c r="B35" s="104" t="inlineStr">
        <is>
          <t>1.08.d</t>
        </is>
      </c>
      <c r="C35" s="105" t="inlineStr">
        <is>
          <t>DIY</t>
        </is>
      </c>
      <c r="D35" s="106" t="inlineStr">
        <is>
          <t>System and Information Integrity</t>
        </is>
      </c>
      <c r="E35" s="107" t="inlineStr">
        <is>
          <t>3.14.1[d]</t>
        </is>
      </c>
      <c r="F35" s="107" t="inlineStr">
        <is>
          <t>03.14.01.d</t>
        </is>
      </c>
      <c r="G35" s="108" t="inlineStr">
        <is>
          <t>SI.L1-3.14.1</t>
        </is>
      </c>
      <c r="H35" s="109" t="n"/>
      <c r="I35" s="110" t="n"/>
      <c r="J35" s="108" t="inlineStr">
        <is>
          <t>system flaws are reported within the specified time frame.</t>
        </is>
      </c>
      <c r="K35" s="111" t="n"/>
      <c r="M35" s="112" t="inlineStr">
        <is>
          <t>Implementation Begun</t>
        </is>
      </c>
      <c r="O35" s="113" t="n"/>
      <c r="P35" s="620" t="n"/>
    </row>
    <row r="36" ht="30" customFormat="1" customHeight="1" s="81">
      <c r="A36" s="103" t="inlineStr">
        <is>
          <t>1</t>
        </is>
      </c>
      <c r="B36" s="104" t="inlineStr">
        <is>
          <t>1.08.e</t>
        </is>
      </c>
      <c r="C36" s="105" t="inlineStr">
        <is>
          <t>DIY</t>
        </is>
      </c>
      <c r="D36" s="106" t="inlineStr">
        <is>
          <t>System and Information Integrity</t>
        </is>
      </c>
      <c r="E36" s="107" t="inlineStr">
        <is>
          <t>3.14.1[e]</t>
        </is>
      </c>
      <c r="F36" s="107" t="inlineStr">
        <is>
          <t>03.14.01.e</t>
        </is>
      </c>
      <c r="G36" s="108" t="inlineStr">
        <is>
          <t>SI.L1-3.14.1</t>
        </is>
      </c>
      <c r="H36" s="109" t="n"/>
      <c r="I36" s="110" t="n"/>
      <c r="J36" s="108" t="inlineStr">
        <is>
          <t>the time within which to correct system flaws is specified.</t>
        </is>
      </c>
      <c r="K36" s="111" t="n"/>
      <c r="M36" s="112" t="inlineStr">
        <is>
          <t>Implementation Begun</t>
        </is>
      </c>
      <c r="O36" s="113" t="n"/>
      <c r="P36" s="620" t="n"/>
    </row>
    <row r="37" ht="30.75" customFormat="1" customHeight="1" s="81">
      <c r="A37" s="114" t="inlineStr">
        <is>
          <t>1</t>
        </is>
      </c>
      <c r="B37" s="115" t="inlineStr">
        <is>
          <t>1.08.f</t>
        </is>
      </c>
      <c r="C37" s="116" t="inlineStr">
        <is>
          <t>DIY</t>
        </is>
      </c>
      <c r="D37" s="117" t="inlineStr">
        <is>
          <t>System and Information Integrity</t>
        </is>
      </c>
      <c r="E37" s="118" t="inlineStr">
        <is>
          <t>3.14.1[f]</t>
        </is>
      </c>
      <c r="F37" s="118" t="inlineStr">
        <is>
          <t>03.14.01.f</t>
        </is>
      </c>
      <c r="G37" s="119" t="inlineStr">
        <is>
          <t>SI.L1-3.14.1</t>
        </is>
      </c>
      <c r="H37" s="120" t="n"/>
      <c r="I37" s="121" t="n"/>
      <c r="J37" s="119" t="inlineStr">
        <is>
          <t>system flaws are corrected within the specified time frame.</t>
        </is>
      </c>
      <c r="K37" s="122" t="n"/>
      <c r="M37" s="112" t="inlineStr">
        <is>
          <t>Implementation Begun</t>
        </is>
      </c>
      <c r="N37" s="124" t="n"/>
      <c r="O37" s="125" t="n"/>
      <c r="P37" s="620" t="n"/>
    </row>
    <row r="38" ht="45" customFormat="1" customHeight="1" s="81">
      <c r="A38" s="91" t="inlineStr">
        <is>
          <t>1</t>
        </is>
      </c>
      <c r="B38" s="92" t="inlineStr">
        <is>
          <t>1.09.0</t>
        </is>
      </c>
      <c r="C38" s="93" t="inlineStr">
        <is>
          <t>DIY</t>
        </is>
      </c>
      <c r="D38" s="94" t="inlineStr">
        <is>
          <t>System and Information Integrity</t>
        </is>
      </c>
      <c r="E38" s="95" t="inlineStr">
        <is>
          <t>3.14.2</t>
        </is>
      </c>
      <c r="F38" s="95" t="inlineStr">
        <is>
          <t>03.14.02.0</t>
        </is>
      </c>
      <c r="G38" s="96" t="inlineStr">
        <is>
          <t>SI.L1-3.14.2</t>
        </is>
      </c>
      <c r="H38" s="97" t="n">
        <v>5</v>
      </c>
      <c r="I38" s="94" t="inlineStr">
        <is>
          <t xml:space="preserve">Provide protection from malicious code at designated locations within organizational systems. </t>
        </is>
      </c>
      <c r="J38" s="96" t="inlineStr">
        <is>
          <t>Determine if:</t>
        </is>
      </c>
      <c r="K38" s="98" t="inlineStr">
        <is>
          <t>[No Comment Provided]</t>
        </is>
      </c>
      <c r="L38" s="565" t="inlineStr">
        <is>
          <t xml:space="preserve">Overall Status - Pending policy/procedure review meeting and observation of controls in place. 
Updates required to documentation
Test required for validating controls in place
Examine - Policy updates may be required based on interviews/walkthroughs. 
Interview  Controls are currently being implemented. - 
Test - Review testing measures in place. </t>
        </is>
      </c>
      <c r="M38" s="99" t="inlineStr">
        <is>
          <t>Implementation Begun</t>
        </is>
      </c>
      <c r="N38" s="140" t="n"/>
      <c r="O38" s="101">
        <f t="array" ref="O38">IF(AND(M39="Fully Implemented",M40="Fully Implemented"),0,-1*H38)</f>
        <v/>
      </c>
      <c r="P38" s="619" t="n"/>
      <c r="T38" s="102">
        <f t="array" ref="T38">IF(O38=0,H38,0)</f>
        <v/>
      </c>
    </row>
    <row r="39" ht="30" customFormat="1" customHeight="1" s="81">
      <c r="A39" s="103" t="inlineStr">
        <is>
          <t>1</t>
        </is>
      </c>
      <c r="B39" s="104" t="inlineStr">
        <is>
          <t>1.09.a</t>
        </is>
      </c>
      <c r="C39" s="105" t="inlineStr">
        <is>
          <t>DIY</t>
        </is>
      </c>
      <c r="D39" s="106" t="inlineStr">
        <is>
          <t>System and Information Integrity</t>
        </is>
      </c>
      <c r="E39" s="107" t="inlineStr">
        <is>
          <t>3.14.2[a]</t>
        </is>
      </c>
      <c r="F39" s="107" t="inlineStr">
        <is>
          <t>03.14.02.a</t>
        </is>
      </c>
      <c r="G39" s="108" t="inlineStr">
        <is>
          <t>SI.L1-3.14.2</t>
        </is>
      </c>
      <c r="H39" s="109" t="n"/>
      <c r="I39" s="110" t="n"/>
      <c r="J39" s="108" t="inlineStr">
        <is>
          <t>designated locations for malicious code protection are identified.</t>
        </is>
      </c>
      <c r="K39" s="111" t="n"/>
      <c r="M39" s="112" t="inlineStr">
        <is>
          <t>Implementation Begun</t>
        </is>
      </c>
      <c r="O39" s="113" t="n"/>
      <c r="P39" s="620" t="n"/>
    </row>
    <row r="40" ht="30.75" customFormat="1" customHeight="1" s="81">
      <c r="A40" s="114" t="inlineStr">
        <is>
          <t>1</t>
        </is>
      </c>
      <c r="B40" s="115" t="inlineStr">
        <is>
          <t>1.09.b</t>
        </is>
      </c>
      <c r="C40" s="116" t="inlineStr">
        <is>
          <t>DIY</t>
        </is>
      </c>
      <c r="D40" s="117" t="inlineStr">
        <is>
          <t>System and Information Integrity</t>
        </is>
      </c>
      <c r="E40" s="118" t="inlineStr">
        <is>
          <t>3.14.2[b]</t>
        </is>
      </c>
      <c r="F40" s="118" t="inlineStr">
        <is>
          <t>03.14.02.b</t>
        </is>
      </c>
      <c r="G40" s="119" t="inlineStr">
        <is>
          <t>SI.L1-3.14.2</t>
        </is>
      </c>
      <c r="H40" s="120" t="n"/>
      <c r="I40" s="121" t="n"/>
      <c r="J40" s="119" t="inlineStr">
        <is>
          <t>protection from malicious code at designated locations is provided.</t>
        </is>
      </c>
      <c r="K40" s="122" t="n"/>
      <c r="M40" s="112" t="inlineStr">
        <is>
          <t>Implementation Begun</t>
        </is>
      </c>
      <c r="N40" s="124" t="n"/>
      <c r="O40" s="125" t="n"/>
      <c r="P40" s="620" t="n"/>
    </row>
    <row r="41" ht="30.75" customFormat="1" customHeight="1" s="81">
      <c r="A41" s="128" t="inlineStr">
        <is>
          <t>1</t>
        </is>
      </c>
      <c r="B41" s="129" t="inlineStr">
        <is>
          <t>1.10.0</t>
        </is>
      </c>
      <c r="C41" s="130" t="inlineStr">
        <is>
          <t>DIY</t>
        </is>
      </c>
      <c r="D41" s="131" t="inlineStr">
        <is>
          <t>System and Information Integrity</t>
        </is>
      </c>
      <c r="E41" s="132" t="inlineStr">
        <is>
          <t>3.14.4</t>
        </is>
      </c>
      <c r="F41" s="132" t="inlineStr">
        <is>
          <t>03.14.04.0</t>
        </is>
      </c>
      <c r="G41" s="133" t="inlineStr">
        <is>
          <t>SI.L1-3.14.4</t>
        </is>
      </c>
      <c r="H41" s="134" t="n">
        <v>5</v>
      </c>
      <c r="I41" s="131" t="inlineStr">
        <is>
          <t xml:space="preserve">Update malicious code protection mechanisms when new releases are available. </t>
        </is>
      </c>
      <c r="J41" s="133" t="inlineStr">
        <is>
          <t>Determine if malicious code protection mechanisms are updated when new releases are available.</t>
        </is>
      </c>
      <c r="K41" s="135" t="inlineStr">
        <is>
          <t>[No Comment Provided]</t>
        </is>
      </c>
      <c r="L41" s="565" t="inlineStr">
        <is>
          <t xml:space="preserve">Overall Status - Pending policy/procedure review meeting and observation of controls in place. 
Updates required to documentation
Test required for validating controls in place
Examine - Policy updates may be required based on interviews/walkthroughs. 
Interview  Controls are currently being implemented. - 
Test - Review testing measures in place. </t>
        </is>
      </c>
      <c r="M41" s="112" t="inlineStr">
        <is>
          <t>Implementation Begun</t>
        </is>
      </c>
      <c r="N41" s="142" t="n"/>
      <c r="O41" s="137">
        <f t="array" ref="O41">IF(M41&lt;&gt;"Fully Implemented",-1*H41,0)</f>
        <v/>
      </c>
      <c r="P41" s="619" t="n"/>
      <c r="T41" s="102">
        <f t="array" ref="T41">IF(O41=0,H41,0)</f>
        <v/>
      </c>
    </row>
    <row r="42" ht="45" customFormat="1" customHeight="1" s="81">
      <c r="A42" s="91" t="inlineStr">
        <is>
          <t>1</t>
        </is>
      </c>
      <c r="B42" s="92" t="inlineStr">
        <is>
          <t>1.11.0</t>
        </is>
      </c>
      <c r="C42" s="93" t="inlineStr">
        <is>
          <t>DIY</t>
        </is>
      </c>
      <c r="D42" s="94" t="inlineStr">
        <is>
          <t>System and Information Integrity</t>
        </is>
      </c>
      <c r="E42" s="95" t="inlineStr">
        <is>
          <t>3.14.5</t>
        </is>
      </c>
      <c r="F42" s="95" t="inlineStr">
        <is>
          <t>03.14.05.0</t>
        </is>
      </c>
      <c r="G42" s="96" t="inlineStr">
        <is>
          <t>SI.L1-3.14.5</t>
        </is>
      </c>
      <c r="H42" s="97" t="n">
        <v>3</v>
      </c>
      <c r="I42" s="94" t="inlineStr">
        <is>
          <t xml:space="preserve">Perform periodic scans of organizational systems and real-time scans of files from external sources as files are downloaded, opened, or executed. </t>
        </is>
      </c>
      <c r="J42" s="96" t="inlineStr">
        <is>
          <t>Determine if:</t>
        </is>
      </c>
      <c r="K42" s="98" t="inlineStr">
        <is>
          <t>[No Comment Provided]</t>
        </is>
      </c>
      <c r="L42" s="565" t="inlineStr">
        <is>
          <t xml:space="preserve">Overall Status - Pending policy/procedure review meeting and observation of controls in place. 
Updates required to documentation
Test required for validating controls in place
Examine - Policy updates may be required based on interviews/walkthroughs. 
Interview  Controls are currently being implemented. - 
Test - Review testing measures in place. </t>
        </is>
      </c>
      <c r="M42" s="99" t="inlineStr">
        <is>
          <t>Implementation Begun</t>
        </is>
      </c>
      <c r="N42" s="140" t="n"/>
      <c r="O42" s="101">
        <f t="array" ref="O42">IF(AND(OR(M43="Fully Implemented",M43="Not Permitted"),OR(M44="Fully Implemented",M44="Not Permitted"),OR(M45="Fully Implemented",M45="Not Permitted")),0,-1*H42)</f>
        <v/>
      </c>
      <c r="P42" s="619" t="n"/>
      <c r="T42" s="102">
        <f t="array" ref="T42">IF(O42=0,H42,0)</f>
        <v/>
      </c>
    </row>
    <row r="43" ht="30" customFormat="1" customHeight="1" s="81">
      <c r="A43" s="103" t="inlineStr">
        <is>
          <t>1</t>
        </is>
      </c>
      <c r="B43" s="104" t="inlineStr">
        <is>
          <t>1.11.a</t>
        </is>
      </c>
      <c r="C43" s="105" t="inlineStr">
        <is>
          <t>DIY</t>
        </is>
      </c>
      <c r="D43" s="106" t="inlineStr">
        <is>
          <t>System and Information Integrity</t>
        </is>
      </c>
      <c r="E43" s="107" t="inlineStr">
        <is>
          <t>3.14.5[a]</t>
        </is>
      </c>
      <c r="F43" s="107" t="inlineStr">
        <is>
          <t>03.14.05.a</t>
        </is>
      </c>
      <c r="G43" s="108" t="inlineStr">
        <is>
          <t>SI.L1-3.14.5</t>
        </is>
      </c>
      <c r="H43" s="109" t="n"/>
      <c r="I43" s="110" t="n"/>
      <c r="J43" s="108" t="inlineStr">
        <is>
          <t>the frequency for malicious code scans is defined.</t>
        </is>
      </c>
      <c r="K43" s="111" t="n"/>
      <c r="M43" s="112" t="inlineStr">
        <is>
          <t>Implementation Begun</t>
        </is>
      </c>
      <c r="O43" s="113" t="n"/>
      <c r="P43" s="620" t="n"/>
    </row>
    <row r="44" ht="30" customFormat="1" customHeight="1" s="81">
      <c r="A44" s="103" t="inlineStr">
        <is>
          <t>1</t>
        </is>
      </c>
      <c r="B44" s="104" t="inlineStr">
        <is>
          <t>1.11.b</t>
        </is>
      </c>
      <c r="C44" s="105" t="inlineStr">
        <is>
          <t>DIY</t>
        </is>
      </c>
      <c r="D44" s="106" t="inlineStr">
        <is>
          <t>System and Information Integrity</t>
        </is>
      </c>
      <c r="E44" s="107" t="inlineStr">
        <is>
          <t>3.14.5[b]</t>
        </is>
      </c>
      <c r="F44" s="107" t="inlineStr">
        <is>
          <t>03.14.05.b</t>
        </is>
      </c>
      <c r="G44" s="108" t="inlineStr">
        <is>
          <t>SI.L1-3.14.5</t>
        </is>
      </c>
      <c r="H44" s="109" t="n"/>
      <c r="I44" s="110" t="n"/>
      <c r="J44" s="108" t="inlineStr">
        <is>
          <t>malicious code scans are performed with the defined frequency.</t>
        </is>
      </c>
      <c r="K44" s="111" t="n"/>
      <c r="M44" s="112" t="inlineStr">
        <is>
          <t>Implementation Begun</t>
        </is>
      </c>
      <c r="O44" s="113" t="n"/>
      <c r="P44" s="620" t="n"/>
    </row>
    <row r="45" ht="45.75" customFormat="1" customHeight="1" s="81">
      <c r="A45" s="114" t="inlineStr">
        <is>
          <t>1</t>
        </is>
      </c>
      <c r="B45" s="115" t="inlineStr">
        <is>
          <t>1.11.c</t>
        </is>
      </c>
      <c r="C45" s="116" t="inlineStr">
        <is>
          <t>DIY</t>
        </is>
      </c>
      <c r="D45" s="117" t="inlineStr">
        <is>
          <t>System and Information Integrity</t>
        </is>
      </c>
      <c r="E45" s="118" t="inlineStr">
        <is>
          <t>3.14.5[c]</t>
        </is>
      </c>
      <c r="F45" s="118" t="inlineStr">
        <is>
          <t>03.14.05.c</t>
        </is>
      </c>
      <c r="G45" s="119" t="inlineStr">
        <is>
          <t>SI.L1-3.14.5</t>
        </is>
      </c>
      <c r="H45" s="120" t="n"/>
      <c r="I45" s="121" t="n"/>
      <c r="J45" s="119" t="inlineStr">
        <is>
          <t>real-time malicious code scans of files from external sources as files are downloaded, opened, or executed are performed.</t>
        </is>
      </c>
      <c r="K45" s="122" t="n"/>
      <c r="M45" s="112" t="inlineStr">
        <is>
          <t>Implementation Begun</t>
        </is>
      </c>
      <c r="N45" s="124" t="n"/>
      <c r="O45" s="125" t="n"/>
      <c r="P45" s="620" t="n"/>
    </row>
    <row r="46" ht="30" customFormat="1" customHeight="1" s="81">
      <c r="A46" s="91" t="inlineStr">
        <is>
          <t>1</t>
        </is>
      </c>
      <c r="B46" s="92" t="inlineStr">
        <is>
          <t>1.12.0</t>
        </is>
      </c>
      <c r="C46" s="93" t="inlineStr">
        <is>
          <t>Hybrid</t>
        </is>
      </c>
      <c r="D46" s="94" t="inlineStr">
        <is>
          <t>Identification and Authentication</t>
        </is>
      </c>
      <c r="E46" s="95" t="inlineStr">
        <is>
          <t>3.5.1</t>
        </is>
      </c>
      <c r="F46" s="95" t="inlineStr">
        <is>
          <t>03.05.01.0</t>
        </is>
      </c>
      <c r="G46" s="96" t="inlineStr">
        <is>
          <t>IA.L1-3.5.1</t>
        </is>
      </c>
      <c r="H46" s="97" t="n">
        <v>5</v>
      </c>
      <c r="I46" s="94" t="inlineStr">
        <is>
          <t>Identify system users, processes acting on behalf of users, and devices.</t>
        </is>
      </c>
      <c r="J46" s="96" t="inlineStr">
        <is>
          <t>Determine if:</t>
        </is>
      </c>
      <c r="K46" s="98" t="inlineStr">
        <is>
          <t>[No Comment Provided]</t>
        </is>
      </c>
      <c r="L46" s="565" t="inlineStr">
        <is>
          <t xml:space="preserve">Overall Status - Pending policy/procedure review meeting and observation of controls in place. 
Updates required to documentation
Test required for validating controls in place
Examine - Policy updates may be required based on interviews/walkthroughs. 
Interview  Controls are currently being implemented. - 
Test - Review testing measures in place. </t>
        </is>
      </c>
      <c r="M46" s="99" t="inlineStr">
        <is>
          <t>Implementation Begun</t>
        </is>
      </c>
      <c r="N46" s="100" t="n"/>
      <c r="O46" s="101">
        <f t="array" ref="O46">IF(AND(OR(M47="Fully Implemented",M47="Not Permitted"),OR(M48="Fully Implemented",M48="Not Permitted"),OR(M49="Fully Implemented",M49="Not Permitted")),0,-1*H46)</f>
        <v/>
      </c>
      <c r="P46" s="619" t="n"/>
      <c r="T46" s="102">
        <f t="array" ref="T46">IF(O46=0,H46,0)</f>
        <v/>
      </c>
    </row>
    <row r="47" ht="30" customFormat="1" customHeight="1" s="81">
      <c r="A47" s="103" t="inlineStr">
        <is>
          <t>1</t>
        </is>
      </c>
      <c r="B47" s="104" t="inlineStr">
        <is>
          <t>1.12.a</t>
        </is>
      </c>
      <c r="C47" s="105" t="inlineStr">
        <is>
          <t>DIY</t>
        </is>
      </c>
      <c r="D47" s="106" t="inlineStr">
        <is>
          <t>Identification and Authentication</t>
        </is>
      </c>
      <c r="E47" s="107" t="inlineStr">
        <is>
          <t>3.5.1[a]</t>
        </is>
      </c>
      <c r="F47" s="107" t="inlineStr">
        <is>
          <t>03.05.01.a</t>
        </is>
      </c>
      <c r="G47" s="108" t="inlineStr">
        <is>
          <t>IA.L1-3.5.1</t>
        </is>
      </c>
      <c r="H47" s="109" t="n"/>
      <c r="I47" s="110" t="n"/>
      <c r="J47" s="108" t="inlineStr">
        <is>
          <t>system users are identified.</t>
        </is>
      </c>
      <c r="K47" s="111" t="n"/>
      <c r="M47" s="112" t="inlineStr">
        <is>
          <t>Implementation Begun</t>
        </is>
      </c>
      <c r="O47" s="113" t="n"/>
      <c r="P47" s="620" t="n"/>
    </row>
    <row r="48" ht="30" customFormat="1" customHeight="1" s="81">
      <c r="A48" s="103" t="inlineStr">
        <is>
          <t>1</t>
        </is>
      </c>
      <c r="B48" s="104" t="inlineStr">
        <is>
          <t>1.12.b</t>
        </is>
      </c>
      <c r="C48" s="105" t="inlineStr">
        <is>
          <t>Outsource</t>
        </is>
      </c>
      <c r="D48" s="106" t="inlineStr">
        <is>
          <t>Identification and Authentication</t>
        </is>
      </c>
      <c r="E48" s="107" t="inlineStr">
        <is>
          <t>3.5.1[b]</t>
        </is>
      </c>
      <c r="F48" s="107" t="inlineStr">
        <is>
          <t>03.05.01.b</t>
        </is>
      </c>
      <c r="G48" s="108" t="inlineStr">
        <is>
          <t>IA.L1-3.5.1</t>
        </is>
      </c>
      <c r="H48" s="109" t="n"/>
      <c r="I48" s="110" t="n"/>
      <c r="J48" s="108" t="inlineStr">
        <is>
          <t>processes acting on behalf of users are identified.</t>
        </is>
      </c>
      <c r="K48" s="111" t="n"/>
      <c r="M48" s="112" t="inlineStr">
        <is>
          <t>Implementation Begun</t>
        </is>
      </c>
      <c r="O48" s="113" t="n"/>
      <c r="P48" s="620" t="n"/>
    </row>
    <row r="49" ht="30.75" customFormat="1" customHeight="1" s="81">
      <c r="A49" s="114" t="inlineStr">
        <is>
          <t>1</t>
        </is>
      </c>
      <c r="B49" s="115" t="inlineStr">
        <is>
          <t>1.12.c</t>
        </is>
      </c>
      <c r="C49" s="116" t="inlineStr">
        <is>
          <t>DIY</t>
        </is>
      </c>
      <c r="D49" s="117" t="inlineStr">
        <is>
          <t>Identification and Authentication</t>
        </is>
      </c>
      <c r="E49" s="118" t="inlineStr">
        <is>
          <t>3.5.1[c]</t>
        </is>
      </c>
      <c r="F49" s="118" t="inlineStr">
        <is>
          <t>03.05.01.c</t>
        </is>
      </c>
      <c r="G49" s="119" t="inlineStr">
        <is>
          <t>IA.L1-3.5.1</t>
        </is>
      </c>
      <c r="H49" s="120" t="n"/>
      <c r="I49" s="121" t="n"/>
      <c r="J49" s="119" t="inlineStr">
        <is>
          <t xml:space="preserve">devices accessing the system are identified. </t>
        </is>
      </c>
      <c r="K49" s="122" t="n"/>
      <c r="M49" s="112" t="inlineStr">
        <is>
          <t>Implementation Begun</t>
        </is>
      </c>
      <c r="N49" s="124" t="n"/>
      <c r="O49" s="125" t="n"/>
      <c r="P49" s="620" t="n"/>
    </row>
    <row r="50" ht="45" customFormat="1" customHeight="1" s="81">
      <c r="A50" s="91" t="inlineStr">
        <is>
          <t>1</t>
        </is>
      </c>
      <c r="B50" s="92" t="inlineStr">
        <is>
          <t>1.13.0</t>
        </is>
      </c>
      <c r="C50" s="93" t="inlineStr">
        <is>
          <t>Hybrid</t>
        </is>
      </c>
      <c r="D50" s="94" t="inlineStr">
        <is>
          <t>Identification and Authentication</t>
        </is>
      </c>
      <c r="E50" s="95" t="inlineStr">
        <is>
          <t>3.5.2</t>
        </is>
      </c>
      <c r="F50" s="95" t="inlineStr">
        <is>
          <t>03.05.02.0</t>
        </is>
      </c>
      <c r="G50" s="96" t="inlineStr">
        <is>
          <t>IA.L1-3.5.2</t>
        </is>
      </c>
      <c r="H50" s="97" t="n">
        <v>5</v>
      </c>
      <c r="I50" s="94" t="inlineStr">
        <is>
          <t>Authenticate (or verify) the identities of users, processes, or devices, as a prerequisite to allowing access to organizational systems</t>
        </is>
      </c>
      <c r="J50" s="96" t="inlineStr">
        <is>
          <t>Determine if:</t>
        </is>
      </c>
      <c r="K50" s="98" t="inlineStr">
        <is>
          <t>[No Comment Provided]</t>
        </is>
      </c>
      <c r="L50" s="565" t="inlineStr">
        <is>
          <t xml:space="preserve">Overall Status - Pending policy/procedure review meeting and observation of controls in place. 
Updates required to documentation
Test required for validating controls in place
Examine - Policy updates may be required based on interviews/walkthroughs. 
Interview  Controls are currently being implemented. - 
Test - Review testing measures in place. </t>
        </is>
      </c>
      <c r="M50" s="99" t="inlineStr">
        <is>
          <t>Implementation Begun</t>
        </is>
      </c>
      <c r="N50" s="100" t="n"/>
      <c r="O50" s="101">
        <f t="array" ref="O50">IF(AND(OR(M51="Fully Implemented",M51="Not Permitted"),OR(M52="Fully Implemented",M52="Not Permitted"),OR(M53="Fully Implemented",M53="Not Permitted")),0,-1*H50)</f>
        <v/>
      </c>
      <c r="P50" s="619" t="n"/>
      <c r="T50" s="102">
        <f t="array" ref="T50">IF(O50=0,H50,0)</f>
        <v/>
      </c>
    </row>
    <row r="51" ht="30" customFormat="1" customHeight="1" s="81">
      <c r="A51" s="103" t="inlineStr">
        <is>
          <t>1</t>
        </is>
      </c>
      <c r="B51" s="104" t="inlineStr">
        <is>
          <t>1.13.a</t>
        </is>
      </c>
      <c r="C51" s="105" t="inlineStr">
        <is>
          <t>DIY</t>
        </is>
      </c>
      <c r="D51" s="106" t="inlineStr">
        <is>
          <t>Identification and Authentication</t>
        </is>
      </c>
      <c r="E51" s="107" t="inlineStr">
        <is>
          <t>3.5.2[a]</t>
        </is>
      </c>
      <c r="F51" s="107" t="inlineStr">
        <is>
          <t>03.05.02.a</t>
        </is>
      </c>
      <c r="G51" s="108" t="inlineStr">
        <is>
          <t>IA.L1-3.5.2</t>
        </is>
      </c>
      <c r="H51" s="109" t="n"/>
      <c r="I51" s="110" t="n"/>
      <c r="J51" s="108" t="inlineStr">
        <is>
          <t>the identity of each user is authenticated or verified as a prerequisite to system access.</t>
        </is>
      </c>
      <c r="K51" s="111" t="n"/>
      <c r="M51" s="112" t="inlineStr">
        <is>
          <t>Implementation Begun</t>
        </is>
      </c>
      <c r="O51" s="113" t="n"/>
      <c r="P51" s="620" t="n"/>
    </row>
    <row r="52" ht="45" customFormat="1" customHeight="1" s="81">
      <c r="A52" s="103" t="inlineStr">
        <is>
          <t>1</t>
        </is>
      </c>
      <c r="B52" s="104" t="inlineStr">
        <is>
          <t>1.13.b</t>
        </is>
      </c>
      <c r="C52" s="105" t="inlineStr">
        <is>
          <t>Outsource</t>
        </is>
      </c>
      <c r="D52" s="106" t="inlineStr">
        <is>
          <t>Identification and Authentication</t>
        </is>
      </c>
      <c r="E52" s="107" t="inlineStr">
        <is>
          <t>3.5.2[b]</t>
        </is>
      </c>
      <c r="F52" s="107" t="inlineStr">
        <is>
          <t>03.05.02.b</t>
        </is>
      </c>
      <c r="G52" s="108" t="inlineStr">
        <is>
          <t>IA.L1-3.5.2</t>
        </is>
      </c>
      <c r="H52" s="109" t="n"/>
      <c r="I52" s="110" t="n"/>
      <c r="J52" s="108" t="inlineStr">
        <is>
          <t>the identity of each process acting on behalf of a user is authenticated or verified as a prerequisite to system access.</t>
        </is>
      </c>
      <c r="K52" s="111" t="n"/>
      <c r="M52" s="112" t="inlineStr">
        <is>
          <t>Implementation Begun</t>
        </is>
      </c>
      <c r="O52" s="113" t="n"/>
      <c r="P52" s="620" t="n"/>
    </row>
    <row r="53" ht="45.75" customFormat="1" customHeight="1" s="81">
      <c r="A53" s="114" t="inlineStr">
        <is>
          <t>1</t>
        </is>
      </c>
      <c r="B53" s="115" t="inlineStr">
        <is>
          <t>1.13.c</t>
        </is>
      </c>
      <c r="C53" s="116" t="inlineStr">
        <is>
          <t>Outsource</t>
        </is>
      </c>
      <c r="D53" s="117" t="inlineStr">
        <is>
          <t>Identification and Authentication</t>
        </is>
      </c>
      <c r="E53" s="118" t="inlineStr">
        <is>
          <t>3.5.2[c]</t>
        </is>
      </c>
      <c r="F53" s="118" t="inlineStr">
        <is>
          <t>03.05.02.c</t>
        </is>
      </c>
      <c r="G53" s="119" t="inlineStr">
        <is>
          <t>IA.L1-3.5.2</t>
        </is>
      </c>
      <c r="H53" s="120" t="n"/>
      <c r="I53" s="121" t="n"/>
      <c r="J53" s="119" t="inlineStr">
        <is>
          <t>the identity of each device accessing or connecting to the system is authenticated or verified as a prerequisite to system access.</t>
        </is>
      </c>
      <c r="K53" s="122" t="n"/>
      <c r="M53" s="112" t="inlineStr">
        <is>
          <t>Implementation Begun</t>
        </is>
      </c>
      <c r="N53" s="124" t="n"/>
      <c r="O53" s="125" t="n"/>
      <c r="P53" s="620" t="n"/>
    </row>
    <row r="54" ht="91.5" customFormat="1" customHeight="1" s="81">
      <c r="A54" s="91" t="inlineStr">
        <is>
          <t>1</t>
        </is>
      </c>
      <c r="B54" s="92" t="inlineStr">
        <is>
          <t>1.14.0</t>
        </is>
      </c>
      <c r="C54" s="93" t="inlineStr">
        <is>
          <t>Hybrid</t>
        </is>
      </c>
      <c r="D54" s="94" t="inlineStr">
        <is>
          <t>Access Control</t>
        </is>
      </c>
      <c r="E54" s="95" t="inlineStr">
        <is>
          <t>3.1.1</t>
        </is>
      </c>
      <c r="F54" s="95" t="inlineStr">
        <is>
          <t>03.01.01.0</t>
        </is>
      </c>
      <c r="G54" s="96" t="inlineStr">
        <is>
          <t>AC.L1-3.1.1</t>
        </is>
      </c>
      <c r="H54" s="97" t="n">
        <v>5</v>
      </c>
      <c r="I54" s="94" t="inlineStr">
        <is>
          <t>Limit system access to authorized users, processes acting on behalf of authorized users, and devices (including other systems).</t>
        </is>
      </c>
      <c r="J54" s="96" t="inlineStr">
        <is>
          <t xml:space="preserve">Determine If: </t>
        </is>
      </c>
      <c r="K54" s="98" t="inlineStr">
        <is>
          <t>[No Comment Provided]</t>
        </is>
      </c>
      <c r="L54" s="565" t="inlineStr">
        <is>
          <t>All access to corporate resources is routed through Cloudflare Zero Trust for Government (Access). Cloudflare Access enforces identity-based policies in conjunction with Okta for Government authentication, ensuring only authorized, verified users reach CUI-bearing systems regardless of network location.</t>
        </is>
      </c>
      <c r="M54" s="112" t="inlineStr">
        <is>
          <t>Implementation Begun</t>
        </is>
      </c>
      <c r="N54" s="140" t="n"/>
      <c r="O54" s="101">
        <f t="array" ref="O54">IF(AND(M55="Fully Implemented",M56="Fully Implemented",M57="Fully Implemented",M58="Fully Implemented",M59="Fully Implemented",M60="Fully Implemented"),0,-1*H54)</f>
        <v/>
      </c>
      <c r="P54" s="619" t="n"/>
      <c r="T54" s="102">
        <f t="array" ref="T54">IF(O54=0,H54,0)</f>
        <v/>
      </c>
    </row>
    <row r="55" ht="13.5" customFormat="1" customHeight="1" s="81">
      <c r="A55" s="103" t="inlineStr">
        <is>
          <t>1</t>
        </is>
      </c>
      <c r="B55" s="104" t="inlineStr">
        <is>
          <t>1.14.a</t>
        </is>
      </c>
      <c r="C55" s="105" t="inlineStr">
        <is>
          <t>DIY</t>
        </is>
      </c>
      <c r="D55" s="106" t="inlineStr">
        <is>
          <t>Access Control</t>
        </is>
      </c>
      <c r="E55" s="107" t="inlineStr">
        <is>
          <t>3.1.1[a]</t>
        </is>
      </c>
      <c r="F55" s="107" t="inlineStr">
        <is>
          <t>03.01.01.a</t>
        </is>
      </c>
      <c r="G55" s="108" t="inlineStr">
        <is>
          <t>AC.L1-3.1.1</t>
        </is>
      </c>
      <c r="H55" s="109" t="n"/>
      <c r="I55" s="143" t="n"/>
      <c r="J55" s="108" t="inlineStr">
        <is>
          <t>authorized users are identified.</t>
        </is>
      </c>
      <c r="K55" s="111" t="n"/>
      <c r="L55" s="565" t="n"/>
      <c r="M55" s="112" t="inlineStr">
        <is>
          <t>Implementation Begun</t>
        </is>
      </c>
      <c r="O55" s="113" t="n"/>
      <c r="P55" s="620" t="n"/>
    </row>
    <row r="56" ht="30" customFormat="1" customHeight="1" s="81">
      <c r="A56" s="103" t="inlineStr">
        <is>
          <t>1</t>
        </is>
      </c>
      <c r="B56" s="104" t="inlineStr">
        <is>
          <t>1.14.b</t>
        </is>
      </c>
      <c r="C56" s="105" t="inlineStr">
        <is>
          <t>Outsource</t>
        </is>
      </c>
      <c r="D56" s="106" t="inlineStr">
        <is>
          <t>Access Control</t>
        </is>
      </c>
      <c r="E56" s="107" t="inlineStr">
        <is>
          <t>3.1.1[b]</t>
        </is>
      </c>
      <c r="F56" s="107" t="inlineStr">
        <is>
          <t>03.01.01.b</t>
        </is>
      </c>
      <c r="G56" s="108" t="inlineStr">
        <is>
          <t>AC.L1-3.1.1</t>
        </is>
      </c>
      <c r="H56" s="109" t="n"/>
      <c r="I56" s="143" t="n"/>
      <c r="J56" s="108" t="inlineStr">
        <is>
          <t>processes acting on behalf of authorized users are identified.</t>
        </is>
      </c>
      <c r="K56" s="111" t="n"/>
      <c r="L56" s="565" t="n"/>
      <c r="M56" s="112" t="inlineStr">
        <is>
          <t>Implementation Begun</t>
        </is>
      </c>
      <c r="O56" s="113" t="n"/>
      <c r="P56" s="620" t="n"/>
    </row>
    <row r="57" ht="30" customFormat="1" customHeight="1" s="81">
      <c r="A57" s="103" t="inlineStr">
        <is>
          <t>1</t>
        </is>
      </c>
      <c r="B57" s="104" t="inlineStr">
        <is>
          <t>1.14.c</t>
        </is>
      </c>
      <c r="C57" s="105" t="inlineStr">
        <is>
          <t>DIY</t>
        </is>
      </c>
      <c r="D57" s="106" t="inlineStr">
        <is>
          <t>Access Control</t>
        </is>
      </c>
      <c r="E57" s="107" t="inlineStr">
        <is>
          <t>3.1.1[c]</t>
        </is>
      </c>
      <c r="F57" s="107" t="inlineStr">
        <is>
          <t>03.01.01.c</t>
        </is>
      </c>
      <c r="G57" s="108" t="inlineStr">
        <is>
          <t>AC.L1-3.1.1</t>
        </is>
      </c>
      <c r="H57" s="109" t="n"/>
      <c r="I57" s="143" t="n"/>
      <c r="J57" s="108" t="inlineStr">
        <is>
          <t>devices (including other systems) authorized to connect to the system are identified.</t>
        </is>
      </c>
      <c r="K57" s="111" t="n"/>
      <c r="L57" s="565" t="n"/>
      <c r="M57" s="112" t="inlineStr">
        <is>
          <t>Implementation Begun</t>
        </is>
      </c>
      <c r="O57" s="113" t="n"/>
      <c r="P57" s="620" t="n"/>
    </row>
    <row r="58" ht="13.5" customFormat="1" customHeight="1" s="81">
      <c r="A58" s="103" t="inlineStr">
        <is>
          <t>1</t>
        </is>
      </c>
      <c r="B58" s="104" t="inlineStr">
        <is>
          <t>1.14.d</t>
        </is>
      </c>
      <c r="C58" s="105" t="inlineStr">
        <is>
          <t>DIY</t>
        </is>
      </c>
      <c r="D58" s="106" t="inlineStr">
        <is>
          <t>Access Control</t>
        </is>
      </c>
      <c r="E58" s="107" t="inlineStr">
        <is>
          <t>3.1.1[d]</t>
        </is>
      </c>
      <c r="F58" s="107" t="inlineStr">
        <is>
          <t>03.01.01.d</t>
        </is>
      </c>
      <c r="G58" s="108" t="inlineStr">
        <is>
          <t>AC.L1-3.1.1</t>
        </is>
      </c>
      <c r="H58" s="109" t="n"/>
      <c r="I58" s="143" t="n"/>
      <c r="J58" s="108" t="inlineStr">
        <is>
          <t>system access is limited to authorized users.</t>
        </is>
      </c>
      <c r="K58" s="111" t="n"/>
      <c r="L58" s="565" t="n"/>
      <c r="M58" s="112" t="inlineStr">
        <is>
          <t>Implementation Begun</t>
        </is>
      </c>
      <c r="O58" s="113" t="n"/>
      <c r="P58" s="620" t="n"/>
    </row>
    <row r="59" ht="30" customFormat="1" customHeight="1" s="81">
      <c r="A59" s="103" t="inlineStr">
        <is>
          <t>1</t>
        </is>
      </c>
      <c r="B59" s="104" t="inlineStr">
        <is>
          <t>1.14.e</t>
        </is>
      </c>
      <c r="C59" s="105" t="inlineStr">
        <is>
          <t>Outsource</t>
        </is>
      </c>
      <c r="D59" s="106" t="inlineStr">
        <is>
          <t>Access Control</t>
        </is>
      </c>
      <c r="E59" s="107" t="inlineStr">
        <is>
          <t>3.1.1[e]</t>
        </is>
      </c>
      <c r="F59" s="107" t="inlineStr">
        <is>
          <t>03.01.01.e</t>
        </is>
      </c>
      <c r="G59" s="108" t="inlineStr">
        <is>
          <t>AC.L1-3.1.1</t>
        </is>
      </c>
      <c r="H59" s="109" t="n"/>
      <c r="I59" s="143" t="n"/>
      <c r="J59" s="108" t="inlineStr">
        <is>
          <t>system access is limited to processes acting on behalf of authorized users.</t>
        </is>
      </c>
      <c r="K59" s="111" t="n"/>
      <c r="L59" s="565" t="n"/>
      <c r="M59" s="112" t="inlineStr">
        <is>
          <t>Implementation Begun</t>
        </is>
      </c>
      <c r="O59" s="113" t="n"/>
      <c r="P59" s="620" t="n"/>
    </row>
    <row r="60" ht="30.75" customFormat="1" customHeight="1" s="81">
      <c r="A60" s="114" t="inlineStr">
        <is>
          <t>1</t>
        </is>
      </c>
      <c r="B60" s="115" t="inlineStr">
        <is>
          <t>1.14.f</t>
        </is>
      </c>
      <c r="C60" s="116" t="inlineStr">
        <is>
          <t>Outsource</t>
        </is>
      </c>
      <c r="D60" s="117" t="inlineStr">
        <is>
          <t>Access Control</t>
        </is>
      </c>
      <c r="E60" s="118" t="inlineStr">
        <is>
          <t>3.1.1[f]</t>
        </is>
      </c>
      <c r="F60" s="118" t="inlineStr">
        <is>
          <t>03.01.01.f</t>
        </is>
      </c>
      <c r="G60" s="119" t="inlineStr">
        <is>
          <t>AC.L1-3.1.1</t>
        </is>
      </c>
      <c r="H60" s="120" t="n"/>
      <c r="I60" s="144" t="n"/>
      <c r="J60" s="119" t="inlineStr">
        <is>
          <t>system access is limited to authorized devices (including other systems).</t>
        </is>
      </c>
      <c r="K60" s="122" t="n"/>
      <c r="L60" s="565" t="n"/>
      <c r="M60" s="112" t="inlineStr">
        <is>
          <t>Implementation Begun</t>
        </is>
      </c>
      <c r="N60" s="124" t="n"/>
      <c r="O60" s="125" t="n"/>
      <c r="P60" s="620" t="n"/>
    </row>
    <row r="61" ht="106.5" customFormat="1" customHeight="1" s="81">
      <c r="A61" s="91" t="inlineStr">
        <is>
          <t>1</t>
        </is>
      </c>
      <c r="B61" s="92" t="inlineStr">
        <is>
          <t>1.15.0</t>
        </is>
      </c>
      <c r="C61" s="93" t="inlineStr">
        <is>
          <t>Outsource</t>
        </is>
      </c>
      <c r="D61" s="94" t="inlineStr">
        <is>
          <t>Access Control</t>
        </is>
      </c>
      <c r="E61" s="95" t="inlineStr">
        <is>
          <t>3.1.2</t>
        </is>
      </c>
      <c r="F61" s="95" t="inlineStr">
        <is>
          <t>03.01.02.0</t>
        </is>
      </c>
      <c r="G61" s="96" t="inlineStr">
        <is>
          <t>AC.L1-3.1.2</t>
        </is>
      </c>
      <c r="H61" s="97" t="n">
        <v>5</v>
      </c>
      <c r="I61" s="94" t="inlineStr">
        <is>
          <t>Limit system access to the types of transactions and functions that authorized users are permitted to execute.</t>
        </is>
      </c>
      <c r="J61" s="96" t="inlineStr">
        <is>
          <t>Determine if:</t>
        </is>
      </c>
      <c r="K61" s="98" t="inlineStr">
        <is>
          <t>[No Comment Provided]</t>
        </is>
      </c>
      <c r="L61" s="565" t="inlineStr">
        <is>
          <t>Role-based access control (RBAC) is enforced through Okta group-to-application assignments. Cloudflare Access application policies provide a second enforcement layer, restricting which Okta groups may reach each application. M365 GCCH enforces SharePoint and Teams permissions aligned to job function.</t>
        </is>
      </c>
      <c r="M61" s="99" t="inlineStr">
        <is>
          <t>Implementation Begun</t>
        </is>
      </c>
      <c r="N61" s="140" t="n"/>
      <c r="O61" s="101">
        <f t="array" ref="O61">IF(AND(M62="Fully Implemented",M63="Fully Implemented"),0,-1*H61)</f>
        <v/>
      </c>
      <c r="P61" s="619" t="n"/>
      <c r="T61" s="102">
        <f t="array" ref="T61">IF(O61=0,H61,0)</f>
        <v/>
      </c>
    </row>
    <row r="62" ht="30" customFormat="1" customHeight="1" s="81">
      <c r="A62" s="103" t="inlineStr">
        <is>
          <t>1</t>
        </is>
      </c>
      <c r="B62" s="104" t="inlineStr">
        <is>
          <t>1.15.a</t>
        </is>
      </c>
      <c r="C62" s="105" t="inlineStr">
        <is>
          <t>Outsource</t>
        </is>
      </c>
      <c r="D62" s="106" t="inlineStr">
        <is>
          <t>Access Control</t>
        </is>
      </c>
      <c r="E62" s="107" t="inlineStr">
        <is>
          <t>3.1.2[a]</t>
        </is>
      </c>
      <c r="F62" s="107" t="inlineStr">
        <is>
          <t>03.01.02.a</t>
        </is>
      </c>
      <c r="G62" s="108" t="inlineStr">
        <is>
          <t>AC.L1-3.1.2</t>
        </is>
      </c>
      <c r="H62" s="109" t="n"/>
      <c r="I62" s="110" t="n"/>
      <c r="J62" s="108" t="inlineStr">
        <is>
          <t>the types of transactions and functions that authorized users are permitted to execute are defined</t>
        </is>
      </c>
      <c r="K62" s="111" t="n"/>
      <c r="L62" s="565" t="n"/>
      <c r="M62" s="112" t="inlineStr">
        <is>
          <t>Implementation Begun</t>
        </is>
      </c>
      <c r="O62" s="113" t="n"/>
      <c r="P62" s="620" t="n"/>
    </row>
    <row r="63" ht="30.75" customFormat="1" customHeight="1" s="81">
      <c r="A63" s="114" t="inlineStr">
        <is>
          <t>1</t>
        </is>
      </c>
      <c r="B63" s="115" t="inlineStr">
        <is>
          <t>1.15.b</t>
        </is>
      </c>
      <c r="C63" s="116" t="inlineStr">
        <is>
          <t>Outsource</t>
        </is>
      </c>
      <c r="D63" s="117" t="inlineStr">
        <is>
          <t>Access Control</t>
        </is>
      </c>
      <c r="E63" s="118" t="inlineStr">
        <is>
          <t>3.1.2[b]</t>
        </is>
      </c>
      <c r="F63" s="118" t="inlineStr">
        <is>
          <t>03.01.02.b</t>
        </is>
      </c>
      <c r="G63" s="119" t="inlineStr">
        <is>
          <t>AC.L1-3.1.2</t>
        </is>
      </c>
      <c r="H63" s="120" t="n"/>
      <c r="I63" s="121" t="n"/>
      <c r="J63" s="119" t="inlineStr">
        <is>
          <t>system access is limited to the defined types of transactions and functions for authorized users.</t>
        </is>
      </c>
      <c r="K63" s="122" t="n"/>
      <c r="L63" s="565" t="n"/>
      <c r="M63" s="112" t="inlineStr">
        <is>
          <t>Implementation Begun</t>
        </is>
      </c>
      <c r="N63" s="124" t="n"/>
      <c r="O63" s="125" t="n"/>
      <c r="P63" s="620" t="n"/>
    </row>
    <row r="64" ht="275.25" customFormat="1" customHeight="1" s="81">
      <c r="A64" s="91" t="inlineStr">
        <is>
          <t>1</t>
        </is>
      </c>
      <c r="B64" s="92" t="inlineStr">
        <is>
          <t>1.16.0</t>
        </is>
      </c>
      <c r="C64" s="93" t="inlineStr">
        <is>
          <t>Hybrid</t>
        </is>
      </c>
      <c r="D64" s="94" t="inlineStr">
        <is>
          <t>Access Control</t>
        </is>
      </c>
      <c r="E64" s="95" t="inlineStr">
        <is>
          <t>3.1.20</t>
        </is>
      </c>
      <c r="F64" s="95" t="inlineStr">
        <is>
          <t>03.01.20.0</t>
        </is>
      </c>
      <c r="G64" s="96" t="inlineStr">
        <is>
          <t>AC.L1-3.1.20</t>
        </is>
      </c>
      <c r="H64" s="97" t="n">
        <v>1</v>
      </c>
      <c r="I64" s="94" t="inlineStr">
        <is>
          <t>Verify and control/limit connections to and use of external systems.</t>
        </is>
      </c>
      <c r="J64" s="96" t="inlineStr">
        <is>
          <t>Determine if:</t>
        </is>
      </c>
      <c r="K64" s="98" t="inlineStr">
        <is>
          <t>[No Comment Provided]</t>
        </is>
      </c>
      <c r="L64" s="565" t="inlineStr">
        <is>
          <t>Connections to and use of external systems are controlled per the External System Connection Policy. All outbound connections from managed endpoints to external systems are subject to Cloudflare Gateway DNS and HTTP filtering policies — connections to non-approved external destinations are blocked at the network layer. Cloudflare CASB continuously monitors for unsanctioned external SaaS usage that could expose CUI. External user access to internal systems is provisioned through Okta for Government with scoped, time-limited application assignments and mandatory MFA. Azure AD B2B governance controls external identity access to M365 GCCH. Azure GCCH workloads use Private Endpoints and Private Link — no public internet-facing endpoints exist for CUI-bearing systems. All external system connection requests must be approved per the External System Connection Approval Procedure prior to provisioning.</t>
        </is>
      </c>
      <c r="M64" s="99" t="inlineStr">
        <is>
          <t>Implementation Begun</t>
        </is>
      </c>
      <c r="N64" s="100" t="n"/>
      <c r="O64" s="101">
        <f t="array" ref="O64">IF(AND(M65="Fully Implemented",M66="Fully Implemented",M67="Fully Implemented",M68="Fully Implemented",M69="Fully Implemented",M70="Fully Implemented"),0,-1*H64)</f>
        <v/>
      </c>
      <c r="P64" s="619" t="n"/>
      <c r="T64" s="102">
        <f t="array" ref="T64">IF(O64=0,H64,0)</f>
        <v/>
      </c>
    </row>
    <row r="65" ht="13.5" customFormat="1" customHeight="1" s="81">
      <c r="A65" s="103" t="inlineStr">
        <is>
          <t>1</t>
        </is>
      </c>
      <c r="B65" s="104" t="inlineStr">
        <is>
          <t>1.16.a</t>
        </is>
      </c>
      <c r="C65" s="105" t="inlineStr">
        <is>
          <t>DIY</t>
        </is>
      </c>
      <c r="D65" s="106" t="inlineStr">
        <is>
          <t>Access Control</t>
        </is>
      </c>
      <c r="E65" s="107" t="inlineStr">
        <is>
          <t>3.1.20[a]</t>
        </is>
      </c>
      <c r="F65" s="107" t="inlineStr">
        <is>
          <t>03.01.20.a</t>
        </is>
      </c>
      <c r="G65" s="108" t="inlineStr">
        <is>
          <t>AC.L1-3.1.20</t>
        </is>
      </c>
      <c r="H65" s="109" t="n"/>
      <c r="I65" s="110" t="n"/>
      <c r="J65" s="108" t="inlineStr">
        <is>
          <t>connections to external systems are identified.</t>
        </is>
      </c>
      <c r="K65" s="111" t="n"/>
      <c r="L65" s="565" t="n"/>
      <c r="M65" s="112" t="inlineStr">
        <is>
          <t>Implementation Begun</t>
        </is>
      </c>
      <c r="O65" s="113" t="n"/>
      <c r="P65" s="620" t="n"/>
    </row>
    <row r="66" ht="13.5" customFormat="1" customHeight="1" s="81">
      <c r="A66" s="103" t="inlineStr">
        <is>
          <t>1</t>
        </is>
      </c>
      <c r="B66" s="104" t="inlineStr">
        <is>
          <t>1.16.b</t>
        </is>
      </c>
      <c r="C66" s="105" t="inlineStr">
        <is>
          <t>DIY</t>
        </is>
      </c>
      <c r="D66" s="106" t="inlineStr">
        <is>
          <t>Access Control</t>
        </is>
      </c>
      <c r="E66" s="107" t="inlineStr">
        <is>
          <t>3.1.20[b]</t>
        </is>
      </c>
      <c r="F66" s="107" t="inlineStr">
        <is>
          <t>03.01.20.b</t>
        </is>
      </c>
      <c r="G66" s="108" t="inlineStr">
        <is>
          <t>AC.L1-3.1.20</t>
        </is>
      </c>
      <c r="H66" s="109" t="n"/>
      <c r="I66" s="110" t="n"/>
      <c r="J66" s="108" t="inlineStr">
        <is>
          <t>use of external systems is identified.</t>
        </is>
      </c>
      <c r="K66" s="111" t="n"/>
      <c r="L66" s="565" t="n"/>
      <c r="M66" s="112" t="inlineStr">
        <is>
          <t>Implementation Begun</t>
        </is>
      </c>
      <c r="O66" s="113" t="n"/>
      <c r="P66" s="620" t="n"/>
    </row>
    <row r="67" ht="13.5" customFormat="1" customHeight="1" s="81">
      <c r="A67" s="103" t="inlineStr">
        <is>
          <t>1</t>
        </is>
      </c>
      <c r="B67" s="104" t="inlineStr">
        <is>
          <t>1.16.c</t>
        </is>
      </c>
      <c r="C67" s="105" t="inlineStr">
        <is>
          <t>Outsource</t>
        </is>
      </c>
      <c r="D67" s="106" t="inlineStr">
        <is>
          <t>Access Control</t>
        </is>
      </c>
      <c r="E67" s="107" t="inlineStr">
        <is>
          <t>3.1.20[c]</t>
        </is>
      </c>
      <c r="F67" s="107" t="inlineStr">
        <is>
          <t>03.01.20.c</t>
        </is>
      </c>
      <c r="G67" s="108" t="inlineStr">
        <is>
          <t>AC.L1-3.1.20</t>
        </is>
      </c>
      <c r="H67" s="109" t="n"/>
      <c r="I67" s="110" t="n"/>
      <c r="J67" s="108" t="inlineStr">
        <is>
          <t>connections to external systems are verified.</t>
        </is>
      </c>
      <c r="K67" s="111" t="n"/>
      <c r="L67" s="565" t="n"/>
      <c r="M67" s="112" t="inlineStr">
        <is>
          <t>Implementation Begun</t>
        </is>
      </c>
      <c r="O67" s="113" t="n"/>
      <c r="P67" s="620" t="n"/>
    </row>
    <row r="68" ht="13.5" customFormat="1" customHeight="1" s="81">
      <c r="A68" s="103" t="inlineStr">
        <is>
          <t>1</t>
        </is>
      </c>
      <c r="B68" s="104" t="inlineStr">
        <is>
          <t>1.16.d</t>
        </is>
      </c>
      <c r="C68" s="105" t="inlineStr">
        <is>
          <t>Outsource</t>
        </is>
      </c>
      <c r="D68" s="106" t="inlineStr">
        <is>
          <t>Access Control</t>
        </is>
      </c>
      <c r="E68" s="107" t="inlineStr">
        <is>
          <t>3.1.20[d]</t>
        </is>
      </c>
      <c r="F68" s="107" t="inlineStr">
        <is>
          <t>03.01.20.d</t>
        </is>
      </c>
      <c r="G68" s="108" t="inlineStr">
        <is>
          <t>AC.L1-3.1.20</t>
        </is>
      </c>
      <c r="H68" s="109" t="n"/>
      <c r="I68" s="110" t="n"/>
      <c r="J68" s="108" t="inlineStr">
        <is>
          <t>use of external systems is verified.</t>
        </is>
      </c>
      <c r="K68" s="111" t="n"/>
      <c r="L68" s="565" t="n"/>
      <c r="M68" s="112" t="inlineStr">
        <is>
          <t>Implementation Begun</t>
        </is>
      </c>
      <c r="O68" s="113" t="n"/>
      <c r="P68" s="620" t="n"/>
    </row>
    <row r="69" ht="30" customFormat="1" customHeight="1" s="81">
      <c r="A69" s="103" t="inlineStr">
        <is>
          <t>1</t>
        </is>
      </c>
      <c r="B69" s="104" t="inlineStr">
        <is>
          <t>1.16.e</t>
        </is>
      </c>
      <c r="C69" s="105" t="inlineStr">
        <is>
          <t>Outsource</t>
        </is>
      </c>
      <c r="D69" s="106" t="inlineStr">
        <is>
          <t>Access Control</t>
        </is>
      </c>
      <c r="E69" s="107" t="inlineStr">
        <is>
          <t>3.1.20[e]</t>
        </is>
      </c>
      <c r="F69" s="107" t="inlineStr">
        <is>
          <t>03.01.20.e</t>
        </is>
      </c>
      <c r="G69" s="108" t="inlineStr">
        <is>
          <t>AC.L1-3.1.20</t>
        </is>
      </c>
      <c r="H69" s="109" t="n"/>
      <c r="I69" s="110" t="n"/>
      <c r="J69" s="108" t="inlineStr">
        <is>
          <t>connections to external systems are controlled/limited.</t>
        </is>
      </c>
      <c r="K69" s="111" t="n"/>
      <c r="L69" s="565" t="n"/>
      <c r="M69" s="112" t="inlineStr">
        <is>
          <t>Implementation Begun</t>
        </is>
      </c>
      <c r="O69" s="113" t="n"/>
      <c r="P69" s="620" t="n"/>
    </row>
    <row r="70" ht="15.75" customFormat="1" customHeight="1" s="81">
      <c r="A70" s="114" t="inlineStr">
        <is>
          <t>1</t>
        </is>
      </c>
      <c r="B70" s="115" t="inlineStr">
        <is>
          <t>1.16.f</t>
        </is>
      </c>
      <c r="C70" s="116" t="inlineStr">
        <is>
          <t>Outsource</t>
        </is>
      </c>
      <c r="D70" s="117" t="inlineStr">
        <is>
          <t>Access Control</t>
        </is>
      </c>
      <c r="E70" s="118" t="inlineStr">
        <is>
          <t>3.1.20[f]</t>
        </is>
      </c>
      <c r="F70" s="118" t="inlineStr">
        <is>
          <t>03.01.20.f</t>
        </is>
      </c>
      <c r="G70" s="119" t="inlineStr">
        <is>
          <t>AC.L1-3.1.20</t>
        </is>
      </c>
      <c r="H70" s="120" t="n"/>
      <c r="I70" s="121" t="n"/>
      <c r="J70" s="119" t="inlineStr">
        <is>
          <t xml:space="preserve">use of external systems is controlled/limited.  </t>
        </is>
      </c>
      <c r="K70" s="122" t="n"/>
      <c r="L70" s="565" t="n"/>
      <c r="M70" s="112" t="inlineStr">
        <is>
          <t>Implementation Begun</t>
        </is>
      </c>
      <c r="N70" s="124" t="n"/>
      <c r="O70" s="125" t="n"/>
      <c r="P70" s="620" t="n"/>
    </row>
    <row r="71" ht="137.25" customFormat="1" customHeight="1" s="81">
      <c r="A71" s="91" t="inlineStr">
        <is>
          <t>1</t>
        </is>
      </c>
      <c r="B71" s="92" t="inlineStr">
        <is>
          <t>1.17.0</t>
        </is>
      </c>
      <c r="C71" s="93" t="inlineStr">
        <is>
          <t>DIY</t>
        </is>
      </c>
      <c r="D71" s="94" t="inlineStr">
        <is>
          <t>Access Control</t>
        </is>
      </c>
      <c r="E71" s="95" t="inlineStr">
        <is>
          <t>3.1.22</t>
        </is>
      </c>
      <c r="F71" s="95" t="inlineStr">
        <is>
          <t>03.01.22.0</t>
        </is>
      </c>
      <c r="G71" s="96" t="inlineStr">
        <is>
          <t>AC.L1-3.1.22</t>
        </is>
      </c>
      <c r="H71" s="97" t="n">
        <v>1</v>
      </c>
      <c r="I71" s="94" t="inlineStr">
        <is>
          <t>Control CUI posted or processed on publicly accessible systems.</t>
        </is>
      </c>
      <c r="J71" s="96" t="inlineStr">
        <is>
          <t>Determine if CUI posted or processed on publicly accessible systems is controlled.</t>
        </is>
      </c>
      <c r="K71" s="98" t="inlineStr">
        <is>
          <t>[No Comment Provided]</t>
        </is>
      </c>
      <c r="L71" s="565" t="inlineStr">
        <is>
          <t>CUI posted or processed on publicly accessible systems is controlled per the Public Posting Policy and CUI Program Policy. The organization's architecture is designed such that no CUI-bearing system has a publicly accessible endpoint — all organizational systems require authentication through Cloudflare Zero Trust for Government before any access is granted, regardless of whether the user is internal or external.</t>
        </is>
      </c>
      <c r="M71" s="99" t="inlineStr">
        <is>
          <t>Implementation Begun</t>
        </is>
      </c>
      <c r="N71" s="100" t="n"/>
      <c r="O71" s="101">
        <f t="array" ref="O71">IF(AND(M72="Fully Implemented",M73="Fully Implemented",M74="Fully Implemented",M75="Fully Implemented",M76="Fully Implemented"),0,-1*H71)</f>
        <v/>
      </c>
      <c r="P71" s="619" t="n"/>
      <c r="T71" s="102">
        <f t="array" ref="T71">IF(O71=0,H71,0)</f>
        <v/>
      </c>
    </row>
    <row r="72" ht="30" customFormat="1" customHeight="1" s="81">
      <c r="A72" s="103" t="inlineStr">
        <is>
          <t>1</t>
        </is>
      </c>
      <c r="B72" s="104" t="inlineStr">
        <is>
          <t>1.17.a</t>
        </is>
      </c>
      <c r="C72" s="105" t="inlineStr">
        <is>
          <t>DIY</t>
        </is>
      </c>
      <c r="D72" s="106" t="inlineStr">
        <is>
          <t>Access Control</t>
        </is>
      </c>
      <c r="E72" s="107" t="inlineStr">
        <is>
          <t>3.1.22[a]</t>
        </is>
      </c>
      <c r="F72" s="107" t="inlineStr">
        <is>
          <t>03.01.22.a</t>
        </is>
      </c>
      <c r="G72" s="108" t="inlineStr">
        <is>
          <t>AC.L1-3.1.22</t>
        </is>
      </c>
      <c r="H72" s="109" t="n"/>
      <c r="I72" s="110" t="n"/>
      <c r="J72" s="108" t="inlineStr">
        <is>
          <t>individuals authorized to post or process information on publicly accessible systems are identified.</t>
        </is>
      </c>
      <c r="K72" s="111" t="n"/>
      <c r="L72" s="565" t="n"/>
      <c r="M72" s="112" t="inlineStr">
        <is>
          <t>Implementation Begun</t>
        </is>
      </c>
      <c r="O72" s="113" t="n"/>
      <c r="P72" s="620" t="n"/>
    </row>
    <row r="73" ht="30" customFormat="1" customHeight="1" s="81">
      <c r="A73" s="103" t="inlineStr">
        <is>
          <t>1</t>
        </is>
      </c>
      <c r="B73" s="104" t="inlineStr">
        <is>
          <t>1.17.b</t>
        </is>
      </c>
      <c r="C73" s="105" t="inlineStr">
        <is>
          <t>DIY</t>
        </is>
      </c>
      <c r="D73" s="106" t="inlineStr">
        <is>
          <t>Access Control</t>
        </is>
      </c>
      <c r="E73" s="107" t="inlineStr">
        <is>
          <t>3.1.22[b]</t>
        </is>
      </c>
      <c r="F73" s="107" t="inlineStr">
        <is>
          <t>03.01.22.b</t>
        </is>
      </c>
      <c r="G73" s="108" t="inlineStr">
        <is>
          <t>AC.L1-3.1.22</t>
        </is>
      </c>
      <c r="H73" s="109" t="n"/>
      <c r="I73" s="110" t="n"/>
      <c r="J73" s="108" t="inlineStr">
        <is>
          <t>procedures to ensure CUI is not posted or processed on publicly accessible systems are identified.</t>
        </is>
      </c>
      <c r="K73" s="111" t="n"/>
      <c r="L73" s="565" t="inlineStr">
        <is>
          <t>Microsoft Purview sensitivity labels classify all CUI within M365 GCCH. DLP policies enforce that CUI-labeled content cannot be posted to public SharePoint sites, external Teams channels, or any external-facing M365 surface. SharePoint external sharing is disabled at the tenant level. Azure Policy enforces that all Azure GCCH storage accounts have public blob access disabled — any attempt to enable public access is blocked and generates an alert in Microsoft Defender for Cloud. All Azure GCCH services are accessible only via Private Endpoints within the authorization boundary.</t>
        </is>
      </c>
      <c r="M73" s="112" t="inlineStr">
        <is>
          <t>Implementation Begun</t>
        </is>
      </c>
      <c r="O73" s="113" t="n"/>
      <c r="P73" s="620" t="n"/>
    </row>
    <row r="74" ht="30" customFormat="1" customHeight="1" s="81">
      <c r="A74" s="103" t="inlineStr">
        <is>
          <t>1</t>
        </is>
      </c>
      <c r="B74" s="104" t="inlineStr">
        <is>
          <t>1.17.c</t>
        </is>
      </c>
      <c r="C74" s="105" t="inlineStr">
        <is>
          <t>DIY</t>
        </is>
      </c>
      <c r="D74" s="106" t="inlineStr">
        <is>
          <t>Access Control</t>
        </is>
      </c>
      <c r="E74" s="107" t="inlineStr">
        <is>
          <t>3.1.22[c]</t>
        </is>
      </c>
      <c r="F74" s="107" t="inlineStr">
        <is>
          <t>03.01.22.c</t>
        </is>
      </c>
      <c r="G74" s="108" t="inlineStr">
        <is>
          <t>AC.L1-3.1.22</t>
        </is>
      </c>
      <c r="H74" s="109" t="n"/>
      <c r="I74" s="110" t="n"/>
      <c r="J74" s="108" t="inlineStr">
        <is>
          <t>a review process in in place prior to posting of any content to publicly accessible systems.</t>
        </is>
      </c>
      <c r="K74" s="111" t="n"/>
      <c r="L74" s="565" t="n"/>
      <c r="M74" s="112" t="inlineStr">
        <is>
          <t>Implementation Begun</t>
        </is>
      </c>
      <c r="O74" s="113" t="n"/>
      <c r="P74" s="620" t="n"/>
    </row>
    <row r="75" ht="30" customFormat="1" customHeight="1" s="81">
      <c r="A75" s="103" t="inlineStr">
        <is>
          <t>1</t>
        </is>
      </c>
      <c r="B75" s="104" t="inlineStr">
        <is>
          <t>1.17.d</t>
        </is>
      </c>
      <c r="C75" s="105" t="inlineStr">
        <is>
          <t>DIY</t>
        </is>
      </c>
      <c r="D75" s="106" t="inlineStr">
        <is>
          <t>Access Control</t>
        </is>
      </c>
      <c r="E75" s="107" t="inlineStr">
        <is>
          <t>3.1.22[d]</t>
        </is>
      </c>
      <c r="F75" s="107" t="inlineStr">
        <is>
          <t>03.01.22.d</t>
        </is>
      </c>
      <c r="G75" s="108" t="inlineStr">
        <is>
          <t>AC.L1-3.1.22</t>
        </is>
      </c>
      <c r="H75" s="109" t="n"/>
      <c r="I75" s="110" t="n"/>
      <c r="J75" s="108" t="inlineStr">
        <is>
          <t>content on publicly accessible information systems is reviewed to ensure that it does not include CUI.</t>
        </is>
      </c>
      <c r="K75" s="111" t="n"/>
      <c r="L75" s="565" t="inlineStr">
        <is>
          <t>Cloudflare Gateway DLP policies scan all outbound HTTP traffic from managed endpoints for CUI data patterns, blocking or alerting on any attempt to upload or post CUI to external or public destinations. Cloudflare CASB performs continuous scanning of connected SaaS applications to detect publicly shared files or content containing CUI. Intune App Protection Policies prevent copy-paste transfer of CUI from managed applications to unmanaged or public-facing applications on all enrolled devices.</t>
        </is>
      </c>
      <c r="M75" s="112" t="inlineStr">
        <is>
          <t>Implementation Begun</t>
        </is>
      </c>
      <c r="O75" s="113" t="n"/>
      <c r="P75" s="620" t="n"/>
    </row>
    <row r="76" ht="30.75" customFormat="1" customHeight="1" s="81">
      <c r="A76" s="114" t="inlineStr">
        <is>
          <t>1</t>
        </is>
      </c>
      <c r="B76" s="115" t="inlineStr">
        <is>
          <t>1.17.e</t>
        </is>
      </c>
      <c r="C76" s="116" t="inlineStr">
        <is>
          <t>DIY</t>
        </is>
      </c>
      <c r="D76" s="117" t="inlineStr">
        <is>
          <t>Access Control</t>
        </is>
      </c>
      <c r="E76" s="118" t="inlineStr">
        <is>
          <t>3.1.22[e]</t>
        </is>
      </c>
      <c r="F76" s="118" t="inlineStr">
        <is>
          <t>03.01.22.e</t>
        </is>
      </c>
      <c r="G76" s="119" t="inlineStr">
        <is>
          <t>AC.L1-3.1.22</t>
        </is>
      </c>
      <c r="H76" s="120" t="n"/>
      <c r="I76" s="121" t="n"/>
      <c r="J76" s="119" t="inlineStr">
        <is>
          <t>mechanisms are in place to remove and address improper posting of CUI.</t>
        </is>
      </c>
      <c r="K76" s="122" t="n"/>
      <c r="L76" s="565" t="n"/>
      <c r="M76" s="112" t="inlineStr">
        <is>
          <t>Implementation Begun</t>
        </is>
      </c>
      <c r="N76" s="124" t="n"/>
      <c r="O76" s="125" t="n"/>
      <c r="P76" s="620" t="n"/>
    </row>
    <row r="77" ht="45" customFormat="1" customHeight="1" s="81">
      <c r="A77" s="145" t="inlineStr">
        <is>
          <t>2</t>
        </is>
      </c>
      <c r="B77" s="146" t="inlineStr">
        <is>
          <t>2.01.0</t>
        </is>
      </c>
      <c r="C77" s="93" t="inlineStr">
        <is>
          <t>Hybrid</t>
        </is>
      </c>
      <c r="D77" s="94" t="inlineStr">
        <is>
          <t>Security Assessment</t>
        </is>
      </c>
      <c r="E77" s="95" t="inlineStr">
        <is>
          <t>3.12.1</t>
        </is>
      </c>
      <c r="F77" s="95" t="inlineStr">
        <is>
          <t>03.12.01.0</t>
        </is>
      </c>
      <c r="G77" s="96" t="inlineStr">
        <is>
          <t>CA.L2-3.12.1</t>
        </is>
      </c>
      <c r="H77" s="97" t="n">
        <v>5</v>
      </c>
      <c r="I77" s="94" t="inlineStr">
        <is>
          <t xml:space="preserve">Periodically assess the security controls in organizational systems to determine if the controls are effective in their application. </t>
        </is>
      </c>
      <c r="J77" s="96" t="inlineStr">
        <is>
          <t>Determine if:</t>
        </is>
      </c>
      <c r="K77" s="98" t="inlineStr">
        <is>
          <t>[No Comment Provided]</t>
        </is>
      </c>
      <c r="L77" s="565" t="inlineStr">
        <is>
          <t>A designated Content Review Officer conducts quarterly reviews of all publicly accessible organizational web properties and content per the Publicly Accessible System Review SOP. Purview Content Explorer is used during each review cycle to identify any CUI-labeled content residing outside the authorization boundary. All findings are documented, remediated within 72 hours, and recorded in the organization's Plan of Action and Milestones (POA&amp;M) if systemic issues are identified.</t>
        </is>
      </c>
      <c r="M77" s="99" t="inlineStr">
        <is>
          <t>Implementation Begun</t>
        </is>
      </c>
      <c r="N77" s="100" t="n"/>
      <c r="O77" s="101">
        <f t="array" ref="O77">IF(AND(M78="Fully Implemented",M79="Fully Implemented"),0,-1*H77)</f>
        <v/>
      </c>
      <c r="P77" s="619" t="n"/>
      <c r="T77" s="102">
        <f t="array" ref="T77">IF(O77=0,H77,0)</f>
        <v/>
      </c>
      <c r="U77" s="102">
        <f t="array" ref="U77">SUM(T77:T163)</f>
        <v/>
      </c>
      <c r="V77" s="102" t="n">
        <v>0</v>
      </c>
    </row>
    <row r="78" ht="30" customFormat="1" customHeight="1" s="81">
      <c r="A78" s="148" t="inlineStr">
        <is>
          <t>2</t>
        </is>
      </c>
      <c r="B78" s="149" t="inlineStr">
        <is>
          <t>2.01.a</t>
        </is>
      </c>
      <c r="C78" s="105" t="inlineStr">
        <is>
          <t>DIY</t>
        </is>
      </c>
      <c r="D78" s="106" t="inlineStr">
        <is>
          <t>Security Assessment</t>
        </is>
      </c>
      <c r="E78" s="107" t="inlineStr">
        <is>
          <t>3.12.1[a]</t>
        </is>
      </c>
      <c r="F78" s="107" t="inlineStr">
        <is>
          <t>03.12.01.a</t>
        </is>
      </c>
      <c r="G78" s="108" t="inlineStr">
        <is>
          <t>CA.L2-3.12.1</t>
        </is>
      </c>
      <c r="H78" s="150" t="n"/>
      <c r="I78" s="151" t="n"/>
      <c r="J78" s="108" t="inlineStr">
        <is>
          <t>the frequency of security control assessments is defined.</t>
        </is>
      </c>
      <c r="K78" s="152" t="n"/>
      <c r="M78" s="112" t="inlineStr">
        <is>
          <t>Implementation Begun</t>
        </is>
      </c>
      <c r="O78" s="153" t="n"/>
      <c r="P78" s="621" t="n"/>
    </row>
    <row r="79" ht="45.75" customFormat="1" customHeight="1" s="81">
      <c r="A79" s="154" t="inlineStr">
        <is>
          <t>2</t>
        </is>
      </c>
      <c r="B79" s="155" t="inlineStr">
        <is>
          <t>2.01.b</t>
        </is>
      </c>
      <c r="C79" s="116" t="inlineStr">
        <is>
          <t>Outsource</t>
        </is>
      </c>
      <c r="D79" s="117" t="inlineStr">
        <is>
          <t>Security Assessment</t>
        </is>
      </c>
      <c r="E79" s="118" t="inlineStr">
        <is>
          <t>3.12.1[b]</t>
        </is>
      </c>
      <c r="F79" s="118" t="inlineStr">
        <is>
          <t>03.12.01.b</t>
        </is>
      </c>
      <c r="G79" s="119" t="inlineStr">
        <is>
          <t>CA.L2-3.12.1</t>
        </is>
      </c>
      <c r="H79" s="156" t="n"/>
      <c r="I79" s="160" t="n"/>
      <c r="J79" s="119" t="inlineStr">
        <is>
          <t>security controls are assessed with the defined frequency to determine if the controls are effective in their application.</t>
        </is>
      </c>
      <c r="K79" s="158" t="n"/>
      <c r="M79" s="112" t="inlineStr">
        <is>
          <t>Implementation Begun</t>
        </is>
      </c>
      <c r="N79" s="124" t="n"/>
      <c r="O79" s="159" t="n"/>
      <c r="P79" s="621" t="n"/>
    </row>
    <row r="80" ht="90" customFormat="1" customHeight="1" s="81">
      <c r="A80" s="145" t="inlineStr">
        <is>
          <t>2</t>
        </is>
      </c>
      <c r="B80" s="146" t="inlineStr">
        <is>
          <t>2.02.0</t>
        </is>
      </c>
      <c r="C80" s="93" t="inlineStr">
        <is>
          <t>Hybrid</t>
        </is>
      </c>
      <c r="D80" s="94" t="inlineStr">
        <is>
          <t>Security Assessment</t>
        </is>
      </c>
      <c r="E80" s="95" t="inlineStr">
        <is>
          <t>3.12.4</t>
        </is>
      </c>
      <c r="F80" s="95" t="inlineStr">
        <is>
          <t>03.12.04.0</t>
        </is>
      </c>
      <c r="G80" s="96" t="inlineStr">
        <is>
          <t>CA.L2-3.12.4</t>
        </is>
      </c>
      <c r="H80" s="97" t="n">
        <v>0</v>
      </c>
      <c r="I80" s="94" t="inlineStr">
        <is>
          <t xml:space="preserve">Develop, document, and periodically update system security plans that describe system boundaries, system environments of operation, how security requirements are implemented, and the relationships with or connections to other systems. </t>
        </is>
      </c>
      <c r="J80" s="96" t="inlineStr">
        <is>
          <t>Determine if:</t>
        </is>
      </c>
      <c r="K80" s="138" t="inlineStr">
        <is>
          <t>The absence of a system security plan would result in a finding that ‘an assessment could not be completed due to incomplete information and noncompliance with
DFARS clause 252.204-7012.’</t>
        </is>
      </c>
      <c r="M80" s="147">
        <f t="array" ref="M80">IF(AND(M81="Fully Implemented",M82="Fully Implemented",M83="Fully Implemented",M84="Fully Implemented",M85="Fully Implemented",M86="Fully Implemented",M87="Fully Implemented"),"Fully Implemented","")</f>
        <v/>
      </c>
      <c r="N80" s="100" t="n"/>
      <c r="O80" s="101">
        <f t="array" ref="O80">IF(AND(M81="Fully Implemented",M82="Fully Implemented",M83="Fully Implemented",M84="Fully Implemented",M85="Fully Implemented",M86="Fully Implemented",M87="Fully Implemented"),0,-1000)</f>
        <v/>
      </c>
      <c r="P80" s="619" t="n"/>
      <c r="T80" s="102">
        <f t="array" ref="T80">IF(O80=0,10,0)</f>
        <v/>
      </c>
    </row>
    <row r="81" ht="13.5" customFormat="1" customHeight="1" s="81">
      <c r="A81" s="148" t="inlineStr">
        <is>
          <t>2</t>
        </is>
      </c>
      <c r="B81" s="149" t="inlineStr">
        <is>
          <t>2.02.a</t>
        </is>
      </c>
      <c r="C81" s="105" t="inlineStr">
        <is>
          <t>DIY</t>
        </is>
      </c>
      <c r="D81" s="106" t="inlineStr">
        <is>
          <t>Security Assessment</t>
        </is>
      </c>
      <c r="E81" s="107" t="inlineStr">
        <is>
          <t>3.12.4[a]</t>
        </is>
      </c>
      <c r="F81" s="107" t="inlineStr">
        <is>
          <t>03.12.04.a</t>
        </is>
      </c>
      <c r="G81" s="108" t="inlineStr">
        <is>
          <t>CA.L2-3.12.4</t>
        </is>
      </c>
      <c r="H81" s="150" t="n"/>
      <c r="I81" s="151" t="n"/>
      <c r="J81" s="108" t="inlineStr">
        <is>
          <t>a system security plan is developed.</t>
        </is>
      </c>
      <c r="K81" s="152" t="n"/>
      <c r="M81" s="112" t="inlineStr">
        <is>
          <t>Implementation Begun</t>
        </is>
      </c>
      <c r="O81" s="153" t="n"/>
      <c r="P81" s="621" t="n"/>
    </row>
    <row r="82" ht="30" customFormat="1" customHeight="1" s="81">
      <c r="A82" s="148" t="inlineStr">
        <is>
          <t>2</t>
        </is>
      </c>
      <c r="B82" s="149" t="inlineStr">
        <is>
          <t>2.02.b</t>
        </is>
      </c>
      <c r="C82" s="105" t="inlineStr">
        <is>
          <t>Outsource</t>
        </is>
      </c>
      <c r="D82" s="106" t="inlineStr">
        <is>
          <t>Security Assessment</t>
        </is>
      </c>
      <c r="E82" s="107" t="inlineStr">
        <is>
          <t>3.12.4[b]</t>
        </is>
      </c>
      <c r="F82" s="107" t="inlineStr">
        <is>
          <t>03.12.04.b</t>
        </is>
      </c>
      <c r="G82" s="108" t="inlineStr">
        <is>
          <t>CA.L2-3.12.4</t>
        </is>
      </c>
      <c r="H82" s="150" t="n"/>
      <c r="I82" s="151" t="n"/>
      <c r="J82" s="108" t="inlineStr">
        <is>
          <t xml:space="preserve">the system boundary is described and documented in the system security plan. </t>
        </is>
      </c>
      <c r="K82" s="152" t="n"/>
      <c r="M82" s="112" t="inlineStr">
        <is>
          <t>Implementation Begun</t>
        </is>
      </c>
      <c r="O82" s="153" t="n"/>
      <c r="P82" s="621" t="n"/>
    </row>
    <row r="83" ht="30" customFormat="1" customHeight="1" s="81">
      <c r="A83" s="148" t="inlineStr">
        <is>
          <t>2</t>
        </is>
      </c>
      <c r="B83" s="149" t="inlineStr">
        <is>
          <t>2.02.c</t>
        </is>
      </c>
      <c r="C83" s="105" t="inlineStr">
        <is>
          <t>Outsource</t>
        </is>
      </c>
      <c r="D83" s="106" t="inlineStr">
        <is>
          <t>Security Assessment</t>
        </is>
      </c>
      <c r="E83" s="107" t="inlineStr">
        <is>
          <t>3.12.4[c]</t>
        </is>
      </c>
      <c r="F83" s="107" t="inlineStr">
        <is>
          <t>03.12.04.c</t>
        </is>
      </c>
      <c r="G83" s="108" t="inlineStr">
        <is>
          <t>CA.L2-3.12.4</t>
        </is>
      </c>
      <c r="H83" s="150" t="n"/>
      <c r="I83" s="151" t="n"/>
      <c r="J83" s="108" t="inlineStr">
        <is>
          <t>the system environment of operation is described and documented in the system security plan.</t>
        </is>
      </c>
      <c r="K83" s="152" t="n"/>
      <c r="M83" s="112" t="inlineStr">
        <is>
          <t>Implementation Begun</t>
        </is>
      </c>
      <c r="O83" s="153" t="n"/>
      <c r="P83" s="621" t="n"/>
    </row>
    <row r="84" ht="45" customFormat="1" customHeight="1" s="81">
      <c r="A84" s="148" t="inlineStr">
        <is>
          <t>2</t>
        </is>
      </c>
      <c r="B84" s="149" t="inlineStr">
        <is>
          <t>2.02.d</t>
        </is>
      </c>
      <c r="C84" s="105" t="inlineStr">
        <is>
          <t>Outsource</t>
        </is>
      </c>
      <c r="D84" s="106" t="inlineStr">
        <is>
          <t>Security Assessment</t>
        </is>
      </c>
      <c r="E84" s="107" t="inlineStr">
        <is>
          <t>3.12.4[d]</t>
        </is>
      </c>
      <c r="F84" s="107" t="inlineStr">
        <is>
          <t>03.12.04.d</t>
        </is>
      </c>
      <c r="G84" s="108" t="inlineStr">
        <is>
          <t>CA.L2-3.12.4</t>
        </is>
      </c>
      <c r="H84" s="150" t="n"/>
      <c r="I84" s="151" t="n"/>
      <c r="J84" s="108" t="inlineStr">
        <is>
          <t>the security requirements identified and approved by the designated authority as non-applicable are identified.</t>
        </is>
      </c>
      <c r="K84" s="152" t="n"/>
      <c r="M84" s="112" t="inlineStr">
        <is>
          <t>Implementation Begun</t>
        </is>
      </c>
      <c r="O84" s="153" t="n"/>
      <c r="P84" s="621" t="n"/>
    </row>
    <row r="85" ht="45" customFormat="1" customHeight="1" s="81">
      <c r="A85" s="148" t="inlineStr">
        <is>
          <t>2</t>
        </is>
      </c>
      <c r="B85" s="149" t="inlineStr">
        <is>
          <t>2.02.e</t>
        </is>
      </c>
      <c r="C85" s="105" t="inlineStr">
        <is>
          <t>Outsource</t>
        </is>
      </c>
      <c r="D85" s="106" t="inlineStr">
        <is>
          <t>Security Assessment</t>
        </is>
      </c>
      <c r="E85" s="107" t="inlineStr">
        <is>
          <t>3.12.4[e]</t>
        </is>
      </c>
      <c r="F85" s="107" t="inlineStr">
        <is>
          <t>03.12.04.e</t>
        </is>
      </c>
      <c r="G85" s="108" t="inlineStr">
        <is>
          <t>CA.L2-3.12.4</t>
        </is>
      </c>
      <c r="H85" s="150" t="n"/>
      <c r="I85" s="151" t="n"/>
      <c r="J85" s="108" t="inlineStr">
        <is>
          <t>the method of security requirement implementation is described and documented in the system security plan.</t>
        </is>
      </c>
      <c r="K85" s="152" t="n"/>
      <c r="M85" s="112" t="inlineStr">
        <is>
          <t>Implementation Begun</t>
        </is>
      </c>
      <c r="O85" s="153" t="n"/>
      <c r="P85" s="621" t="n"/>
    </row>
    <row r="86" ht="45" customFormat="1" customHeight="1" s="81">
      <c r="A86" s="148" t="inlineStr">
        <is>
          <t>2</t>
        </is>
      </c>
      <c r="B86" s="149" t="inlineStr">
        <is>
          <t>2.02.f</t>
        </is>
      </c>
      <c r="C86" s="105" t="inlineStr">
        <is>
          <t>Outsource</t>
        </is>
      </c>
      <c r="D86" s="106" t="inlineStr">
        <is>
          <t>Security Assessment</t>
        </is>
      </c>
      <c r="E86" s="107" t="inlineStr">
        <is>
          <t>3.12.4[f]</t>
        </is>
      </c>
      <c r="F86" s="107" t="inlineStr">
        <is>
          <t>03.12.04.f</t>
        </is>
      </c>
      <c r="G86" s="108" t="inlineStr">
        <is>
          <t>CA.L2-3.12.4</t>
        </is>
      </c>
      <c r="H86" s="150" t="n"/>
      <c r="I86" s="151" t="n"/>
      <c r="J86" s="108" t="inlineStr">
        <is>
          <t>the relationship with or connection to other systems is described and documented in the system security plan.</t>
        </is>
      </c>
      <c r="K86" s="152" t="n"/>
      <c r="M86" s="112" t="inlineStr">
        <is>
          <t>Implementation Begun</t>
        </is>
      </c>
      <c r="O86" s="153" t="n"/>
      <c r="P86" s="621" t="n"/>
    </row>
    <row r="87" ht="30" customFormat="1" customHeight="1" s="81">
      <c r="A87" s="148" t="inlineStr">
        <is>
          <t>2</t>
        </is>
      </c>
      <c r="B87" s="149" t="inlineStr">
        <is>
          <t>2.02.g</t>
        </is>
      </c>
      <c r="C87" s="105" t="inlineStr">
        <is>
          <t>DIY</t>
        </is>
      </c>
      <c r="D87" s="106" t="inlineStr">
        <is>
          <t>Security Assessment</t>
        </is>
      </c>
      <c r="E87" s="107" t="inlineStr">
        <is>
          <t>3.12.4[g]</t>
        </is>
      </c>
      <c r="F87" s="107" t="inlineStr">
        <is>
          <t>03.12.04.g</t>
        </is>
      </c>
      <c r="G87" s="108" t="inlineStr">
        <is>
          <t>CA.L2-3.12.4</t>
        </is>
      </c>
      <c r="H87" s="150" t="n"/>
      <c r="I87" s="151" t="n"/>
      <c r="J87" s="108" t="inlineStr">
        <is>
          <t>the frequency to update the system security plan is defined.</t>
        </is>
      </c>
      <c r="K87" s="152" t="n"/>
      <c r="M87" s="112" t="inlineStr">
        <is>
          <t>Implementation Begun</t>
        </is>
      </c>
      <c r="O87" s="153" t="n"/>
      <c r="P87" s="621" t="n"/>
    </row>
    <row r="88" ht="30.75" customFormat="1" customHeight="1" s="81">
      <c r="A88" s="160" t="n">
        <v>2</v>
      </c>
      <c r="B88" s="155" t="inlineStr">
        <is>
          <t>2.02.h</t>
        </is>
      </c>
      <c r="C88" s="116" t="inlineStr">
        <is>
          <t>DIY</t>
        </is>
      </c>
      <c r="D88" s="117" t="inlineStr">
        <is>
          <t>Security Assessment</t>
        </is>
      </c>
      <c r="E88" s="118" t="inlineStr">
        <is>
          <t>3.12.4[h]</t>
        </is>
      </c>
      <c r="F88" s="118" t="inlineStr">
        <is>
          <t>3.12.04.h</t>
        </is>
      </c>
      <c r="G88" s="119" t="inlineStr">
        <is>
          <t>CA.L2-3.12.4</t>
        </is>
      </c>
      <c r="H88" s="156" t="n"/>
      <c r="I88" s="160" t="n"/>
      <c r="J88" s="119" t="inlineStr">
        <is>
          <t>system security plan is updated with the defined frequency.</t>
        </is>
      </c>
      <c r="K88" s="158" t="n"/>
      <c r="M88" s="112" t="inlineStr">
        <is>
          <t>Implementation Begun</t>
        </is>
      </c>
      <c r="N88" s="124" t="n"/>
      <c r="O88" s="159" t="n"/>
      <c r="P88" s="621" t="n"/>
    </row>
    <row r="89" ht="45" customFormat="1" customHeight="1" s="81">
      <c r="A89" s="145" t="inlineStr">
        <is>
          <t>2</t>
        </is>
      </c>
      <c r="B89" s="146" t="inlineStr">
        <is>
          <t>2.03.0</t>
        </is>
      </c>
      <c r="C89" s="93" t="inlineStr">
        <is>
          <t>Outsource</t>
        </is>
      </c>
      <c r="D89" s="94" t="inlineStr">
        <is>
          <t>Identification and Authentication</t>
        </is>
      </c>
      <c r="E89" s="95" t="inlineStr">
        <is>
          <t>3.5.3</t>
        </is>
      </c>
      <c r="F89" s="95" t="inlineStr">
        <is>
          <t>03.05.03.0</t>
        </is>
      </c>
      <c r="G89" s="96" t="inlineStr">
        <is>
          <t>IA.L2-3.5.3</t>
        </is>
      </c>
      <c r="H89" s="97" t="n">
        <v>5</v>
      </c>
      <c r="I89" s="94" t="inlineStr">
        <is>
          <t>Use multifactor authentication for local and network access to privileged accounts and for network access to non-privileged accounts.</t>
        </is>
      </c>
      <c r="J89" s="96" t="inlineStr">
        <is>
          <t>Determine if:</t>
        </is>
      </c>
      <c r="K89" s="138" t="inlineStr">
        <is>
          <t>Subtract 5 points if MFA not implemented.  Subtract 3 points if implemented for remote and privileged users, but not the general user</t>
        </is>
      </c>
      <c r="M89" s="147">
        <f t="array" ref="M89">IF(AND(M90="Fully Implemented",M91="Fully Implemented",M92="Fully Implemented",M93="Fully Implemented"),"Fully Implemented","")</f>
        <v/>
      </c>
      <c r="N89" s="100" t="n"/>
      <c r="O89" s="101">
        <f t="array" ref="O89">IF(AND(M90="Fully Implemented",M91="Fully Implemented",M92="Fully Implemented",M93="Fully Implemented"),0,IF(AND(M90="Fully Implemented",M91="Fully Implemented",M92="Fully Implemented"),-3,-5))</f>
        <v/>
      </c>
      <c r="P89" s="619" t="n"/>
      <c r="T89" s="102">
        <f t="array" ref="T89">IF(O89=0,H89,0)</f>
        <v/>
      </c>
    </row>
    <row r="90" ht="30" customFormat="1" customHeight="1" s="81">
      <c r="A90" s="148" t="inlineStr">
        <is>
          <t>2</t>
        </is>
      </c>
      <c r="B90" s="149" t="inlineStr">
        <is>
          <t>2.03.a</t>
        </is>
      </c>
      <c r="C90" s="105" t="inlineStr">
        <is>
          <t>Outsource</t>
        </is>
      </c>
      <c r="D90" s="106" t="inlineStr">
        <is>
          <t>Identification and Authentication</t>
        </is>
      </c>
      <c r="E90" s="107" t="inlineStr">
        <is>
          <t>3.5.3[a]</t>
        </is>
      </c>
      <c r="F90" s="107" t="inlineStr">
        <is>
          <t>03.05.03.a</t>
        </is>
      </c>
      <c r="G90" s="108" t="inlineStr">
        <is>
          <t>IA.L2-3.5.3</t>
        </is>
      </c>
      <c r="H90" s="150" t="n"/>
      <c r="I90" s="151" t="n"/>
      <c r="J90" s="108" t="inlineStr">
        <is>
          <t>privileged accounts are identified.</t>
        </is>
      </c>
      <c r="K90" s="152" t="n"/>
      <c r="M90" s="112" t="inlineStr">
        <is>
          <t>Implementation Begun</t>
        </is>
      </c>
      <c r="O90" s="153" t="n"/>
      <c r="P90" s="621" t="n"/>
    </row>
    <row r="91" ht="30" customFormat="1" customHeight="1" s="81">
      <c r="A91" s="148" t="inlineStr">
        <is>
          <t>2</t>
        </is>
      </c>
      <c r="B91" s="149" t="inlineStr">
        <is>
          <t>2.03.b</t>
        </is>
      </c>
      <c r="C91" s="105" t="inlineStr">
        <is>
          <t>Outsource</t>
        </is>
      </c>
      <c r="D91" s="106" t="inlineStr">
        <is>
          <t>Identification and Authentication</t>
        </is>
      </c>
      <c r="E91" s="107" t="inlineStr">
        <is>
          <t>3.5.3[b]</t>
        </is>
      </c>
      <c r="F91" s="107" t="inlineStr">
        <is>
          <t>03.05.03.b</t>
        </is>
      </c>
      <c r="G91" s="108" t="inlineStr">
        <is>
          <t>IA.L2-3.5.3</t>
        </is>
      </c>
      <c r="H91" s="150" t="n"/>
      <c r="I91" s="151" t="n"/>
      <c r="J91" s="108" t="inlineStr">
        <is>
          <t>multifactor authentication is implemented for local access to privileged accounts.</t>
        </is>
      </c>
      <c r="K91" s="152" t="n"/>
      <c r="M91" s="112" t="inlineStr">
        <is>
          <t>Implementation Begun</t>
        </is>
      </c>
      <c r="O91" s="153" t="n"/>
      <c r="P91" s="621" t="n"/>
    </row>
    <row r="92" ht="30" customFormat="1" customHeight="1" s="81">
      <c r="A92" s="148" t="inlineStr">
        <is>
          <t>2</t>
        </is>
      </c>
      <c r="B92" s="149" t="inlineStr">
        <is>
          <t>2.03.c</t>
        </is>
      </c>
      <c r="C92" s="105" t="inlineStr">
        <is>
          <t>Outsource</t>
        </is>
      </c>
      <c r="D92" s="106" t="inlineStr">
        <is>
          <t>Identification and Authentication</t>
        </is>
      </c>
      <c r="E92" s="107" t="inlineStr">
        <is>
          <t>3.5.3[c]</t>
        </is>
      </c>
      <c r="F92" s="107" t="inlineStr">
        <is>
          <t>03.05.03.c</t>
        </is>
      </c>
      <c r="G92" s="108" t="inlineStr">
        <is>
          <t>IA.L2-3.5.3</t>
        </is>
      </c>
      <c r="H92" s="150" t="n"/>
      <c r="I92" s="151" t="n"/>
      <c r="J92" s="108" t="inlineStr">
        <is>
          <t>multifactor authentication is implemented for network access to privileged accounts.</t>
        </is>
      </c>
      <c r="K92" s="152" t="n"/>
      <c r="M92" s="112" t="inlineStr">
        <is>
          <t>Implementation Begun</t>
        </is>
      </c>
      <c r="O92" s="153" t="n"/>
      <c r="P92" s="621" t="n"/>
    </row>
    <row r="93" ht="30.75" customFormat="1" customHeight="1" s="81">
      <c r="A93" s="154" t="inlineStr">
        <is>
          <t>2</t>
        </is>
      </c>
      <c r="B93" s="155" t="inlineStr">
        <is>
          <t>2.03.d</t>
        </is>
      </c>
      <c r="C93" s="116" t="inlineStr">
        <is>
          <t>Outsource</t>
        </is>
      </c>
      <c r="D93" s="117" t="inlineStr">
        <is>
          <t>Identification and Authentication</t>
        </is>
      </c>
      <c r="E93" s="118" t="inlineStr">
        <is>
          <t>3.5.3[d]</t>
        </is>
      </c>
      <c r="F93" s="118" t="inlineStr">
        <is>
          <t>03.05.03.d</t>
        </is>
      </c>
      <c r="G93" s="119" t="inlineStr">
        <is>
          <t>IA.L2-3.5.3</t>
        </is>
      </c>
      <c r="H93" s="156" t="n"/>
      <c r="I93" s="160" t="n"/>
      <c r="J93" s="119" t="inlineStr">
        <is>
          <t>multifactor authentication is implemented for network access to non-privileged accounts.</t>
        </is>
      </c>
      <c r="K93" s="158" t="n"/>
      <c r="M93" s="112" t="inlineStr">
        <is>
          <t>Implementation Begun</t>
        </is>
      </c>
      <c r="N93" s="124" t="n"/>
      <c r="O93" s="159" t="n"/>
      <c r="P93" s="621" t="n"/>
    </row>
    <row r="94" ht="75" customFormat="1" customHeight="1" s="81">
      <c r="A94" s="145" t="inlineStr">
        <is>
          <t>2</t>
        </is>
      </c>
      <c r="B94" s="146" t="inlineStr">
        <is>
          <t>2.04.0</t>
        </is>
      </c>
      <c r="C94" s="93" t="inlineStr">
        <is>
          <t>Outsource</t>
        </is>
      </c>
      <c r="D94" s="94" t="inlineStr">
        <is>
          <t>Maintenance</t>
        </is>
      </c>
      <c r="E94" s="95" t="inlineStr">
        <is>
          <t>3.7.5</t>
        </is>
      </c>
      <c r="F94" s="95" t="inlineStr">
        <is>
          <t>03.07.05.0</t>
        </is>
      </c>
      <c r="G94" s="96" t="inlineStr">
        <is>
          <t>MA.L2-3.7.5</t>
        </is>
      </c>
      <c r="H94" s="97" t="n">
        <v>5</v>
      </c>
      <c r="I94" s="94" t="inlineStr">
        <is>
          <t xml:space="preserve">Require multifactor authentication to establish nonlocal maintenance sessions via external network connections and terminate such connections when nonlocal maintenance is complete. </t>
        </is>
      </c>
      <c r="J94" s="96" t="inlineStr">
        <is>
          <t>Determine if:</t>
        </is>
      </c>
      <c r="K94" s="98" t="inlineStr">
        <is>
          <t>[No Comment Provided]</t>
        </is>
      </c>
      <c r="L94" s="565" t="inlineStr">
        <is>
          <t xml:space="preserve">Overall Status - Pending policy/procedure review meeting and observation of controls in place. 
Updates required to documentation
Test required for validating controls in place
Examine - Policy updates may be required based on interviews/walkthroughs. 
Interview  Controls are currently being implemented. - 
Test - Review testing measures in place. </t>
        </is>
      </c>
      <c r="M94" s="99" t="inlineStr">
        <is>
          <t>Implementation Begun</t>
        </is>
      </c>
      <c r="N94" s="100" t="n"/>
      <c r="O94" s="101">
        <f t="array" ref="O94">IF(AND(M95="Fully Implemented",M96="Fully Implemented"),0,-1*H94)</f>
        <v/>
      </c>
      <c r="P94" s="619" t="n"/>
      <c r="T94" s="102">
        <f t="array" ref="T94">IF(O94=0,H94,0)</f>
        <v/>
      </c>
    </row>
    <row r="95" ht="45" customFormat="1" customHeight="1" s="81">
      <c r="A95" s="148" t="inlineStr">
        <is>
          <t>2</t>
        </is>
      </c>
      <c r="B95" s="149" t="inlineStr">
        <is>
          <t>2.04.a</t>
        </is>
      </c>
      <c r="C95" s="105" t="inlineStr">
        <is>
          <t>Outsource</t>
        </is>
      </c>
      <c r="D95" s="106" t="inlineStr">
        <is>
          <t>Maintenance</t>
        </is>
      </c>
      <c r="E95" s="107" t="inlineStr">
        <is>
          <t>3.7.5[a]</t>
        </is>
      </c>
      <c r="F95" s="107" t="inlineStr">
        <is>
          <t>03.07.05.a</t>
        </is>
      </c>
      <c r="G95" s="108" t="inlineStr">
        <is>
          <t>MA.L2-3.7.5</t>
        </is>
      </c>
      <c r="H95" s="150" t="n"/>
      <c r="I95" s="151" t="n"/>
      <c r="J95" s="108" t="inlineStr">
        <is>
          <t>multifactor authentication is required to establish nonlocal maintenance sessions via external network connections.</t>
        </is>
      </c>
      <c r="K95" s="152" t="n"/>
      <c r="M95" s="112" t="inlineStr">
        <is>
          <t>Implementation Begun</t>
        </is>
      </c>
      <c r="O95" s="153" t="n"/>
      <c r="P95" s="621" t="n"/>
    </row>
    <row r="96" ht="45.75" customFormat="1" customHeight="1" s="81">
      <c r="A96" s="154" t="inlineStr">
        <is>
          <t>2</t>
        </is>
      </c>
      <c r="B96" s="155" t="inlineStr">
        <is>
          <t>2.04.b</t>
        </is>
      </c>
      <c r="C96" s="116" t="inlineStr">
        <is>
          <t>Outsource</t>
        </is>
      </c>
      <c r="D96" s="117" t="inlineStr">
        <is>
          <t>Maintenance</t>
        </is>
      </c>
      <c r="E96" s="118" t="inlineStr">
        <is>
          <t>3.7.5[b]</t>
        </is>
      </c>
      <c r="F96" s="118" t="inlineStr">
        <is>
          <t>03.07.05.b</t>
        </is>
      </c>
      <c r="G96" s="119" t="inlineStr">
        <is>
          <t>MA.L2-3.7.5</t>
        </is>
      </c>
      <c r="H96" s="156" t="n"/>
      <c r="I96" s="160" t="n"/>
      <c r="J96" s="119" t="inlineStr">
        <is>
          <t>nonlocal maintenance sessions established via external network connections are terminated when nonlocal maintenance is complete.</t>
        </is>
      </c>
      <c r="K96" s="158" t="n"/>
      <c r="M96" s="112" t="inlineStr">
        <is>
          <t>Implementation Begun</t>
        </is>
      </c>
      <c r="N96" s="124" t="n"/>
      <c r="O96" s="159" t="n"/>
      <c r="P96" s="621" t="n"/>
    </row>
    <row r="97" ht="106.5" customFormat="1" customHeight="1" s="81">
      <c r="A97" s="164" t="inlineStr">
        <is>
          <t>3</t>
        </is>
      </c>
      <c r="B97" s="165" t="inlineStr">
        <is>
          <t>3.15.0</t>
        </is>
      </c>
      <c r="C97" s="93" t="inlineStr">
        <is>
          <t>DIY</t>
        </is>
      </c>
      <c r="D97" s="94" t="inlineStr">
        <is>
          <t>Access Control</t>
        </is>
      </c>
      <c r="E97" s="95" t="inlineStr">
        <is>
          <t>3.1.10</t>
        </is>
      </c>
      <c r="F97" s="95" t="inlineStr">
        <is>
          <t>03.01.10.0</t>
        </is>
      </c>
      <c r="G97" s="96" t="inlineStr">
        <is>
          <t>AC.L2-3.1.10</t>
        </is>
      </c>
      <c r="H97" s="97" t="n">
        <v>1</v>
      </c>
      <c r="I97" s="94" t="inlineStr">
        <is>
          <t>Use session lock with pattern-hiding displays to prevent access and viewing of data after a period of inactivity.</t>
        </is>
      </c>
      <c r="J97" s="96" t="inlineStr">
        <is>
          <t>Determine if:</t>
        </is>
      </c>
      <c r="K97" s="98" t="inlineStr">
        <is>
          <t>[No Comment Provided]</t>
        </is>
      </c>
      <c r="L97" s="565" t="inlineStr">
        <is>
          <t>Session lock is enforced via Intune MDM configuration profiles on all enrolled devices, requiring screen lock after 15 minutes of inactivity. Cloudflare Access device posture checks verify that screen lock policy is active on the endpoint — devices failing the posture check are denied access. CrowdStrike Falcon device health feeds into Cloudflare posture evaluation.</t>
        </is>
      </c>
      <c r="M97" s="99" t="inlineStr">
        <is>
          <t>Implementation Begun</t>
        </is>
      </c>
      <c r="N97" s="100" t="n"/>
      <c r="O97" s="101">
        <f t="array" ref="O97">IF(AND(OR(M98="Fully Implemented",M98="Not Permitted"),OR(M99="Fully Implemented",M99="Not Permitted"),OR(M100="Fully Implemented",M100="Not Permitted")),0,-1*H97)</f>
        <v/>
      </c>
      <c r="P97" s="619" t="n"/>
      <c r="T97" s="102">
        <f t="array" ref="T97">IF(O97=0,H97,0)</f>
        <v/>
      </c>
    </row>
    <row r="98" ht="30" customFormat="1" customHeight="1" s="81">
      <c r="A98" s="166" t="inlineStr">
        <is>
          <t>3</t>
        </is>
      </c>
      <c r="B98" s="167" t="inlineStr">
        <is>
          <t>3.15.a</t>
        </is>
      </c>
      <c r="C98" s="105" t="inlineStr">
        <is>
          <t>DIY</t>
        </is>
      </c>
      <c r="D98" s="106" t="inlineStr">
        <is>
          <t>Access Control</t>
        </is>
      </c>
      <c r="E98" s="107" t="inlineStr">
        <is>
          <t>3.1.10[a]</t>
        </is>
      </c>
      <c r="F98" s="107" t="inlineStr">
        <is>
          <t>03.01.10.a</t>
        </is>
      </c>
      <c r="G98" s="108" t="inlineStr">
        <is>
          <t>AC.L2-3.1.10</t>
        </is>
      </c>
      <c r="H98" s="168" t="n"/>
      <c r="I98" s="169" t="n"/>
      <c r="J98" s="108" t="inlineStr">
        <is>
          <t>the period of inactivity after which the system initiates a session lock is defined.</t>
        </is>
      </c>
      <c r="K98" s="170" t="n"/>
      <c r="L98" s="565" t="n"/>
      <c r="M98" s="112" t="inlineStr">
        <is>
          <t>Implementation Begun</t>
        </is>
      </c>
      <c r="O98" s="179" t="n"/>
      <c r="P98" s="622" t="n"/>
    </row>
    <row r="99" ht="30.75" customFormat="1" customHeight="1" s="81">
      <c r="A99" s="172" t="inlineStr">
        <is>
          <t>3</t>
        </is>
      </c>
      <c r="B99" s="173" t="inlineStr">
        <is>
          <t>3.15.b</t>
        </is>
      </c>
      <c r="C99" s="116" t="inlineStr">
        <is>
          <t>DIY</t>
        </is>
      </c>
      <c r="D99" s="117" t="inlineStr">
        <is>
          <t>Access Control</t>
        </is>
      </c>
      <c r="E99" s="118" t="inlineStr">
        <is>
          <t>3.1.10[b]</t>
        </is>
      </c>
      <c r="F99" s="118" t="inlineStr">
        <is>
          <t>03.01.10.b</t>
        </is>
      </c>
      <c r="G99" s="119" t="inlineStr">
        <is>
          <t>AC.L2-3.1.10</t>
        </is>
      </c>
      <c r="H99" s="174" t="n"/>
      <c r="I99" s="175" t="n"/>
      <c r="J99" s="119" t="inlineStr">
        <is>
          <t>access to the system and viewing of data is prevented by initiating a session lock after the defined period of inactivity.</t>
        </is>
      </c>
      <c r="K99" s="176" t="n"/>
      <c r="L99" s="565" t="n"/>
      <c r="M99" s="112" t="inlineStr">
        <is>
          <t>Implementation Begun</t>
        </is>
      </c>
      <c r="N99" s="608" t="n"/>
      <c r="O99" s="180" t="n"/>
      <c r="P99" s="622" t="n"/>
    </row>
    <row r="100" ht="72.95" customFormat="1" customHeight="1" s="81">
      <c r="A100" s="145" t="inlineStr">
        <is>
          <t>2</t>
        </is>
      </c>
      <c r="B100" s="146" t="inlineStr">
        <is>
          <t>2.06.0</t>
        </is>
      </c>
      <c r="C100" s="93" t="inlineStr">
        <is>
          <t>DIY</t>
        </is>
      </c>
      <c r="D100" s="94" t="inlineStr">
        <is>
          <t>Physical Protection</t>
        </is>
      </c>
      <c r="E100" s="95" t="inlineStr">
        <is>
          <t>3.10.2</t>
        </is>
      </c>
      <c r="F100" s="95" t="inlineStr">
        <is>
          <t>03.10.02.0</t>
        </is>
      </c>
      <c r="G100" s="96" t="inlineStr">
        <is>
          <t>PE.L2-3.10.2</t>
        </is>
      </c>
      <c r="H100" s="97" t="n">
        <v>5</v>
      </c>
      <c r="I100" s="94" t="inlineStr">
        <is>
          <t xml:space="preserve">Protect and monitor the physical facility and support infrastructure for organizational systems. </t>
        </is>
      </c>
      <c r="J100" s="96" t="inlineStr">
        <is>
          <t>Determine if:</t>
        </is>
      </c>
      <c r="K100" s="98" t="inlineStr">
        <is>
          <t>[No Comment Provided]</t>
        </is>
      </c>
      <c r="L100" s="502" t="inlineStr">
        <is>
          <t>Overall Status Meets - Pending policy/procedure review meeting and observation of controls in place. 
Updates required to documentation
Test required for validating controls in place
Examine - Policy updates required. 
Interview  Controls are currently being implemented. - 
Test - Review testing measures in place. 
Canopy A&amp;D - 3.10 - Physical and Environmental Protection Policy, Page 1-4</t>
        </is>
      </c>
      <c r="M100" s="123" t="inlineStr">
        <is>
          <t>Implementation Begun</t>
        </is>
      </c>
      <c r="N100" s="100" t="n"/>
      <c r="O100" s="101">
        <f t="array" ref="O100">IF(AND(M101="Fully Implemented",M102="Fully Implemented",M103="Fully Implemented",M104="Fully Implemented"),0,-1*H100)</f>
        <v/>
      </c>
      <c r="P100" s="619" t="n"/>
      <c r="T100" s="102">
        <f t="array" ref="T100">IF(O100=0,H100,0)</f>
        <v/>
      </c>
    </row>
    <row r="101" ht="30" customFormat="1" customHeight="1" s="81">
      <c r="A101" s="148" t="inlineStr">
        <is>
          <t>2</t>
        </is>
      </c>
      <c r="B101" s="149" t="inlineStr">
        <is>
          <t>2.06.a</t>
        </is>
      </c>
      <c r="C101" s="105" t="inlineStr">
        <is>
          <t>DIY</t>
        </is>
      </c>
      <c r="D101" s="106" t="inlineStr">
        <is>
          <t>Physical Protection</t>
        </is>
      </c>
      <c r="E101" s="107" t="inlineStr">
        <is>
          <t>3.10.2[a]</t>
        </is>
      </c>
      <c r="F101" s="107" t="inlineStr">
        <is>
          <t>03.10.02.a</t>
        </is>
      </c>
      <c r="G101" s="108" t="inlineStr">
        <is>
          <t>PE.L2-3.10.2</t>
        </is>
      </c>
      <c r="H101" s="150" t="n"/>
      <c r="I101" s="151" t="n"/>
      <c r="J101" s="108" t="inlineStr">
        <is>
          <t xml:space="preserve">the physical facility where that system resides is protected. </t>
        </is>
      </c>
      <c r="K101" s="152" t="n"/>
      <c r="M101" s="112" t="inlineStr">
        <is>
          <t>Implementation Begun</t>
        </is>
      </c>
      <c r="O101" s="153" t="n"/>
      <c r="P101" s="621" t="n"/>
    </row>
    <row r="102" ht="13.5" customFormat="1" customHeight="1" s="81">
      <c r="A102" s="148" t="inlineStr">
        <is>
          <t>2</t>
        </is>
      </c>
      <c r="B102" s="149" t="inlineStr">
        <is>
          <t>2.06.b</t>
        </is>
      </c>
      <c r="C102" s="105" t="inlineStr">
        <is>
          <t>DIY</t>
        </is>
      </c>
      <c r="D102" s="106" t="inlineStr">
        <is>
          <t>Physical Protection</t>
        </is>
      </c>
      <c r="E102" s="107" t="inlineStr">
        <is>
          <t>3.10.2[b]</t>
        </is>
      </c>
      <c r="F102" s="107" t="inlineStr">
        <is>
          <t>03.10.02.b</t>
        </is>
      </c>
      <c r="G102" s="108" t="inlineStr">
        <is>
          <t>PE.L2-3.10.2</t>
        </is>
      </c>
      <c r="H102" s="150" t="n"/>
      <c r="I102" s="151" t="n"/>
      <c r="J102" s="108" t="inlineStr">
        <is>
          <t>the support infrastructure for that system is protected.</t>
        </is>
      </c>
      <c r="K102" s="152" t="n"/>
      <c r="M102" s="112" t="inlineStr">
        <is>
          <t>Implementation Begun</t>
        </is>
      </c>
      <c r="O102" s="153" t="n"/>
      <c r="P102" s="621" t="n"/>
    </row>
    <row r="103" ht="30" customFormat="1" customHeight="1" s="81">
      <c r="A103" s="148" t="inlineStr">
        <is>
          <t>2</t>
        </is>
      </c>
      <c r="B103" s="149" t="inlineStr">
        <is>
          <t>2.06.c</t>
        </is>
      </c>
      <c r="C103" s="105" t="inlineStr">
        <is>
          <t>DIY</t>
        </is>
      </c>
      <c r="D103" s="106" t="inlineStr">
        <is>
          <t>Physical Protection</t>
        </is>
      </c>
      <c r="E103" s="107" t="inlineStr">
        <is>
          <t>3.10.2[c]</t>
        </is>
      </c>
      <c r="F103" s="107" t="inlineStr">
        <is>
          <t>03.10.02.c</t>
        </is>
      </c>
      <c r="G103" s="108" t="inlineStr">
        <is>
          <t>PE.L2-3.10.2</t>
        </is>
      </c>
      <c r="H103" s="150" t="n"/>
      <c r="I103" s="151" t="n"/>
      <c r="J103" s="108" t="inlineStr">
        <is>
          <t>the physical facility where that system resides is monitored.</t>
        </is>
      </c>
      <c r="K103" s="152" t="n"/>
      <c r="M103" s="112" t="inlineStr">
        <is>
          <t>Implementation Begun</t>
        </is>
      </c>
      <c r="O103" s="153" t="n"/>
      <c r="P103" s="621" t="n"/>
    </row>
    <row r="104" ht="17.1" customFormat="1" customHeight="1" s="81">
      <c r="A104" s="154" t="inlineStr">
        <is>
          <t>2</t>
        </is>
      </c>
      <c r="B104" s="155" t="inlineStr">
        <is>
          <t>2.06.d</t>
        </is>
      </c>
      <c r="C104" s="116" t="inlineStr">
        <is>
          <t>DIY</t>
        </is>
      </c>
      <c r="D104" s="117" t="inlineStr">
        <is>
          <t>Physical Protection</t>
        </is>
      </c>
      <c r="E104" s="118" t="inlineStr">
        <is>
          <t>3.10.2[d]</t>
        </is>
      </c>
      <c r="F104" s="118" t="inlineStr">
        <is>
          <t>03.10.02.d</t>
        </is>
      </c>
      <c r="G104" s="119" t="inlineStr">
        <is>
          <t>PE.L2-3.10.2</t>
        </is>
      </c>
      <c r="H104" s="156" t="n"/>
      <c r="I104" s="160" t="n"/>
      <c r="J104" s="119" t="inlineStr">
        <is>
          <t>the support infrastructure for that system is monitored.</t>
        </is>
      </c>
      <c r="K104" s="158" t="n"/>
      <c r="M104" s="112" t="inlineStr">
        <is>
          <t>Implementation Begun</t>
        </is>
      </c>
      <c r="N104" s="124" t="n"/>
      <c r="O104" s="159" t="n"/>
      <c r="P104" s="621" t="n"/>
    </row>
    <row r="105" ht="45" customFormat="1" customHeight="1" s="81">
      <c r="A105" s="145" t="inlineStr">
        <is>
          <t>2</t>
        </is>
      </c>
      <c r="B105" s="146" t="inlineStr">
        <is>
          <t>2.07.0</t>
        </is>
      </c>
      <c r="C105" s="93" t="inlineStr">
        <is>
          <t>DIY</t>
        </is>
      </c>
      <c r="D105" s="94" t="inlineStr">
        <is>
          <t>Identification and Authentication</t>
        </is>
      </c>
      <c r="E105" s="95" t="inlineStr">
        <is>
          <t>3.5.7</t>
        </is>
      </c>
      <c r="F105" s="95" t="inlineStr">
        <is>
          <t>03.05.07.0</t>
        </is>
      </c>
      <c r="G105" s="96" t="inlineStr">
        <is>
          <t>IA.L2-3.5.7</t>
        </is>
      </c>
      <c r="H105" s="97" t="n">
        <v>1</v>
      </c>
      <c r="I105" s="94" t="inlineStr">
        <is>
          <t>Enforce a minimum password complexity and change of characters when new passwords are created.</t>
        </is>
      </c>
      <c r="J105" s="96" t="inlineStr">
        <is>
          <t>Determine if:</t>
        </is>
      </c>
      <c r="K105" s="98" t="inlineStr">
        <is>
          <t>[No Comment Provided]</t>
        </is>
      </c>
      <c r="L105" s="565" t="inlineStr">
        <is>
          <t xml:space="preserve">Overall Status - Pending policy/procedure review meeting and observation of controls in place. 
Updates required to documentation
Test required for validating controls in place
Examine - Policy updates may be required based on interviews/walkthroughs. 
Interview  Controls are currently being implemented. - 
Test - Review testing measures in place. </t>
        </is>
      </c>
      <c r="M105" s="99" t="inlineStr">
        <is>
          <t>Implementation Begun</t>
        </is>
      </c>
      <c r="N105" s="100" t="n"/>
      <c r="O105" s="101">
        <f t="array" ref="O105">IF(AND(M106="Fully Implemented",M107="Fully Implemented",M108="Fully Implemented",M109="Fully Implemented"),0,-1*H105)</f>
        <v/>
      </c>
      <c r="P105" s="619" t="n"/>
      <c r="T105" s="102">
        <f t="array" ref="T105">IF(O105=0,H105,0)</f>
        <v/>
      </c>
    </row>
    <row r="106" ht="30" customFormat="1" customHeight="1" s="81">
      <c r="A106" s="148" t="inlineStr">
        <is>
          <t>2</t>
        </is>
      </c>
      <c r="B106" s="149" t="inlineStr">
        <is>
          <t>2.07.a</t>
        </is>
      </c>
      <c r="C106" s="105" t="inlineStr">
        <is>
          <t>DIY</t>
        </is>
      </c>
      <c r="D106" s="106" t="inlineStr">
        <is>
          <t>Identification and Authentication</t>
        </is>
      </c>
      <c r="E106" s="107" t="inlineStr">
        <is>
          <t>3.5.7[a]</t>
        </is>
      </c>
      <c r="F106" s="107" t="inlineStr">
        <is>
          <t>03.05.07.a</t>
        </is>
      </c>
      <c r="G106" s="108" t="inlineStr">
        <is>
          <t>IA.L2-3.5.7</t>
        </is>
      </c>
      <c r="H106" s="150" t="n"/>
      <c r="I106" s="151" t="n"/>
      <c r="J106" s="108" t="inlineStr">
        <is>
          <t>password complexity requirements are defined.</t>
        </is>
      </c>
      <c r="K106" s="152" t="n"/>
      <c r="M106" s="112" t="inlineStr">
        <is>
          <t>Implementation Begun</t>
        </is>
      </c>
      <c r="O106" s="153" t="n"/>
      <c r="P106" s="621" t="n"/>
    </row>
    <row r="107" ht="30" customFormat="1" customHeight="1" s="81">
      <c r="A107" s="148" t="inlineStr">
        <is>
          <t>2</t>
        </is>
      </c>
      <c r="B107" s="149" t="inlineStr">
        <is>
          <t>2.07.b</t>
        </is>
      </c>
      <c r="C107" s="105" t="inlineStr">
        <is>
          <t>DIY</t>
        </is>
      </c>
      <c r="D107" s="106" t="inlineStr">
        <is>
          <t>Identification and Authentication</t>
        </is>
      </c>
      <c r="E107" s="107" t="inlineStr">
        <is>
          <t>3.5.7[b]</t>
        </is>
      </c>
      <c r="F107" s="107" t="inlineStr">
        <is>
          <t>03.05.07.b</t>
        </is>
      </c>
      <c r="G107" s="108" t="inlineStr">
        <is>
          <t>IA.L2-3.5.7</t>
        </is>
      </c>
      <c r="H107" s="150" t="n"/>
      <c r="I107" s="151" t="n"/>
      <c r="J107" s="108" t="inlineStr">
        <is>
          <t>password change of character requirements are defined.</t>
        </is>
      </c>
      <c r="K107" s="152" t="n"/>
      <c r="M107" s="112" t="inlineStr">
        <is>
          <t>Implementation Begun</t>
        </is>
      </c>
      <c r="O107" s="153" t="n"/>
      <c r="P107" s="621" t="n"/>
    </row>
    <row r="108" ht="45" customFormat="1" customHeight="1" s="81">
      <c r="A108" s="148" t="inlineStr">
        <is>
          <t>2</t>
        </is>
      </c>
      <c r="B108" s="149" t="inlineStr">
        <is>
          <t>2.07.c</t>
        </is>
      </c>
      <c r="C108" s="105" t="inlineStr">
        <is>
          <t>DIY</t>
        </is>
      </c>
      <c r="D108" s="106" t="inlineStr">
        <is>
          <t>Identification and Authentication</t>
        </is>
      </c>
      <c r="E108" s="107" t="inlineStr">
        <is>
          <t>3.5.7[c]</t>
        </is>
      </c>
      <c r="F108" s="107" t="inlineStr">
        <is>
          <t>03.05.07.c</t>
        </is>
      </c>
      <c r="G108" s="108" t="inlineStr">
        <is>
          <t>IA.L2-3.5.7</t>
        </is>
      </c>
      <c r="H108" s="150" t="n"/>
      <c r="I108" s="151" t="n"/>
      <c r="J108" s="108" t="inlineStr">
        <is>
          <t>minimum password complexity requirements as defined are enforced when new passwords are created.</t>
        </is>
      </c>
      <c r="K108" s="152" t="n"/>
      <c r="M108" s="112" t="inlineStr">
        <is>
          <t>Implementation Begun</t>
        </is>
      </c>
      <c r="O108" s="153" t="n"/>
      <c r="P108" s="621" t="n"/>
    </row>
    <row r="109" ht="45.75" customFormat="1" customHeight="1" s="81">
      <c r="A109" s="154" t="inlineStr">
        <is>
          <t>2</t>
        </is>
      </c>
      <c r="B109" s="155" t="inlineStr">
        <is>
          <t>2.07.d</t>
        </is>
      </c>
      <c r="C109" s="116" t="inlineStr">
        <is>
          <t>DIY</t>
        </is>
      </c>
      <c r="D109" s="117" t="inlineStr">
        <is>
          <t>Identification and Authentication</t>
        </is>
      </c>
      <c r="E109" s="118" t="inlineStr">
        <is>
          <t>3.5.7[d]</t>
        </is>
      </c>
      <c r="F109" s="118" t="inlineStr">
        <is>
          <t>03.05.07.d</t>
        </is>
      </c>
      <c r="G109" s="119" t="inlineStr">
        <is>
          <t>IA.L2-3.5.7</t>
        </is>
      </c>
      <c r="H109" s="156" t="n"/>
      <c r="I109" s="160" t="n"/>
      <c r="J109" s="119" t="inlineStr">
        <is>
          <t>minimum password change of character requirements as defined are enforced when new passwords are created.</t>
        </is>
      </c>
      <c r="K109" s="158" t="n"/>
      <c r="M109" s="112" t="inlineStr">
        <is>
          <t>Implementation Begun</t>
        </is>
      </c>
      <c r="N109" s="124" t="n"/>
      <c r="O109" s="159" t="n"/>
      <c r="P109" s="621" t="n"/>
    </row>
    <row r="110" ht="30" customFormat="1" customHeight="1" s="81">
      <c r="A110" s="145" t="inlineStr">
        <is>
          <t>2</t>
        </is>
      </c>
      <c r="B110" s="146" t="inlineStr">
        <is>
          <t>2.08.0</t>
        </is>
      </c>
      <c r="C110" s="93" t="inlineStr">
        <is>
          <t>DIY</t>
        </is>
      </c>
      <c r="D110" s="94" t="inlineStr">
        <is>
          <t>Identification and Authentication</t>
        </is>
      </c>
      <c r="E110" s="95" t="inlineStr">
        <is>
          <t>3.5.8</t>
        </is>
      </c>
      <c r="F110" s="95" t="inlineStr">
        <is>
          <t>03.05.08.0</t>
        </is>
      </c>
      <c r="G110" s="96" t="inlineStr">
        <is>
          <t>IA.L2-3.5.8</t>
        </is>
      </c>
      <c r="H110" s="97" t="n">
        <v>1</v>
      </c>
      <c r="I110" s="94" t="inlineStr">
        <is>
          <t>Prohibit password reuse for a specified number of generations.</t>
        </is>
      </c>
      <c r="J110" s="96" t="inlineStr">
        <is>
          <t>Determine if:</t>
        </is>
      </c>
      <c r="K110" s="98" t="inlineStr">
        <is>
          <t>[No Comment Provided]</t>
        </is>
      </c>
      <c r="L110" s="565" t="inlineStr">
        <is>
          <t xml:space="preserve">Overall Status - Pending policy/procedure review meeting and observation of controls in place. 
Updates required to documentation
Test required for validating controls in place
Examine - Policy updates may be required based on interviews/walkthroughs. 
Interview  Controls are currently being implemented. - 
Test - Review testing measures in place. </t>
        </is>
      </c>
      <c r="M110" s="99" t="inlineStr">
        <is>
          <t>Implementation Begun</t>
        </is>
      </c>
      <c r="N110" s="100" t="n"/>
      <c r="O110" s="101">
        <f t="array" ref="O110">IF(AND(M111="Fully Implemented",M112="Fully Implemented"),0,-1*H110)</f>
        <v/>
      </c>
      <c r="P110" s="619" t="n"/>
      <c r="T110" s="102">
        <f t="array" ref="T110">IF(O110=0,H110,0)</f>
        <v/>
      </c>
    </row>
    <row r="111" ht="30" customFormat="1" customHeight="1" s="81">
      <c r="A111" s="148" t="inlineStr">
        <is>
          <t>2</t>
        </is>
      </c>
      <c r="B111" s="149" t="inlineStr">
        <is>
          <t>2.08.a</t>
        </is>
      </c>
      <c r="C111" s="105" t="inlineStr">
        <is>
          <t>DIY</t>
        </is>
      </c>
      <c r="D111" s="106" t="inlineStr">
        <is>
          <t>Identification and Authentication</t>
        </is>
      </c>
      <c r="E111" s="107" t="inlineStr">
        <is>
          <t>3.5.8[a]</t>
        </is>
      </c>
      <c r="F111" s="107" t="inlineStr">
        <is>
          <t>03.05.08.a</t>
        </is>
      </c>
      <c r="G111" s="108" t="inlineStr">
        <is>
          <t>IA.L2-3.5.8</t>
        </is>
      </c>
      <c r="H111" s="150" t="n"/>
      <c r="I111" s="151" t="n"/>
      <c r="J111" s="108" t="inlineStr">
        <is>
          <t>the number of generations during which a password cannot be reused is specified.</t>
        </is>
      </c>
      <c r="K111" s="152" t="n"/>
      <c r="M111" s="112" t="inlineStr">
        <is>
          <t>Implementation Begun</t>
        </is>
      </c>
      <c r="O111" s="153" t="n"/>
      <c r="P111" s="621" t="n"/>
    </row>
    <row r="112" ht="30.75" customFormat="1" customHeight="1" s="81">
      <c r="A112" s="154" t="inlineStr">
        <is>
          <t>2</t>
        </is>
      </c>
      <c r="B112" s="155" t="inlineStr">
        <is>
          <t>2.08.b</t>
        </is>
      </c>
      <c r="C112" s="116" t="inlineStr">
        <is>
          <t>DIY</t>
        </is>
      </c>
      <c r="D112" s="117" t="inlineStr">
        <is>
          <t>Identification and Authentication</t>
        </is>
      </c>
      <c r="E112" s="118" t="inlineStr">
        <is>
          <t>3.5.8[b]</t>
        </is>
      </c>
      <c r="F112" s="118" t="inlineStr">
        <is>
          <t>03.05.08.b</t>
        </is>
      </c>
      <c r="G112" s="119" t="inlineStr">
        <is>
          <t>IA.L2-3.5.8</t>
        </is>
      </c>
      <c r="H112" s="156" t="n"/>
      <c r="I112" s="160" t="n"/>
      <c r="J112" s="119" t="inlineStr">
        <is>
          <t>reuse of passwords is prohibited during the specified number of generations.</t>
        </is>
      </c>
      <c r="K112" s="158" t="n"/>
      <c r="M112" s="112" t="inlineStr">
        <is>
          <t>Implementation Begun</t>
        </is>
      </c>
      <c r="N112" s="124" t="n"/>
      <c r="O112" s="159" t="n"/>
      <c r="P112" s="621" t="n"/>
    </row>
    <row r="113" ht="30" customFormat="1" customHeight="1" s="81">
      <c r="A113" s="164" t="inlineStr">
        <is>
          <t>3</t>
        </is>
      </c>
      <c r="B113" s="165" t="inlineStr">
        <is>
          <t>3.15.c</t>
        </is>
      </c>
      <c r="C113" s="93" t="inlineStr">
        <is>
          <t>DIY</t>
        </is>
      </c>
      <c r="D113" s="94" t="inlineStr">
        <is>
          <t>Access Control</t>
        </is>
      </c>
      <c r="E113" s="95" t="inlineStr">
        <is>
          <t>3.1.10[c]</t>
        </is>
      </c>
      <c r="F113" s="95" t="inlineStr">
        <is>
          <t>03.01.10.c</t>
        </is>
      </c>
      <c r="G113" s="96" t="inlineStr">
        <is>
          <t>AC.L2-3.1.10</t>
        </is>
      </c>
      <c r="H113" s="593" t="n"/>
      <c r="I113" s="598" t="n"/>
      <c r="J113" s="96" t="inlineStr">
        <is>
          <t>previously visible information is concealed via a pattern-hiding display after the defined period of inactivity.</t>
        </is>
      </c>
      <c r="K113" s="178" t="n"/>
      <c r="L113" s="565" t="n"/>
      <c r="M113" s="605" t="inlineStr">
        <is>
          <t>Implementation Begun</t>
        </is>
      </c>
      <c r="N113" s="100" t="n"/>
      <c r="O113" s="614" t="n"/>
      <c r="P113" s="622" t="n"/>
    </row>
    <row r="114" ht="121.5" customFormat="1" customHeight="1" s="81">
      <c r="A114" s="203" t="inlineStr">
        <is>
          <t>5</t>
        </is>
      </c>
      <c r="B114" s="204" t="inlineStr">
        <is>
          <t>5.20.0</t>
        </is>
      </c>
      <c r="C114" s="105" t="inlineStr">
        <is>
          <t>Hybrid</t>
        </is>
      </c>
      <c r="D114" s="106" t="inlineStr">
        <is>
          <t>Access Control</t>
        </is>
      </c>
      <c r="E114" s="107" t="inlineStr">
        <is>
          <t>3.1.11</t>
        </is>
      </c>
      <c r="F114" s="107" t="inlineStr">
        <is>
          <t>03.01.11.0</t>
        </is>
      </c>
      <c r="G114" s="108" t="inlineStr">
        <is>
          <t>AC.L2-3.1.11</t>
        </is>
      </c>
      <c r="H114" s="591" t="n">
        <v>1</v>
      </c>
      <c r="I114" s="106" t="inlineStr">
        <is>
          <t>Terminate (automatically) a user session after a defined condition.</t>
        </is>
      </c>
      <c r="J114" s="108" t="inlineStr">
        <is>
          <t>Determine if:</t>
        </is>
      </c>
      <c r="K114" s="601" t="inlineStr">
        <is>
          <t>[No Comment Provided]</t>
        </is>
      </c>
      <c r="L114" s="565" t="inlineStr">
        <is>
          <t>Session termination is enforced at multiple layers. Okta session policies terminate idle sessions after 30 minutes and require re-authentication after 8 hours. Cloudflare Access enforces its own session duration limits independently of the application — when an Okta session expires or a device posture check fails, Cloudflare revokes access across all protected applications simultaneously within seconds.</t>
        </is>
      </c>
      <c r="M114" s="111" t="inlineStr">
        <is>
          <t>Implementation Begun</t>
        </is>
      </c>
      <c r="N114" s="607" t="n"/>
      <c r="O114" s="612">
        <f t="array" ref="O114">IF(AND(M115="Fully Implemented",M116="Fully Implemented"),0,-1*H114)</f>
        <v/>
      </c>
      <c r="P114" s="619" t="n"/>
      <c r="T114" s="102">
        <f t="array" ref="T114">IF(O114=0,H114,0)</f>
        <v/>
      </c>
    </row>
    <row r="115" ht="30.75" customFormat="1" customHeight="1" s="81">
      <c r="A115" s="209" t="inlineStr">
        <is>
          <t>5</t>
        </is>
      </c>
      <c r="B115" s="210" t="inlineStr">
        <is>
          <t>5.20.a</t>
        </is>
      </c>
      <c r="C115" s="116" t="inlineStr">
        <is>
          <t>DIY</t>
        </is>
      </c>
      <c r="D115" s="117" t="inlineStr">
        <is>
          <t>Access Control</t>
        </is>
      </c>
      <c r="E115" s="118" t="inlineStr">
        <is>
          <t>3.1.11[a]</t>
        </is>
      </c>
      <c r="F115" s="118" t="inlineStr">
        <is>
          <t>03.01.11.a</t>
        </is>
      </c>
      <c r="G115" s="119" t="inlineStr">
        <is>
          <t>AC.L2-3.1.11</t>
        </is>
      </c>
      <c r="H115" s="211" t="n"/>
      <c r="I115" s="212" t="n"/>
      <c r="J115" s="119" t="inlineStr">
        <is>
          <t>conditions requiring a user session to terminate are defined.</t>
        </is>
      </c>
      <c r="K115" s="213" t="n"/>
      <c r="L115" s="565" t="n"/>
      <c r="M115" s="112" t="inlineStr">
        <is>
          <t>Implementation Begun</t>
        </is>
      </c>
      <c r="N115" s="608" t="n"/>
      <c r="O115" s="214" t="n"/>
      <c r="P115" s="623" t="n"/>
    </row>
    <row r="116" ht="30" customFormat="1" customHeight="1" s="81">
      <c r="A116" s="145" t="inlineStr">
        <is>
          <t>2</t>
        </is>
      </c>
      <c r="B116" s="146" t="inlineStr">
        <is>
          <t>2.10.0</t>
        </is>
      </c>
      <c r="C116" s="93" t="inlineStr">
        <is>
          <t>Outsource</t>
        </is>
      </c>
      <c r="D116" s="94" t="inlineStr">
        <is>
          <t>System and Communications Protection</t>
        </is>
      </c>
      <c r="E116" s="95" t="inlineStr">
        <is>
          <t>3.13.3</t>
        </is>
      </c>
      <c r="F116" s="95" t="inlineStr">
        <is>
          <t>03.13.03.0</t>
        </is>
      </c>
      <c r="G116" s="96" t="inlineStr">
        <is>
          <t>SC.L2-3.13.3</t>
        </is>
      </c>
      <c r="H116" s="97" t="n">
        <v>1</v>
      </c>
      <c r="I116" s="94" t="inlineStr">
        <is>
          <t xml:space="preserve">Separate user functionality from system management functionality. </t>
        </is>
      </c>
      <c r="J116" s="96" t="inlineStr">
        <is>
          <t>Determine if:</t>
        </is>
      </c>
      <c r="K116" s="98" t="inlineStr">
        <is>
          <t>[No Comment Provided]</t>
        </is>
      </c>
      <c r="L116" s="565" t="inlineStr">
        <is>
          <t xml:space="preserve">Overall Status - Pending policy/procedure review meeting and observation of controls in place. 
Updates required to documentation
Test required for validating controls in place
Examine - Policy updates may be required based on interviews/walkthroughs. 
Interview  Controls are currently being implemented. - 
Test - Review testing measures in place. </t>
        </is>
      </c>
      <c r="M116" s="99" t="inlineStr">
        <is>
          <t>Implementation Begun</t>
        </is>
      </c>
      <c r="N116" s="100" t="n"/>
      <c r="O116" s="101">
        <f t="array" ref="O116">IF(AND(OR(M117="Fully Implemented",M117="Not Permitted"),OR(M118="Fully Implemented",M118="Not Permitted"),OR(M119="Fully Implemented",M119="Not Permitted")),0,-1*H116)</f>
        <v/>
      </c>
      <c r="P116" s="619" t="n"/>
      <c r="T116" s="102">
        <f t="array" ref="T116">IF(O116=0,H116,0)</f>
        <v/>
      </c>
    </row>
    <row r="117" ht="30" customFormat="1" customHeight="1" s="81">
      <c r="A117" s="148" t="inlineStr">
        <is>
          <t>2</t>
        </is>
      </c>
      <c r="B117" s="149" t="inlineStr">
        <is>
          <t>2.10.a</t>
        </is>
      </c>
      <c r="C117" s="105" t="inlineStr">
        <is>
          <t>Outsource</t>
        </is>
      </c>
      <c r="D117" s="106" t="inlineStr">
        <is>
          <t>System and Communications Protection</t>
        </is>
      </c>
      <c r="E117" s="107" t="inlineStr">
        <is>
          <t>3.13.3[a]</t>
        </is>
      </c>
      <c r="F117" s="107" t="inlineStr">
        <is>
          <t>03.13.03.a</t>
        </is>
      </c>
      <c r="G117" s="108" t="inlineStr">
        <is>
          <t>SC.L2-3.13.3</t>
        </is>
      </c>
      <c r="H117" s="150" t="n"/>
      <c r="I117" s="151" t="n"/>
      <c r="J117" s="108" t="inlineStr">
        <is>
          <t>user functionality is identified.</t>
        </is>
      </c>
      <c r="K117" s="152" t="n"/>
      <c r="M117" s="112" t="inlineStr">
        <is>
          <t>Implementation Begun</t>
        </is>
      </c>
      <c r="O117" s="153" t="n"/>
      <c r="P117" s="621" t="n"/>
    </row>
    <row r="118" ht="30" customFormat="1" customHeight="1" s="81">
      <c r="A118" s="148" t="inlineStr">
        <is>
          <t>2</t>
        </is>
      </c>
      <c r="B118" s="149" t="inlineStr">
        <is>
          <t>2.10.b</t>
        </is>
      </c>
      <c r="C118" s="105" t="inlineStr">
        <is>
          <t>Outsource</t>
        </is>
      </c>
      <c r="D118" s="106" t="inlineStr">
        <is>
          <t>System and Communications Protection</t>
        </is>
      </c>
      <c r="E118" s="107" t="inlineStr">
        <is>
          <t>3.13.3[b]</t>
        </is>
      </c>
      <c r="F118" s="107" t="inlineStr">
        <is>
          <t>03.13.03.b</t>
        </is>
      </c>
      <c r="G118" s="108" t="inlineStr">
        <is>
          <t>SC.L2-3.13.3</t>
        </is>
      </c>
      <c r="H118" s="150" t="n"/>
      <c r="I118" s="151" t="n"/>
      <c r="J118" s="108" t="inlineStr">
        <is>
          <t>system management functionality is identified.</t>
        </is>
      </c>
      <c r="K118" s="152" t="n"/>
      <c r="M118" s="112" t="inlineStr">
        <is>
          <t>Implementation Begun</t>
        </is>
      </c>
      <c r="O118" s="153" t="n"/>
      <c r="P118" s="621" t="n"/>
    </row>
    <row r="119" ht="30.75" customFormat="1" customHeight="1" s="81">
      <c r="A119" s="154" t="inlineStr">
        <is>
          <t>2</t>
        </is>
      </c>
      <c r="B119" s="155" t="inlineStr">
        <is>
          <t>2.10.c</t>
        </is>
      </c>
      <c r="C119" s="116" t="inlineStr">
        <is>
          <t>Outsource</t>
        </is>
      </c>
      <c r="D119" s="117" t="inlineStr">
        <is>
          <t>System and Communications Protection</t>
        </is>
      </c>
      <c r="E119" s="118" t="inlineStr">
        <is>
          <t>3.13.3[c]</t>
        </is>
      </c>
      <c r="F119" s="118" t="inlineStr">
        <is>
          <t>03.13.03.c</t>
        </is>
      </c>
      <c r="G119" s="119" t="inlineStr">
        <is>
          <t>SC.L2-3.13.3</t>
        </is>
      </c>
      <c r="H119" s="156" t="n"/>
      <c r="I119" s="160" t="n"/>
      <c r="J119" s="119" t="inlineStr">
        <is>
          <t xml:space="preserve">user functionality is separated from system management functionality. </t>
        </is>
      </c>
      <c r="K119" s="158" t="n"/>
      <c r="M119" s="123" t="inlineStr">
        <is>
          <t>Implementation Begun</t>
        </is>
      </c>
      <c r="N119" s="124" t="n"/>
      <c r="O119" s="159" t="n"/>
      <c r="P119" s="621" t="n"/>
    </row>
    <row r="120" ht="45.75" customFormat="1" customHeight="1" s="81">
      <c r="A120" s="161" t="inlineStr">
        <is>
          <t>2</t>
        </is>
      </c>
      <c r="B120" s="162" t="inlineStr">
        <is>
          <t>2.11.0</t>
        </is>
      </c>
      <c r="C120" s="130" t="inlineStr">
        <is>
          <t>DIY</t>
        </is>
      </c>
      <c r="D120" s="131" t="inlineStr">
        <is>
          <t>Identification and Authentication</t>
        </is>
      </c>
      <c r="E120" s="132" t="inlineStr">
        <is>
          <t>3.5.9</t>
        </is>
      </c>
      <c r="F120" s="132" t="inlineStr">
        <is>
          <t>03.05.09.0</t>
        </is>
      </c>
      <c r="G120" s="133" t="inlineStr">
        <is>
          <t>IA.L2-3.5.9</t>
        </is>
      </c>
      <c r="H120" s="134" t="n">
        <v>1</v>
      </c>
      <c r="I120" s="131" t="inlineStr">
        <is>
          <t>Allow temporary password use for system logons with an immediate change to a permanent password</t>
        </is>
      </c>
      <c r="J120" s="133" t="inlineStr">
        <is>
          <t>Determine if an immediate change to a permanent password is required when a temporary password is used for system logon.</t>
        </is>
      </c>
      <c r="K120" s="135" t="inlineStr">
        <is>
          <t>[No Comment Provided]</t>
        </is>
      </c>
      <c r="L120" s="565" t="inlineStr">
        <is>
          <t xml:space="preserve">Overall Status - Pending policy/procedure review meeting and observation of controls in place. 
Updates required to documentation
Test required for validating controls in place
Examine - Policy updates may be required based on interviews/walkthroughs. 
Interview  Controls are currently being implemented. - 
Test - Review testing measures in place. </t>
        </is>
      </c>
      <c r="M120" s="141" t="inlineStr">
        <is>
          <t>Implementation Begun</t>
        </is>
      </c>
      <c r="N120" s="136" t="n"/>
      <c r="O120" s="137">
        <f t="array" ref="O120">IF(M120&lt;&gt;"Fully Implemented",-1*H120,0)</f>
        <v/>
      </c>
      <c r="P120" s="619" t="n"/>
      <c r="T120" s="102">
        <f t="array" ref="T120">IF(O120=0,H120,0)</f>
        <v/>
      </c>
    </row>
    <row r="121" ht="90" customFormat="1" customHeight="1" s="81">
      <c r="A121" s="145" t="inlineStr">
        <is>
          <t>2</t>
        </is>
      </c>
      <c r="B121" s="146" t="inlineStr">
        <is>
          <t>2.12.0</t>
        </is>
      </c>
      <c r="C121" s="93" t="inlineStr">
        <is>
          <t>Hybrid</t>
        </is>
      </c>
      <c r="D121" s="94" t="inlineStr">
        <is>
          <t>Awareness and Training</t>
        </is>
      </c>
      <c r="E121" s="95" t="inlineStr">
        <is>
          <t>3.2.1</t>
        </is>
      </c>
      <c r="F121" s="95" t="inlineStr">
        <is>
          <t>03.02.01.0</t>
        </is>
      </c>
      <c r="G121" s="96" t="inlineStr">
        <is>
          <t>AT.L2-3.2.1</t>
        </is>
      </c>
      <c r="H121" s="97" t="n">
        <v>5</v>
      </c>
      <c r="I121" s="94" t="inlineStr">
        <is>
          <t>Ensure that managers, systems administrators, and users of organizational systems are made aware of the security risks associated with their activities and of the applicable policies, standards, and procedures related to the security of those systems.</t>
        </is>
      </c>
      <c r="J121" s="96" t="inlineStr">
        <is>
          <t>Determine if:</t>
        </is>
      </c>
      <c r="K121" s="98" t="inlineStr">
        <is>
          <t>[No Comment Provided]</t>
        </is>
      </c>
      <c r="L121" s="565" t="inlineStr">
        <is>
          <t xml:space="preserve">Overall Status - Pending policy/procedure review meeting and observation of controls in place. 
Updates required to documentation
Test required for validating controls in place
Examine - Policy updates may be required based on interviews/walkthroughs. 
Interview  Controls are currently being implemented. - 
Test - Review testing measures in place. </t>
        </is>
      </c>
      <c r="M121" s="99" t="inlineStr">
        <is>
          <t>Implementation Begun</t>
        </is>
      </c>
      <c r="N121" s="100" t="n"/>
      <c r="O121" s="101">
        <f t="array" ref="O121">IF(AND(M122="Fully Implemented",M123="Fully Implemented",M124="Fully Implemented",M125="Fully Implemented"),0,-1*H121)</f>
        <v/>
      </c>
      <c r="P121" s="619" t="n"/>
      <c r="T121" s="102">
        <f t="array" ref="T121">IF(O121=0,H121,0)</f>
        <v/>
      </c>
    </row>
    <row r="122" ht="30" customFormat="1" customHeight="1" s="81">
      <c r="A122" s="148" t="inlineStr">
        <is>
          <t>2</t>
        </is>
      </c>
      <c r="B122" s="149" t="inlineStr">
        <is>
          <t>2.12.a</t>
        </is>
      </c>
      <c r="C122" s="105" t="inlineStr">
        <is>
          <t>Outsource</t>
        </is>
      </c>
      <c r="D122" s="106" t="inlineStr">
        <is>
          <t>Awareness and Training</t>
        </is>
      </c>
      <c r="E122" s="107" t="inlineStr">
        <is>
          <t>3.2.1[a]</t>
        </is>
      </c>
      <c r="F122" s="107" t="inlineStr">
        <is>
          <t>03.02.01.a</t>
        </is>
      </c>
      <c r="G122" s="108" t="inlineStr">
        <is>
          <t>AT.L2-3.2.1</t>
        </is>
      </c>
      <c r="H122" s="150" t="n"/>
      <c r="I122" s="151" t="n"/>
      <c r="J122" s="108" t="inlineStr">
        <is>
          <t>security risks associated with organizational activities involving CUI are identified.</t>
        </is>
      </c>
      <c r="K122" s="152" t="n"/>
      <c r="M122" s="112" t="inlineStr">
        <is>
          <t>Implementation Begun</t>
        </is>
      </c>
      <c r="O122" s="153" t="n"/>
      <c r="P122" s="621" t="n"/>
    </row>
    <row r="123" ht="30" customFormat="1" customHeight="1" s="81">
      <c r="A123" s="148" t="inlineStr">
        <is>
          <t>2</t>
        </is>
      </c>
      <c r="B123" s="149" t="inlineStr">
        <is>
          <t>2.12.b</t>
        </is>
      </c>
      <c r="C123" s="105" t="inlineStr">
        <is>
          <t>DIY</t>
        </is>
      </c>
      <c r="D123" s="106" t="inlineStr">
        <is>
          <t>Awareness and Training</t>
        </is>
      </c>
      <c r="E123" s="107" t="inlineStr">
        <is>
          <t>3.2.1[b]</t>
        </is>
      </c>
      <c r="F123" s="107" t="inlineStr">
        <is>
          <t>03.02.01.b</t>
        </is>
      </c>
      <c r="G123" s="108" t="inlineStr">
        <is>
          <t>AT.L2-3.2.1</t>
        </is>
      </c>
      <c r="H123" s="150" t="n"/>
      <c r="I123" s="151" t="n"/>
      <c r="J123" s="108" t="inlineStr">
        <is>
          <t>policies, standards, and procedures related to the security of the system are identified.</t>
        </is>
      </c>
      <c r="K123" s="152" t="n"/>
      <c r="M123" s="112" t="inlineStr">
        <is>
          <t>Implementation Begun</t>
        </is>
      </c>
      <c r="O123" s="153" t="n"/>
      <c r="P123" s="621" t="n"/>
    </row>
    <row r="124" ht="45" customFormat="1" customHeight="1" s="81">
      <c r="A124" s="148" t="inlineStr">
        <is>
          <t>2</t>
        </is>
      </c>
      <c r="B124" s="149" t="inlineStr">
        <is>
          <t>2.12.c</t>
        </is>
      </c>
      <c r="C124" s="105" t="inlineStr">
        <is>
          <t>Outsource</t>
        </is>
      </c>
      <c r="D124" s="106" t="inlineStr">
        <is>
          <t>Awareness and Training</t>
        </is>
      </c>
      <c r="E124" s="107" t="inlineStr">
        <is>
          <t>3.2.1[c]</t>
        </is>
      </c>
      <c r="F124" s="107" t="inlineStr">
        <is>
          <t>03.02.01.c</t>
        </is>
      </c>
      <c r="G124" s="108" t="inlineStr">
        <is>
          <t>AT.L2-3.2.1</t>
        </is>
      </c>
      <c r="H124" s="150" t="n"/>
      <c r="I124" s="151" t="n"/>
      <c r="J124" s="108" t="inlineStr">
        <is>
          <t>managers, systems administrators, and users of the system are made aware of the security risks associated with their activities.</t>
        </is>
      </c>
      <c r="K124" s="152" t="n"/>
      <c r="M124" s="112" t="inlineStr">
        <is>
          <t>Implementation Begun</t>
        </is>
      </c>
      <c r="O124" s="153" t="n"/>
      <c r="P124" s="621" t="n"/>
    </row>
    <row r="125" ht="60.75" customFormat="1" customHeight="1" s="81">
      <c r="A125" s="154" t="inlineStr">
        <is>
          <t>2</t>
        </is>
      </c>
      <c r="B125" s="155" t="inlineStr">
        <is>
          <t>2.12.d</t>
        </is>
      </c>
      <c r="C125" s="116" t="inlineStr">
        <is>
          <t>Outsource</t>
        </is>
      </c>
      <c r="D125" s="117" t="inlineStr">
        <is>
          <t>Awareness and Training</t>
        </is>
      </c>
      <c r="E125" s="118" t="inlineStr">
        <is>
          <t>3.2.1[d]</t>
        </is>
      </c>
      <c r="F125" s="118" t="inlineStr">
        <is>
          <t>03.02.01.d</t>
        </is>
      </c>
      <c r="G125" s="119" t="inlineStr">
        <is>
          <t>AT.L2-3.2.1</t>
        </is>
      </c>
      <c r="H125" s="156" t="n"/>
      <c r="I125" s="160" t="n"/>
      <c r="J125" s="119" t="inlineStr">
        <is>
          <t>managers, systems administrators, and users of the system are made aware of the applicable policies, standards, and procedures related to the security of the system.</t>
        </is>
      </c>
      <c r="K125" s="158" t="n"/>
      <c r="M125" s="112" t="inlineStr">
        <is>
          <t>Implementation Begun</t>
        </is>
      </c>
      <c r="N125" s="124" t="n"/>
      <c r="O125" s="159" t="n"/>
      <c r="P125" s="621" t="n"/>
    </row>
    <row r="126" ht="60" customFormat="1" customHeight="1" s="81">
      <c r="A126" s="145" t="inlineStr">
        <is>
          <t>2</t>
        </is>
      </c>
      <c r="B126" s="146" t="inlineStr">
        <is>
          <t>2.13.0</t>
        </is>
      </c>
      <c r="C126" s="93" t="inlineStr">
        <is>
          <t>Hybrid</t>
        </is>
      </c>
      <c r="D126" s="94" t="inlineStr">
        <is>
          <t>Awareness and Training</t>
        </is>
      </c>
      <c r="E126" s="95" t="inlineStr">
        <is>
          <t>3.2.2</t>
        </is>
      </c>
      <c r="F126" s="95" t="inlineStr">
        <is>
          <t>03.02.02.0</t>
        </is>
      </c>
      <c r="G126" s="96" t="inlineStr">
        <is>
          <t>AT.L2-3.2.2</t>
        </is>
      </c>
      <c r="H126" s="97" t="n">
        <v>5</v>
      </c>
      <c r="I126" s="94" t="inlineStr">
        <is>
          <t>Ensure that organizational personnel are adequately trained to carry out their assigned information security-related duties and responsibilities.</t>
        </is>
      </c>
      <c r="J126" s="96" t="inlineStr">
        <is>
          <t>Determine if:</t>
        </is>
      </c>
      <c r="K126" s="98" t="inlineStr">
        <is>
          <t>[No Comment Provided]</t>
        </is>
      </c>
      <c r="L126" s="565" t="inlineStr">
        <is>
          <t xml:space="preserve">Overall Status - Pending policy/procedure review meeting and observation of controls in place. 
Updates required to documentation
Test required for validating controls in place
Examine - Policy updates may be required based on interviews/walkthroughs. 
Interview  Controls are currently being implemented. - 
Test - Review testing measures in place. </t>
        </is>
      </c>
      <c r="M126" s="99" t="inlineStr">
        <is>
          <t>Implementation Begun</t>
        </is>
      </c>
      <c r="N126" s="100" t="n"/>
      <c r="O126" s="101">
        <f t="array" ref="O126">IF(AND(OR(M127="Fully Implemented",M127="Not Permitted"),OR(M128="Fully Implemented",M128="Not Permitted"),OR(M129="Fully Implemented",M129="Not Permitted")),0,-1*H126)</f>
        <v/>
      </c>
      <c r="P126" s="619" t="n"/>
      <c r="T126" s="102">
        <f t="array" ref="T126">IF(O126=0,H126,0)</f>
        <v/>
      </c>
    </row>
    <row r="127" ht="30" customFormat="1" customHeight="1" s="81">
      <c r="A127" s="148" t="inlineStr">
        <is>
          <t>2</t>
        </is>
      </c>
      <c r="B127" s="149" t="inlineStr">
        <is>
          <t>2.13.a</t>
        </is>
      </c>
      <c r="C127" s="105" t="inlineStr">
        <is>
          <t>DIY</t>
        </is>
      </c>
      <c r="D127" s="106" t="inlineStr">
        <is>
          <t>Awareness and Training</t>
        </is>
      </c>
      <c r="E127" s="107" t="inlineStr">
        <is>
          <t>3.2.2[a]</t>
        </is>
      </c>
      <c r="F127" s="107" t="inlineStr">
        <is>
          <t>03.02.02.a</t>
        </is>
      </c>
      <c r="G127" s="108" t="inlineStr">
        <is>
          <t>AT.L2-3.2.2</t>
        </is>
      </c>
      <c r="H127" s="150" t="n"/>
      <c r="I127" s="151" t="n"/>
      <c r="J127" s="108" t="inlineStr">
        <is>
          <t>information security-related duties, roles, and responsibilities are defined.</t>
        </is>
      </c>
      <c r="K127" s="152" t="n"/>
      <c r="M127" s="112" t="inlineStr">
        <is>
          <t>Implementation Begun</t>
        </is>
      </c>
      <c r="O127" s="153" t="n"/>
      <c r="P127" s="621" t="n"/>
    </row>
    <row r="128" ht="30" customFormat="1" customHeight="1" s="81">
      <c r="A128" s="148" t="inlineStr">
        <is>
          <t>2</t>
        </is>
      </c>
      <c r="B128" s="149" t="inlineStr">
        <is>
          <t>2.13.b</t>
        </is>
      </c>
      <c r="C128" s="105" t="inlineStr">
        <is>
          <t>DIY</t>
        </is>
      </c>
      <c r="D128" s="106" t="inlineStr">
        <is>
          <t>Awareness and Training</t>
        </is>
      </c>
      <c r="E128" s="107" t="inlineStr">
        <is>
          <t>3.2.2[b]</t>
        </is>
      </c>
      <c r="F128" s="107" t="inlineStr">
        <is>
          <t>03.02.02.b</t>
        </is>
      </c>
      <c r="G128" s="108" t="inlineStr">
        <is>
          <t>AT.L2-3.2.2</t>
        </is>
      </c>
      <c r="H128" s="150" t="n"/>
      <c r="I128" s="151" t="n"/>
      <c r="J128" s="108" t="inlineStr">
        <is>
          <t>information security-related duties, roles, and responsibilities are assigned to designated personnel.</t>
        </is>
      </c>
      <c r="K128" s="152" t="n"/>
      <c r="M128" s="112" t="inlineStr">
        <is>
          <t>Implementation Begun</t>
        </is>
      </c>
      <c r="O128" s="153" t="n"/>
      <c r="P128" s="621" t="n"/>
    </row>
    <row r="129" ht="45.75" customFormat="1" customHeight="1" s="81">
      <c r="A129" s="154" t="inlineStr">
        <is>
          <t>2</t>
        </is>
      </c>
      <c r="B129" s="155" t="inlineStr">
        <is>
          <t>2.13.c</t>
        </is>
      </c>
      <c r="C129" s="116" t="inlineStr">
        <is>
          <t>Outsource</t>
        </is>
      </c>
      <c r="D129" s="117" t="inlineStr">
        <is>
          <t>Awareness and Training</t>
        </is>
      </c>
      <c r="E129" s="118" t="inlineStr">
        <is>
          <t>3.2.2[c]</t>
        </is>
      </c>
      <c r="F129" s="118" t="inlineStr">
        <is>
          <t>03.02.02.c</t>
        </is>
      </c>
      <c r="G129" s="119" t="inlineStr">
        <is>
          <t>AT.L2-3.2.2</t>
        </is>
      </c>
      <c r="H129" s="156" t="n"/>
      <c r="I129" s="160" t="n"/>
      <c r="J129" s="119" t="inlineStr">
        <is>
          <t>personnel are adequately trained to carry out their assigned information security-related duties, roles, and responsibilities.</t>
        </is>
      </c>
      <c r="K129" s="158" t="n"/>
      <c r="M129" s="112" t="inlineStr">
        <is>
          <t>Implementation Begun</t>
        </is>
      </c>
      <c r="N129" s="124" t="n"/>
      <c r="O129" s="159" t="n"/>
      <c r="P129" s="621" t="n"/>
    </row>
    <row r="130" ht="45" customFormat="1" customHeight="1" s="81">
      <c r="A130" s="145" t="inlineStr">
        <is>
          <t>2</t>
        </is>
      </c>
      <c r="B130" s="146" t="inlineStr">
        <is>
          <t>2.14.0</t>
        </is>
      </c>
      <c r="C130" s="93" t="inlineStr">
        <is>
          <t>Outsource</t>
        </is>
      </c>
      <c r="D130" s="94" t="inlineStr">
        <is>
          <t>Awareness and Training</t>
        </is>
      </c>
      <c r="E130" s="95" t="inlineStr">
        <is>
          <t>3.2.3</t>
        </is>
      </c>
      <c r="F130" s="95" t="inlineStr">
        <is>
          <t>03.02.03.0</t>
        </is>
      </c>
      <c r="G130" s="96" t="inlineStr">
        <is>
          <t>AT.L2-3.2.3</t>
        </is>
      </c>
      <c r="H130" s="97" t="n">
        <v>1</v>
      </c>
      <c r="I130" s="94" t="inlineStr">
        <is>
          <t>Provide security awareness training on recognizing and reporting potential indicators of insider threat.</t>
        </is>
      </c>
      <c r="J130" s="96" t="inlineStr">
        <is>
          <t>Determine if:</t>
        </is>
      </c>
      <c r="K130" s="98" t="inlineStr">
        <is>
          <t>[No Comment Provided]</t>
        </is>
      </c>
      <c r="L130" s="565" t="inlineStr">
        <is>
          <t xml:space="preserve">Overall Status - Pending policy/procedure review meeting and observation of controls in place. 
Updates required to documentation
Test required for validating controls in place
Examine - Policy updates may be required based on interviews/walkthroughs. 
Interview  Controls are currently being implemented. - 
Test - Review testing measures in place. </t>
        </is>
      </c>
      <c r="M130" s="99" t="inlineStr">
        <is>
          <t>Implementation Begun</t>
        </is>
      </c>
      <c r="N130" s="100" t="n"/>
      <c r="O130" s="101">
        <f t="array" ref="O130">IF(AND(M131="Fully Implemented",M132="Fully Implemented"),0,-1*H130)</f>
        <v/>
      </c>
      <c r="P130" s="619" t="n"/>
      <c r="T130" s="102">
        <f t="array" ref="T130">IF(O130=0,H130,0)</f>
        <v/>
      </c>
    </row>
    <row r="131" ht="30" customFormat="1" customHeight="1" s="81">
      <c r="A131" s="148" t="inlineStr">
        <is>
          <t>2</t>
        </is>
      </c>
      <c r="B131" s="149" t="inlineStr">
        <is>
          <t>2.14.a</t>
        </is>
      </c>
      <c r="C131" s="105" t="inlineStr">
        <is>
          <t>Outsource</t>
        </is>
      </c>
      <c r="D131" s="106" t="inlineStr">
        <is>
          <t>Awareness and Training</t>
        </is>
      </c>
      <c r="E131" s="107" t="inlineStr">
        <is>
          <t>3.2.3[a]</t>
        </is>
      </c>
      <c r="F131" s="107" t="inlineStr">
        <is>
          <t>03.02.03.a</t>
        </is>
      </c>
      <c r="G131" s="108" t="inlineStr">
        <is>
          <t>AT.L2-3.2.3</t>
        </is>
      </c>
      <c r="H131" s="150" t="n"/>
      <c r="I131" s="151" t="n"/>
      <c r="J131" s="108" t="inlineStr">
        <is>
          <t>potential indicators associated with insider threats are identified.</t>
        </is>
      </c>
      <c r="K131" s="152" t="n"/>
      <c r="M131" s="112" t="inlineStr">
        <is>
          <t>Implementation Begun</t>
        </is>
      </c>
      <c r="O131" s="153" t="n"/>
      <c r="P131" s="621" t="n"/>
    </row>
    <row r="132" ht="45.75" customFormat="1" customHeight="1" s="81">
      <c r="A132" s="154" t="inlineStr">
        <is>
          <t>2</t>
        </is>
      </c>
      <c r="B132" s="155" t="inlineStr">
        <is>
          <t>2.14.b</t>
        </is>
      </c>
      <c r="C132" s="116" t="inlineStr">
        <is>
          <t>Outsource</t>
        </is>
      </c>
      <c r="D132" s="117" t="inlineStr">
        <is>
          <t>Awareness and Training</t>
        </is>
      </c>
      <c r="E132" s="118" t="inlineStr">
        <is>
          <t>3.2.3[b]</t>
        </is>
      </c>
      <c r="F132" s="118" t="inlineStr">
        <is>
          <t>03.02.03.b</t>
        </is>
      </c>
      <c r="G132" s="119" t="inlineStr">
        <is>
          <t>AT.L2-3.2.3</t>
        </is>
      </c>
      <c r="H132" s="156" t="n"/>
      <c r="I132" s="160" t="n"/>
      <c r="J132" s="119" t="inlineStr">
        <is>
          <t>security awareness training on recognizing and reporting potential indicators of insider threat is provided to managers and employees.</t>
        </is>
      </c>
      <c r="K132" s="158" t="n"/>
      <c r="M132" s="112" t="inlineStr">
        <is>
          <t>Implementation Begun</t>
        </is>
      </c>
      <c r="N132" s="124" t="n"/>
      <c r="O132" s="159" t="n"/>
      <c r="P132" s="621" t="n"/>
    </row>
    <row r="133" ht="60" customFormat="1" customHeight="1" s="81">
      <c r="A133" s="145" t="inlineStr">
        <is>
          <t>2</t>
        </is>
      </c>
      <c r="B133" s="146" t="inlineStr">
        <is>
          <t>2.15.0</t>
        </is>
      </c>
      <c r="C133" s="93" t="inlineStr">
        <is>
          <t>Outsource</t>
        </is>
      </c>
      <c r="D133" s="94" t="inlineStr">
        <is>
          <t>Risk Assessment</t>
        </is>
      </c>
      <c r="E133" s="95" t="inlineStr">
        <is>
          <t>3.11.2</t>
        </is>
      </c>
      <c r="F133" s="95" t="inlineStr">
        <is>
          <t>03.11.02.0</t>
        </is>
      </c>
      <c r="G133" s="96" t="inlineStr">
        <is>
          <t>RA.L2-3.11.2</t>
        </is>
      </c>
      <c r="H133" s="97" t="n">
        <v>5</v>
      </c>
      <c r="I133" s="94" t="inlineStr">
        <is>
          <t xml:space="preserve">Scan for vulnerabilities in organizational systems and applications periodically and when new vulnerabilities affecting those systems and applications are identified. </t>
        </is>
      </c>
      <c r="J133" s="96" t="inlineStr">
        <is>
          <t>Determine if:</t>
        </is>
      </c>
      <c r="K133" s="98" t="inlineStr">
        <is>
          <t>[No Comment Provided]</t>
        </is>
      </c>
      <c r="L133" s="565" t="inlineStr">
        <is>
          <t xml:space="preserve">Overall Status - Pending policy/procedure review meeting and observation of controls in place. 
Updates required to documentation
Test required for validating controls in place
Examine - Policy updates may be required based on interviews/walkthroughs. 
Interview  Controls are currently being implemented. - 
Test - Review testing measures in place. </t>
        </is>
      </c>
      <c r="M133" s="99" t="inlineStr">
        <is>
          <t>Implementation Begun</t>
        </is>
      </c>
      <c r="N133" s="100" t="n"/>
      <c r="O133" s="101">
        <f t="array" ref="O133">IF(AND(M134="Fully Implemented",M135="Fully Implemented",M136="Fully Implemented",M137="Fully Implemented",M138="Fully Implemented"),0,-1*H133)</f>
        <v/>
      </c>
      <c r="P133" s="619" t="n"/>
      <c r="T133" s="102">
        <f t="array" ref="T133">IF(O133=0,H133,0)</f>
        <v/>
      </c>
    </row>
    <row r="134" ht="45" customFormat="1" customHeight="1" s="81">
      <c r="A134" s="148" t="inlineStr">
        <is>
          <t>2</t>
        </is>
      </c>
      <c r="B134" s="149" t="inlineStr">
        <is>
          <t>2.15.a</t>
        </is>
      </c>
      <c r="C134" s="105" t="inlineStr">
        <is>
          <t>Outsource</t>
        </is>
      </c>
      <c r="D134" s="106" t="inlineStr">
        <is>
          <t>Risk Assessment</t>
        </is>
      </c>
      <c r="E134" s="107" t="inlineStr">
        <is>
          <t>3.11.2[a]</t>
        </is>
      </c>
      <c r="F134" s="107" t="inlineStr">
        <is>
          <t>03.11.02.a</t>
        </is>
      </c>
      <c r="G134" s="108" t="inlineStr">
        <is>
          <t>RA.L2-3.11.2</t>
        </is>
      </c>
      <c r="H134" s="150" t="n"/>
      <c r="I134" s="151" t="n"/>
      <c r="J134" s="108" t="inlineStr">
        <is>
          <t>the frequency to scan for vulnerabilities in an organizational system and its applications that process, store, or transmit CUI is defined.</t>
        </is>
      </c>
      <c r="K134" s="152" t="n"/>
      <c r="M134" s="112" t="inlineStr">
        <is>
          <t>Implementation Begun</t>
        </is>
      </c>
      <c r="O134" s="153" t="n"/>
      <c r="P134" s="621" t="n"/>
    </row>
    <row r="135" ht="45" customFormat="1" customHeight="1" s="81">
      <c r="A135" s="148" t="inlineStr">
        <is>
          <t>2</t>
        </is>
      </c>
      <c r="B135" s="149" t="inlineStr">
        <is>
          <t>2.15.b</t>
        </is>
      </c>
      <c r="C135" s="105" t="inlineStr">
        <is>
          <t>Outsource</t>
        </is>
      </c>
      <c r="D135" s="106" t="inlineStr">
        <is>
          <t>Risk Assessment</t>
        </is>
      </c>
      <c r="E135" s="107" t="inlineStr">
        <is>
          <t>3.11.2[b]</t>
        </is>
      </c>
      <c r="F135" s="107" t="inlineStr">
        <is>
          <t>03.11.02.b</t>
        </is>
      </c>
      <c r="G135" s="108" t="inlineStr">
        <is>
          <t>RA.L2-3.11.2</t>
        </is>
      </c>
      <c r="H135" s="150" t="n"/>
      <c r="I135" s="151" t="n"/>
      <c r="J135" s="108" t="inlineStr">
        <is>
          <t>vulnerability scans are performed in an organizational system that processes, stores, or transmits CUI with the defined frequency.</t>
        </is>
      </c>
      <c r="K135" s="152" t="n"/>
      <c r="M135" s="112" t="inlineStr">
        <is>
          <t>Implementation Begun</t>
        </is>
      </c>
      <c r="O135" s="153" t="n"/>
      <c r="P135" s="621" t="n"/>
    </row>
    <row r="136" ht="30" customFormat="1" customHeight="1" s="81">
      <c r="A136" s="148" t="inlineStr">
        <is>
          <t>2</t>
        </is>
      </c>
      <c r="B136" s="149" t="inlineStr">
        <is>
          <t>2.15.c</t>
        </is>
      </c>
      <c r="C136" s="105" t="inlineStr">
        <is>
          <t>Outsource</t>
        </is>
      </c>
      <c r="D136" s="106" t="inlineStr">
        <is>
          <t>Risk Assessment</t>
        </is>
      </c>
      <c r="E136" s="107" t="inlineStr">
        <is>
          <t>3.11.2[c]</t>
        </is>
      </c>
      <c r="F136" s="107" t="inlineStr">
        <is>
          <t>03.11.02.c</t>
        </is>
      </c>
      <c r="G136" s="108" t="inlineStr">
        <is>
          <t>RA.L2-3.11.2</t>
        </is>
      </c>
      <c r="H136" s="150" t="n"/>
      <c r="I136" s="151" t="n"/>
      <c r="J136" s="108" t="inlineStr">
        <is>
          <t>vulnerability scans are performed in an application that contains CUI with the defined frequency.</t>
        </is>
      </c>
      <c r="K136" s="152" t="n"/>
      <c r="M136" s="112" t="inlineStr">
        <is>
          <t>Implementation Begun</t>
        </is>
      </c>
      <c r="O136" s="153" t="n"/>
      <c r="P136" s="621" t="n"/>
    </row>
    <row r="137" ht="45" customFormat="1" customHeight="1" s="81">
      <c r="A137" s="148" t="inlineStr">
        <is>
          <t>2</t>
        </is>
      </c>
      <c r="B137" s="149" t="inlineStr">
        <is>
          <t>2.15.d</t>
        </is>
      </c>
      <c r="C137" s="105" t="inlineStr">
        <is>
          <t>Outsource</t>
        </is>
      </c>
      <c r="D137" s="106" t="inlineStr">
        <is>
          <t>Risk Assessment</t>
        </is>
      </c>
      <c r="E137" s="107" t="inlineStr">
        <is>
          <t>3.11.2[d]</t>
        </is>
      </c>
      <c r="F137" s="107" t="inlineStr">
        <is>
          <t>03.11.02.d</t>
        </is>
      </c>
      <c r="G137" s="108" t="inlineStr">
        <is>
          <t>RA.L2-3.11.2</t>
        </is>
      </c>
      <c r="H137" s="150" t="n"/>
      <c r="I137" s="151" t="n"/>
      <c r="J137" s="108" t="inlineStr">
        <is>
          <t>vulnerability scans are performed in an organizational system that processes, stores, or transmits CUI when new vulnerabilities are identified.</t>
        </is>
      </c>
      <c r="K137" s="152" t="n"/>
      <c r="M137" s="112" t="inlineStr">
        <is>
          <t>Implementation Begun</t>
        </is>
      </c>
      <c r="O137" s="153" t="n"/>
      <c r="P137" s="621" t="n"/>
    </row>
    <row r="138" ht="45.75" customFormat="1" customHeight="1" s="81">
      <c r="A138" s="154" t="inlineStr">
        <is>
          <t>2</t>
        </is>
      </c>
      <c r="B138" s="155" t="inlineStr">
        <is>
          <t>2.15.e</t>
        </is>
      </c>
      <c r="C138" s="116" t="inlineStr">
        <is>
          <t>Outsource</t>
        </is>
      </c>
      <c r="D138" s="117" t="inlineStr">
        <is>
          <t>Risk Assessment</t>
        </is>
      </c>
      <c r="E138" s="118" t="inlineStr">
        <is>
          <t>3.11.2[e]</t>
        </is>
      </c>
      <c r="F138" s="118" t="inlineStr">
        <is>
          <t>03.11.02.e</t>
        </is>
      </c>
      <c r="G138" s="119" t="inlineStr">
        <is>
          <t>RA.L2-3.11.2</t>
        </is>
      </c>
      <c r="H138" s="156" t="n"/>
      <c r="I138" s="160" t="n"/>
      <c r="J138" s="119" t="inlineStr">
        <is>
          <t>vulnerability scans are performed in an application that contains CUI when new vulnerabilities are identified.</t>
        </is>
      </c>
      <c r="K138" s="158" t="n"/>
      <c r="M138" s="112" t="inlineStr">
        <is>
          <t>Implementation Begun</t>
        </is>
      </c>
      <c r="N138" s="124" t="n"/>
      <c r="O138" s="159" t="n"/>
      <c r="P138" s="621" t="n"/>
    </row>
    <row r="139" ht="90" customFormat="1" customHeight="1" s="81">
      <c r="A139" s="145" t="inlineStr">
        <is>
          <t>2</t>
        </is>
      </c>
      <c r="B139" s="146" t="inlineStr">
        <is>
          <t>2.16.0</t>
        </is>
      </c>
      <c r="C139" s="93" t="inlineStr">
        <is>
          <t>DIY</t>
        </is>
      </c>
      <c r="D139" s="94" t="inlineStr">
        <is>
          <t>Risk Assessment</t>
        </is>
      </c>
      <c r="E139" s="95" t="inlineStr">
        <is>
          <t>3.11.1</t>
        </is>
      </c>
      <c r="F139" s="95" t="inlineStr">
        <is>
          <t>03.11.01.0</t>
        </is>
      </c>
      <c r="G139" s="96" t="inlineStr">
        <is>
          <t>RA.L2-3.11.1</t>
        </is>
      </c>
      <c r="H139" s="97" t="n">
        <v>3</v>
      </c>
      <c r="I139" s="94" t="inlineStr">
        <is>
          <t>Periodically assess the risk to organizational operations (including mission, functions, image, or reputation), organizational assets, and individuals, resulting from the operation of organizational systems and the associated processing, storage, or transmission of CUI</t>
        </is>
      </c>
      <c r="J139" s="96" t="inlineStr">
        <is>
          <t>Determine if:</t>
        </is>
      </c>
      <c r="K139" s="98" t="inlineStr">
        <is>
          <t>[No Comment Provided]</t>
        </is>
      </c>
      <c r="L139" s="565" t="inlineStr">
        <is>
          <t xml:space="preserve">Overall Status - Pending policy/procedure review meeting and observation of controls in place. 
Updates required to documentation
Test required for validating controls in place
Examine - Policy updates may be required based on interviews/walkthroughs. 
Interview  Controls are currently being implemented. - 
Test - Review testing measures in place. </t>
        </is>
      </c>
      <c r="M139" s="99" t="inlineStr">
        <is>
          <t>Implementation Begun</t>
        </is>
      </c>
      <c r="N139" s="100" t="n"/>
      <c r="O139" s="101">
        <f t="array" ref="O139">IF(AND(M140="Fully Implemented",M141="Fully Implemented"),0,-1*H139)</f>
        <v/>
      </c>
      <c r="P139" s="619" t="n"/>
      <c r="T139" s="102">
        <f t="array" ref="T139">IF(O139=0,H139,0)</f>
        <v/>
      </c>
    </row>
    <row r="140" ht="45" customFormat="1" customHeight="1" s="81">
      <c r="A140" s="148" t="inlineStr">
        <is>
          <t>2</t>
        </is>
      </c>
      <c r="B140" s="149" t="inlineStr">
        <is>
          <t>2.16.a</t>
        </is>
      </c>
      <c r="C140" s="105" t="inlineStr">
        <is>
          <t>DIY</t>
        </is>
      </c>
      <c r="D140" s="106" t="inlineStr">
        <is>
          <t>Risk Assessment</t>
        </is>
      </c>
      <c r="E140" s="107" t="inlineStr">
        <is>
          <t>3.11.1[a]</t>
        </is>
      </c>
      <c r="F140" s="107" t="inlineStr">
        <is>
          <t>03.11.01.a</t>
        </is>
      </c>
      <c r="G140" s="108" t="inlineStr">
        <is>
          <t>RA.L2-3.11.1</t>
        </is>
      </c>
      <c r="H140" s="150" t="n"/>
      <c r="I140" s="151" t="n"/>
      <c r="J140" s="108" t="inlineStr">
        <is>
          <t>the frequency to assess risk to organizational operations, organizational assets, and individuals is defined.</t>
        </is>
      </c>
      <c r="K140" s="152" t="n"/>
      <c r="M140" s="112" t="inlineStr">
        <is>
          <t>Implementation Begun</t>
        </is>
      </c>
      <c r="O140" s="153" t="n"/>
      <c r="P140" s="621" t="n"/>
    </row>
    <row r="141" ht="60.75" customFormat="1" customHeight="1" s="81">
      <c r="A141" s="154" t="inlineStr">
        <is>
          <t>2</t>
        </is>
      </c>
      <c r="B141" s="155" t="inlineStr">
        <is>
          <t>2.16.b</t>
        </is>
      </c>
      <c r="C141" s="116" t="inlineStr">
        <is>
          <t>DIY</t>
        </is>
      </c>
      <c r="D141" s="117" t="inlineStr">
        <is>
          <t>Risk Assessment</t>
        </is>
      </c>
      <c r="E141" s="118" t="inlineStr">
        <is>
          <t>3.11.1[b]</t>
        </is>
      </c>
      <c r="F141" s="118" t="inlineStr">
        <is>
          <t>03.11.01.b</t>
        </is>
      </c>
      <c r="G141" s="119" t="inlineStr">
        <is>
          <t>RA.L2-3.11.1</t>
        </is>
      </c>
      <c r="H141" s="156" t="n"/>
      <c r="I141" s="160" t="n"/>
      <c r="J141" s="119" t="inlineStr">
        <is>
          <t>risk to organizational operations, organizational assets, and individuals resulting from the operation of an organizational system that processes, stores, or transmits CUI is assessed with the defined frequency.</t>
        </is>
      </c>
      <c r="K141" s="158" t="n"/>
      <c r="M141" s="112" t="inlineStr">
        <is>
          <t>Implementation Begun</t>
        </is>
      </c>
      <c r="N141" s="124" t="n"/>
      <c r="O141" s="159" t="n"/>
      <c r="P141" s="621" t="n"/>
    </row>
    <row r="142" ht="30" customFormat="1" customHeight="1" s="81">
      <c r="A142" s="145" t="inlineStr">
        <is>
          <t>2</t>
        </is>
      </c>
      <c r="B142" s="146" t="inlineStr">
        <is>
          <t>2.17.0</t>
        </is>
      </c>
      <c r="C142" s="93" t="inlineStr">
        <is>
          <t>DIY</t>
        </is>
      </c>
      <c r="D142" s="94" t="inlineStr">
        <is>
          <t>Risk Assessment</t>
        </is>
      </c>
      <c r="E142" s="95" t="inlineStr">
        <is>
          <t>3.11.3</t>
        </is>
      </c>
      <c r="F142" s="95" t="inlineStr">
        <is>
          <t>03.11.03.0</t>
        </is>
      </c>
      <c r="G142" s="96" t="inlineStr">
        <is>
          <t>RA.L2-3.11.3</t>
        </is>
      </c>
      <c r="H142" s="97" t="n">
        <v>1</v>
      </c>
      <c r="I142" s="94" t="inlineStr">
        <is>
          <t xml:space="preserve">Remediate vulnerabilities in accordance with risk assessments. </t>
        </is>
      </c>
      <c r="J142" s="96" t="inlineStr">
        <is>
          <t>Determine if:</t>
        </is>
      </c>
      <c r="K142" s="98" t="inlineStr">
        <is>
          <t>[No Comment Provided]</t>
        </is>
      </c>
      <c r="L142" s="565" t="inlineStr">
        <is>
          <t xml:space="preserve">Overall Status - Pending policy/procedure review meeting and observation of controls in place. 
Updates required to documentation
Test required for validating controls in place
Examine - Policy updates may be required based on interviews/walkthroughs. 
Interview  Controls are currently being implemented. - 
Test - Review testing measures in place. </t>
        </is>
      </c>
      <c r="M142" s="99" t="inlineStr">
        <is>
          <t>Implementation Begun</t>
        </is>
      </c>
      <c r="N142" s="100" t="n"/>
      <c r="O142" s="101">
        <f t="array" ref="O142">IF(AND(M143="Fully Implemented",M144="Fully Implemented"),0,-1*H142)</f>
        <v/>
      </c>
      <c r="P142" s="619" t="n"/>
      <c r="T142" s="102">
        <f t="array" ref="T142">IF(O142=0,H142,0)</f>
        <v/>
      </c>
    </row>
    <row r="143" ht="13.5" customFormat="1" customHeight="1" s="81">
      <c r="A143" s="148" t="inlineStr">
        <is>
          <t>2</t>
        </is>
      </c>
      <c r="B143" s="149" t="inlineStr">
        <is>
          <t>2.17.a</t>
        </is>
      </c>
      <c r="C143" s="105" t="inlineStr">
        <is>
          <t>DIY</t>
        </is>
      </c>
      <c r="D143" s="106" t="inlineStr">
        <is>
          <t>Risk Assessment</t>
        </is>
      </c>
      <c r="E143" s="107" t="inlineStr">
        <is>
          <t>3.11.3[a]</t>
        </is>
      </c>
      <c r="F143" s="107" t="inlineStr">
        <is>
          <t>03.11.03.a</t>
        </is>
      </c>
      <c r="G143" s="108" t="inlineStr">
        <is>
          <t>RA.L2-3.11.3</t>
        </is>
      </c>
      <c r="H143" s="150" t="n"/>
      <c r="I143" s="151" t="n"/>
      <c r="J143" s="108" t="inlineStr">
        <is>
          <t>vulnerabilities are identified.</t>
        </is>
      </c>
      <c r="K143" s="152" t="n"/>
      <c r="M143" s="112" t="inlineStr">
        <is>
          <t>Implementation Begun</t>
        </is>
      </c>
      <c r="O143" s="153" t="n"/>
      <c r="P143" s="621" t="n"/>
    </row>
    <row r="144" ht="30.75" customFormat="1" customHeight="1" s="81">
      <c r="A144" s="154" t="inlineStr">
        <is>
          <t>2</t>
        </is>
      </c>
      <c r="B144" s="155" t="inlineStr">
        <is>
          <t>2.17.b</t>
        </is>
      </c>
      <c r="C144" s="116" t="inlineStr">
        <is>
          <t>DIY</t>
        </is>
      </c>
      <c r="D144" s="117" t="inlineStr">
        <is>
          <t>Risk Assessment</t>
        </is>
      </c>
      <c r="E144" s="118" t="inlineStr">
        <is>
          <t>3.11.3[b]</t>
        </is>
      </c>
      <c r="F144" s="118" t="inlineStr">
        <is>
          <t>03.11.03.b</t>
        </is>
      </c>
      <c r="G144" s="119" t="inlineStr">
        <is>
          <t>RA.L2-3.11.3</t>
        </is>
      </c>
      <c r="H144" s="156" t="n"/>
      <c r="I144" s="160" t="n"/>
      <c r="J144" s="119" t="inlineStr">
        <is>
          <t>vulnerabilities are remediated in accordance with risk assessments.</t>
        </is>
      </c>
      <c r="K144" s="158" t="n"/>
      <c r="M144" s="112" t="inlineStr">
        <is>
          <t>Implementation Begun</t>
        </is>
      </c>
      <c r="N144" s="124" t="n"/>
      <c r="O144" s="159" t="n"/>
      <c r="P144" s="621" t="n"/>
    </row>
    <row r="145" ht="15.75" customFormat="1" customHeight="1" s="81">
      <c r="A145" s="161" t="inlineStr">
        <is>
          <t>2</t>
        </is>
      </c>
      <c r="B145" s="162" t="inlineStr">
        <is>
          <t>2.18.0</t>
        </is>
      </c>
      <c r="C145" s="130" t="inlineStr">
        <is>
          <t>DIY</t>
        </is>
      </c>
      <c r="D145" s="131" t="inlineStr">
        <is>
          <t>Maintenance</t>
        </is>
      </c>
      <c r="E145" s="132" t="inlineStr">
        <is>
          <t>3.7.1</t>
        </is>
      </c>
      <c r="F145" s="132" t="inlineStr">
        <is>
          <t>03.07.01.0</t>
        </is>
      </c>
      <c r="G145" s="133" t="inlineStr">
        <is>
          <t>MA.L2-3.7.1</t>
        </is>
      </c>
      <c r="H145" s="134" t="n">
        <v>3</v>
      </c>
      <c r="I145" s="131" t="inlineStr">
        <is>
          <t>Perform maintenance on organizational systems.</t>
        </is>
      </c>
      <c r="J145" s="133" t="inlineStr">
        <is>
          <t>Determine if system maintenance is performed.</t>
        </is>
      </c>
      <c r="K145" s="135" t="inlineStr">
        <is>
          <t>[No Comment Provided]</t>
        </is>
      </c>
      <c r="L145" s="565" t="inlineStr">
        <is>
          <t xml:space="preserve">Overall Status - Pending policy/procedure review meeting and observation of controls in place. 
Updates required to documentation
Test required for validating controls in place
Examine - Policy updates may be required based on interviews/walkthroughs. 
Interview  Controls are currently being implemented. - 
Test - Review testing measures in place. </t>
        </is>
      </c>
      <c r="M145" s="112" t="inlineStr">
        <is>
          <t>Implementation Begun</t>
        </is>
      </c>
      <c r="N145" s="136" t="n"/>
      <c r="O145" s="137">
        <f t="array" ref="O145">IF(M145&lt;&gt;"Fully Implemented",-1*H145,0)</f>
        <v/>
      </c>
      <c r="P145" s="619" t="n"/>
      <c r="T145" s="102">
        <f t="array" ref="T145">IF(O145=0,H145,0)</f>
        <v/>
      </c>
    </row>
    <row r="146" ht="45" customFormat="1" customHeight="1" s="81">
      <c r="A146" s="145" t="inlineStr">
        <is>
          <t>2</t>
        </is>
      </c>
      <c r="B146" s="146" t="inlineStr">
        <is>
          <t>2.19.0</t>
        </is>
      </c>
      <c r="C146" s="93" t="inlineStr">
        <is>
          <t>Outsource</t>
        </is>
      </c>
      <c r="D146" s="94" t="inlineStr">
        <is>
          <t>Maintenance</t>
        </is>
      </c>
      <c r="E146" s="95" t="inlineStr">
        <is>
          <t>3.7.2</t>
        </is>
      </c>
      <c r="F146" s="95" t="inlineStr">
        <is>
          <t>03.07.02.0</t>
        </is>
      </c>
      <c r="G146" s="96" t="inlineStr">
        <is>
          <t>MA.L2-3.7.2</t>
        </is>
      </c>
      <c r="H146" s="97" t="n">
        <v>5</v>
      </c>
      <c r="I146" s="94" t="inlineStr">
        <is>
          <t xml:space="preserve">Provide controls on the tools, techniques, mechanisms, and personnel used to conduct system maintenance. </t>
        </is>
      </c>
      <c r="J146" s="96" t="inlineStr">
        <is>
          <t>Determine if:</t>
        </is>
      </c>
      <c r="K146" s="98" t="inlineStr">
        <is>
          <t>[No Comment Provided]</t>
        </is>
      </c>
      <c r="L146" s="565" t="inlineStr">
        <is>
          <t xml:space="preserve">Overall Status - Pending policy/procedure review meeting and observation of controls in place. 
Updates required to documentation
Test required for validating controls in place
Examine - Policy updates may be required based on interviews/walkthroughs. 
Interview  Controls are currently being implemented. - 
Test - Review testing measures in place. </t>
        </is>
      </c>
      <c r="M146" s="99" t="inlineStr">
        <is>
          <t>Implementation Begun</t>
        </is>
      </c>
      <c r="N146" s="100" t="n"/>
      <c r="O146" s="101">
        <f t="array" ref="O146">IF(AND(M147="Fully Implemented",M148="Fully Implemented",M149="Fully Implemented",M150="Fully Implemented"),0,-1*H146)</f>
        <v/>
      </c>
      <c r="P146" s="619" t="n"/>
      <c r="T146" s="102">
        <f t="array" ref="T146">IF(O146=0,H146,0)</f>
        <v/>
      </c>
    </row>
    <row r="147" ht="30" customFormat="1" customHeight="1" s="81">
      <c r="A147" s="148" t="inlineStr">
        <is>
          <t>2</t>
        </is>
      </c>
      <c r="B147" s="149" t="inlineStr">
        <is>
          <t>2.19.a</t>
        </is>
      </c>
      <c r="C147" s="105" t="inlineStr">
        <is>
          <t>Outsource</t>
        </is>
      </c>
      <c r="D147" s="106" t="inlineStr">
        <is>
          <t>Maintenance</t>
        </is>
      </c>
      <c r="E147" s="107" t="inlineStr">
        <is>
          <t>3.7.2[a]</t>
        </is>
      </c>
      <c r="F147" s="107" t="inlineStr">
        <is>
          <t>03.07.02.a</t>
        </is>
      </c>
      <c r="G147" s="108" t="inlineStr">
        <is>
          <t>MA.L2-3.7.2</t>
        </is>
      </c>
      <c r="H147" s="150" t="n"/>
      <c r="I147" s="151" t="n"/>
      <c r="J147" s="108" t="inlineStr">
        <is>
          <t>tools used to conduct system maintenance are controlled.</t>
        </is>
      </c>
      <c r="K147" s="152" t="n"/>
      <c r="M147" s="112" t="inlineStr">
        <is>
          <t>Implementation Begun</t>
        </is>
      </c>
      <c r="O147" s="153" t="n"/>
      <c r="P147" s="621" t="n"/>
    </row>
    <row r="148" ht="30" customFormat="1" customHeight="1" s="81">
      <c r="A148" s="148" t="inlineStr">
        <is>
          <t>2</t>
        </is>
      </c>
      <c r="B148" s="149" t="inlineStr">
        <is>
          <t>2.19.b</t>
        </is>
      </c>
      <c r="C148" s="105" t="inlineStr">
        <is>
          <t>Outsource</t>
        </is>
      </c>
      <c r="D148" s="106" t="inlineStr">
        <is>
          <t>Maintenance</t>
        </is>
      </c>
      <c r="E148" s="107" t="inlineStr">
        <is>
          <t>3.7.2[b]</t>
        </is>
      </c>
      <c r="F148" s="107" t="inlineStr">
        <is>
          <t>03.07.02.b</t>
        </is>
      </c>
      <c r="G148" s="108" t="inlineStr">
        <is>
          <t>MA.L2-3.7.2</t>
        </is>
      </c>
      <c r="H148" s="150" t="n"/>
      <c r="I148" s="151" t="n"/>
      <c r="J148" s="108" t="inlineStr">
        <is>
          <t>techniques used to conduct system maintenance are controlled.</t>
        </is>
      </c>
      <c r="K148" s="152" t="n"/>
      <c r="M148" s="112" t="inlineStr">
        <is>
          <t>Implementation Begun</t>
        </is>
      </c>
      <c r="O148" s="153" t="n"/>
      <c r="P148" s="621" t="n"/>
    </row>
    <row r="149" ht="30" customFormat="1" customHeight="1" s="81">
      <c r="A149" s="148" t="inlineStr">
        <is>
          <t>2</t>
        </is>
      </c>
      <c r="B149" s="149" t="inlineStr">
        <is>
          <t>2.19.c</t>
        </is>
      </c>
      <c r="C149" s="105" t="inlineStr">
        <is>
          <t>Outsource</t>
        </is>
      </c>
      <c r="D149" s="106" t="inlineStr">
        <is>
          <t>Maintenance</t>
        </is>
      </c>
      <c r="E149" s="107" t="inlineStr">
        <is>
          <t>3.7.2[c]</t>
        </is>
      </c>
      <c r="F149" s="107" t="inlineStr">
        <is>
          <t>03.07.02.c</t>
        </is>
      </c>
      <c r="G149" s="108" t="inlineStr">
        <is>
          <t>MA.L2-3.7.2</t>
        </is>
      </c>
      <c r="H149" s="150" t="n"/>
      <c r="I149" s="151" t="n"/>
      <c r="J149" s="108" t="inlineStr">
        <is>
          <t>mechanisms used to conduct system maintenance are controlled.</t>
        </is>
      </c>
      <c r="K149" s="152" t="n"/>
      <c r="M149" s="112" t="inlineStr">
        <is>
          <t>Implementation Begun</t>
        </is>
      </c>
      <c r="O149" s="153" t="n"/>
      <c r="P149" s="621" t="n"/>
    </row>
    <row r="150" ht="30.75" customFormat="1" customHeight="1" s="81">
      <c r="A150" s="154" t="inlineStr">
        <is>
          <t>2</t>
        </is>
      </c>
      <c r="B150" s="155" t="inlineStr">
        <is>
          <t>2.19.d</t>
        </is>
      </c>
      <c r="C150" s="116" t="inlineStr">
        <is>
          <t>Outsource</t>
        </is>
      </c>
      <c r="D150" s="117" t="inlineStr">
        <is>
          <t>Maintenance</t>
        </is>
      </c>
      <c r="E150" s="118" t="inlineStr">
        <is>
          <t>3.7.2[d]</t>
        </is>
      </c>
      <c r="F150" s="118" t="inlineStr">
        <is>
          <t>03.07.02.d</t>
        </is>
      </c>
      <c r="G150" s="119" t="inlineStr">
        <is>
          <t>MA.L2-3.7.2</t>
        </is>
      </c>
      <c r="H150" s="156" t="n"/>
      <c r="I150" s="160" t="n"/>
      <c r="J150" s="119" t="inlineStr">
        <is>
          <t>personnel used to conduct system maintenance are controlled.</t>
        </is>
      </c>
      <c r="K150" s="158" t="n"/>
      <c r="M150" s="112" t="inlineStr">
        <is>
          <t>Implementation Begun</t>
        </is>
      </c>
      <c r="N150" s="124" t="n"/>
      <c r="O150" s="159" t="n"/>
      <c r="P150" s="621" t="n"/>
    </row>
    <row r="151" ht="45.75" customFormat="1" customHeight="1" s="81">
      <c r="A151" s="161" t="inlineStr">
        <is>
          <t>2</t>
        </is>
      </c>
      <c r="B151" s="162" t="inlineStr">
        <is>
          <t>2.2.0</t>
        </is>
      </c>
      <c r="C151" s="130" t="inlineStr">
        <is>
          <t>DIY</t>
        </is>
      </c>
      <c r="D151" s="131" t="inlineStr">
        <is>
          <t>Maintenance</t>
        </is>
      </c>
      <c r="E151" s="132" t="inlineStr">
        <is>
          <t>3.7.6</t>
        </is>
      </c>
      <c r="F151" s="132" t="inlineStr">
        <is>
          <t>03.07.06.0</t>
        </is>
      </c>
      <c r="G151" s="133" t="inlineStr">
        <is>
          <t>MA.L2-3.7.6</t>
        </is>
      </c>
      <c r="H151" s="134" t="n">
        <v>1</v>
      </c>
      <c r="I151" s="131" t="inlineStr">
        <is>
          <t>Supervise the maintenance activities of maintenance personnel without required access authorization.</t>
        </is>
      </c>
      <c r="J151" s="133" t="inlineStr">
        <is>
          <t>Determine if maintenance personnel without required access authorization are supervised during maintenance activities.</t>
        </is>
      </c>
      <c r="K151" s="135" t="inlineStr">
        <is>
          <t>[No Comment Provided]</t>
        </is>
      </c>
      <c r="L151" s="565" t="inlineStr">
        <is>
          <t xml:space="preserve">Overall Status - Pending policy/procedure review meeting and observation of controls in place. 
Updates required to documentation
Test required for validating controls in place
Examine - Policy updates may be required based on interviews/walkthroughs. 
Interview  Controls are currently being implemented. - 
Test - Review testing measures in place. </t>
        </is>
      </c>
      <c r="M151" s="112" t="inlineStr">
        <is>
          <t>Implementation Begun</t>
        </is>
      </c>
      <c r="N151" s="136" t="n"/>
      <c r="O151" s="137">
        <f t="array" ref="O151">IF(M151&lt;&gt;"Fully Implemented",-1*H151,0)</f>
        <v/>
      </c>
      <c r="P151" s="619" t="n"/>
      <c r="T151" s="102">
        <f t="array" ref="T151">IF(O151=0,H151,0)</f>
        <v/>
      </c>
    </row>
    <row r="152" ht="75" customFormat="1" customHeight="1" s="81">
      <c r="A152" s="145" t="inlineStr">
        <is>
          <t>2</t>
        </is>
      </c>
      <c r="B152" s="146" t="inlineStr">
        <is>
          <t>2.21.0</t>
        </is>
      </c>
      <c r="C152" s="93" t="inlineStr">
        <is>
          <t>Hybrid</t>
        </is>
      </c>
      <c r="D152" s="94" t="inlineStr">
        <is>
          <t>System and Communications Protection</t>
        </is>
      </c>
      <c r="E152" s="95" t="inlineStr">
        <is>
          <t>3.13.2</t>
        </is>
      </c>
      <c r="F152" s="95" t="inlineStr">
        <is>
          <t>03.13.02.0</t>
        </is>
      </c>
      <c r="G152" s="96" t="inlineStr">
        <is>
          <t>SC.L2-3.13.2</t>
        </is>
      </c>
      <c r="H152" s="97" t="n">
        <v>5</v>
      </c>
      <c r="I152" s="94" t="inlineStr">
        <is>
          <t xml:space="preserve">Employ architectural designs, software development techniques, and systems engineering principles that promote effective information security within organizational systems. </t>
        </is>
      </c>
      <c r="J152" s="96" t="inlineStr">
        <is>
          <t>Determine if:</t>
        </is>
      </c>
      <c r="K152" s="98" t="inlineStr">
        <is>
          <t>[No Comment Provided]</t>
        </is>
      </c>
      <c r="L152" s="565" t="inlineStr">
        <is>
          <t xml:space="preserve">Overall Status - Pending policy/procedure review meeting and observation of controls in place. 
Updates required to documentation
Test required for validating controls in place
Examine - Policy updates may be required based on interviews/walkthroughs. 
Interview  Controls are currently being implemented. - 
Test - Review testing measures in place. </t>
        </is>
      </c>
      <c r="M152" s="99" t="inlineStr">
        <is>
          <t>Implementation Begun</t>
        </is>
      </c>
      <c r="N152" s="100" t="n"/>
      <c r="O152" s="101">
        <f t="array" ref="O152">IF(AND(M153="Fully Implemented",M154="Fully Implemented",M155="Fully Implemented",M156="Fully Implemented",M157="Fully Implemented",M158="Fully Implemented"),0,-1*H152)</f>
        <v/>
      </c>
      <c r="P152" s="619" t="n"/>
      <c r="T152" s="102">
        <f t="array" ref="T152">IF(O152=0,H152,0)</f>
        <v/>
      </c>
    </row>
    <row r="153" ht="30" customFormat="1" customHeight="1" s="81">
      <c r="A153" s="148" t="inlineStr">
        <is>
          <t>2</t>
        </is>
      </c>
      <c r="B153" s="149" t="inlineStr">
        <is>
          <t>2.21.a</t>
        </is>
      </c>
      <c r="C153" s="105" t="inlineStr">
        <is>
          <t>Outsource</t>
        </is>
      </c>
      <c r="D153" s="106" t="inlineStr">
        <is>
          <t>System and Communications Protection</t>
        </is>
      </c>
      <c r="E153" s="107" t="inlineStr">
        <is>
          <t>3.13.2[a]</t>
        </is>
      </c>
      <c r="F153" s="107" t="inlineStr">
        <is>
          <t>03.13.02.a</t>
        </is>
      </c>
      <c r="G153" s="108" t="inlineStr">
        <is>
          <t>SC.L2-3.13.2</t>
        </is>
      </c>
      <c r="H153" s="150" t="n"/>
      <c r="I153" s="151" t="n"/>
      <c r="J153" s="108" t="inlineStr">
        <is>
          <t>architectural designs that promote effective information security are identified.</t>
        </is>
      </c>
      <c r="K153" s="152" t="n"/>
      <c r="M153" s="112" t="inlineStr">
        <is>
          <t>Implementation Begun</t>
        </is>
      </c>
      <c r="O153" s="153" t="n"/>
      <c r="P153" s="621" t="n"/>
    </row>
    <row r="154" ht="30" customFormat="1" customHeight="1" s="81">
      <c r="A154" s="148" t="inlineStr">
        <is>
          <t>2</t>
        </is>
      </c>
      <c r="B154" s="149" t="inlineStr">
        <is>
          <t>2.21.b</t>
        </is>
      </c>
      <c r="C154" s="105" t="inlineStr">
        <is>
          <t>DIY</t>
        </is>
      </c>
      <c r="D154" s="106" t="inlineStr">
        <is>
          <t>System and Communications Protection</t>
        </is>
      </c>
      <c r="E154" s="107" t="inlineStr">
        <is>
          <t>3.13.2[b]</t>
        </is>
      </c>
      <c r="F154" s="107" t="inlineStr">
        <is>
          <t>03.13.02.b</t>
        </is>
      </c>
      <c r="G154" s="108" t="inlineStr">
        <is>
          <t>SC.L2-3.13.2</t>
        </is>
      </c>
      <c r="H154" s="150" t="n"/>
      <c r="I154" s="151" t="n"/>
      <c r="J154" s="108" t="inlineStr">
        <is>
          <t>software development techniques that promote effective information security are identified.</t>
        </is>
      </c>
      <c r="K154" s="152" t="n"/>
      <c r="M154" s="112" t="inlineStr">
        <is>
          <t>Implementation Begun</t>
        </is>
      </c>
      <c r="O154" s="153" t="n"/>
      <c r="P154" s="621" t="n"/>
    </row>
    <row r="155" ht="30" customFormat="1" customHeight="1" s="81">
      <c r="A155" s="148" t="inlineStr">
        <is>
          <t>2</t>
        </is>
      </c>
      <c r="B155" s="149" t="inlineStr">
        <is>
          <t>2.21.c</t>
        </is>
      </c>
      <c r="C155" s="105" t="inlineStr">
        <is>
          <t>Outsource</t>
        </is>
      </c>
      <c r="D155" s="106" t="inlineStr">
        <is>
          <t>System and Communications Protection</t>
        </is>
      </c>
      <c r="E155" s="107" t="inlineStr">
        <is>
          <t>3.13.2[c]</t>
        </is>
      </c>
      <c r="F155" s="107" t="inlineStr">
        <is>
          <t>03.13.02.c</t>
        </is>
      </c>
      <c r="G155" s="108" t="inlineStr">
        <is>
          <t>SC.L2-3.13.2</t>
        </is>
      </c>
      <c r="H155" s="150" t="n"/>
      <c r="I155" s="151" t="n"/>
      <c r="J155" s="108" t="inlineStr">
        <is>
          <t>systems engineering principles that promote effective information security are identified.</t>
        </is>
      </c>
      <c r="K155" s="152" t="n"/>
      <c r="M155" s="112" t="inlineStr">
        <is>
          <t>Implementation Begun</t>
        </is>
      </c>
      <c r="O155" s="153" t="n"/>
      <c r="P155" s="621" t="n"/>
    </row>
    <row r="156" ht="30" customFormat="1" customHeight="1" s="81">
      <c r="A156" s="148" t="inlineStr">
        <is>
          <t>2</t>
        </is>
      </c>
      <c r="B156" s="149" t="inlineStr">
        <is>
          <t>2.21.d</t>
        </is>
      </c>
      <c r="C156" s="105" t="inlineStr">
        <is>
          <t>Outsource</t>
        </is>
      </c>
      <c r="D156" s="106" t="inlineStr">
        <is>
          <t>System and Communications Protection</t>
        </is>
      </c>
      <c r="E156" s="107" t="inlineStr">
        <is>
          <t>3.13.2[d]</t>
        </is>
      </c>
      <c r="F156" s="107" t="inlineStr">
        <is>
          <t>03.13.02.d</t>
        </is>
      </c>
      <c r="G156" s="108" t="inlineStr">
        <is>
          <t>SC.L2-3.13.2</t>
        </is>
      </c>
      <c r="H156" s="150" t="n"/>
      <c r="I156" s="151" t="n"/>
      <c r="J156" s="108" t="inlineStr">
        <is>
          <t>identified architectural designs that promote effective information security are employed.</t>
        </is>
      </c>
      <c r="K156" s="152" t="n"/>
      <c r="M156" s="112" t="inlineStr">
        <is>
          <t>Implementation Begun</t>
        </is>
      </c>
      <c r="O156" s="153" t="n"/>
      <c r="P156" s="621" t="n"/>
    </row>
    <row r="157" ht="30" customFormat="1" customHeight="1" s="81">
      <c r="A157" s="148" t="inlineStr">
        <is>
          <t>2</t>
        </is>
      </c>
      <c r="B157" s="149" t="inlineStr">
        <is>
          <t>2.21.e</t>
        </is>
      </c>
      <c r="C157" s="105" t="inlineStr">
        <is>
          <t>DIY</t>
        </is>
      </c>
      <c r="D157" s="106" t="inlineStr">
        <is>
          <t>System and Communications Protection</t>
        </is>
      </c>
      <c r="E157" s="107" t="inlineStr">
        <is>
          <t>3.13.2[e]</t>
        </is>
      </c>
      <c r="F157" s="107" t="inlineStr">
        <is>
          <t>03.13.02.e</t>
        </is>
      </c>
      <c r="G157" s="108" t="inlineStr">
        <is>
          <t>SC.L2-3.13.2</t>
        </is>
      </c>
      <c r="H157" s="150" t="n"/>
      <c r="I157" s="151" t="n"/>
      <c r="J157" s="108" t="inlineStr">
        <is>
          <t>identified software development techniques that promote effective information security are employed.</t>
        </is>
      </c>
      <c r="K157" s="152" t="n"/>
      <c r="M157" s="112" t="inlineStr">
        <is>
          <t>Implementation Begun</t>
        </is>
      </c>
      <c r="O157" s="153" t="n"/>
      <c r="P157" s="621" t="n"/>
    </row>
    <row r="158" ht="30.75" customFormat="1" customHeight="1" s="81">
      <c r="A158" s="154" t="inlineStr">
        <is>
          <t>2</t>
        </is>
      </c>
      <c r="B158" s="155" t="inlineStr">
        <is>
          <t>2.21.f</t>
        </is>
      </c>
      <c r="C158" s="116" t="inlineStr">
        <is>
          <t>Outsource</t>
        </is>
      </c>
      <c r="D158" s="117" t="inlineStr">
        <is>
          <t>System and Communications Protection</t>
        </is>
      </c>
      <c r="E158" s="118" t="inlineStr">
        <is>
          <t>3.13.2[f]</t>
        </is>
      </c>
      <c r="F158" s="118" t="inlineStr">
        <is>
          <t>03.13.02.f</t>
        </is>
      </c>
      <c r="G158" s="119" t="inlineStr">
        <is>
          <t>SC.L2-3.13.2</t>
        </is>
      </c>
      <c r="H158" s="156" t="n"/>
      <c r="I158" s="160" t="n"/>
      <c r="J158" s="119" t="inlineStr">
        <is>
          <t>identified systems engineering principles that promote effective information security are employed.</t>
        </is>
      </c>
      <c r="K158" s="158" t="n"/>
      <c r="M158" s="112" t="inlineStr">
        <is>
          <t>Implementation Begun</t>
        </is>
      </c>
      <c r="N158" s="124" t="n"/>
      <c r="O158" s="159" t="n"/>
      <c r="P158" s="621" t="n"/>
    </row>
    <row r="159" ht="30.75" customFormat="1" customHeight="1" s="81">
      <c r="A159" s="161" t="inlineStr">
        <is>
          <t>2</t>
        </is>
      </c>
      <c r="B159" s="162" t="inlineStr">
        <is>
          <t>2.22.0</t>
        </is>
      </c>
      <c r="C159" s="130" t="inlineStr">
        <is>
          <t>Outsource</t>
        </is>
      </c>
      <c r="D159" s="131" t="inlineStr">
        <is>
          <t>System and Communications Protection</t>
        </is>
      </c>
      <c r="E159" s="132" t="inlineStr">
        <is>
          <t>3.13.11</t>
        </is>
      </c>
      <c r="F159" s="132" t="inlineStr">
        <is>
          <t>03.13.11.0</t>
        </is>
      </c>
      <c r="G159" s="133" t="inlineStr">
        <is>
          <t>SC.L2-3.13.11</t>
        </is>
      </c>
      <c r="H159" s="134" t="n">
        <v>5</v>
      </c>
      <c r="I159" s="131" t="inlineStr">
        <is>
          <t xml:space="preserve">Employ FIPS-validated cryptography when used to protect the confidentiality of CUI. </t>
        </is>
      </c>
      <c r="J159" s="133" t="inlineStr">
        <is>
          <t>Determine if FIPS-validated cryptography is employed to protect the confidentiality of CUI.</t>
        </is>
      </c>
      <c r="K159" s="163" t="inlineStr">
        <is>
          <t>Subtract 5 points if no cryptography is employed; 3 points if mostly not FIPS validated</t>
        </is>
      </c>
      <c r="M159" s="112" t="inlineStr">
        <is>
          <t>Implementation Begun</t>
        </is>
      </c>
      <c r="N159" s="136" t="n"/>
      <c r="O159" s="137">
        <f t="array" ref="O159">IF(M159="CUI is encrypted but not using FIPS-validated cryptography",-3,IF(M159="All CUI is encrypted using FIPS-validated cryptography",0,-5))</f>
        <v/>
      </c>
      <c r="P159" s="619" t="n"/>
      <c r="T159" s="102">
        <f t="array" ref="T159">IF(M159="CUI is encrypted but not using FIPS-validated cryptography",3,IF(M159="All CUI is encrypted using FIPS-validated cryptography",5,0))</f>
        <v/>
      </c>
    </row>
    <row r="160" ht="45" customFormat="1" customHeight="1" s="81">
      <c r="A160" s="145" t="inlineStr">
        <is>
          <t>2</t>
        </is>
      </c>
      <c r="B160" s="146" t="inlineStr">
        <is>
          <t>2.23.0</t>
        </is>
      </c>
      <c r="C160" s="93" t="inlineStr">
        <is>
          <t>Hybrid</t>
        </is>
      </c>
      <c r="D160" s="94" t="inlineStr">
        <is>
          <t>Security Assessment</t>
        </is>
      </c>
      <c r="E160" s="95" t="inlineStr">
        <is>
          <t>3.12.2</t>
        </is>
      </c>
      <c r="F160" s="95" t="inlineStr">
        <is>
          <t>03.12.02.0</t>
        </is>
      </c>
      <c r="G160" s="96" t="inlineStr">
        <is>
          <t>CA.L2-3.12.2</t>
        </is>
      </c>
      <c r="H160" s="97" t="n">
        <v>3</v>
      </c>
      <c r="I160" s="94" t="inlineStr">
        <is>
          <t>Develop and implement plans of action designed to correct deficiencies and reduce or eliminate vulnerabilities in organizational systems</t>
        </is>
      </c>
      <c r="J160" s="96" t="inlineStr">
        <is>
          <t>Determine if:</t>
        </is>
      </c>
      <c r="K160" s="98" t="inlineStr">
        <is>
          <t>[No Comment Provided]</t>
        </is>
      </c>
      <c r="L160" s="565" t="inlineStr">
        <is>
          <t xml:space="preserve">Overall Status - Pending policy/procedure review meeting and observation of controls in place. 
Updates required to documentation
Test required for validating controls in place
Examine - Policy updates may be required based on interviews/walkthroughs. 
Interview  Controls are currently being implemented. - 
Test - Review testing measures in place. </t>
        </is>
      </c>
      <c r="M160" s="99" t="inlineStr">
        <is>
          <t>Implementation Begun</t>
        </is>
      </c>
      <c r="N160" s="100" t="n"/>
      <c r="O160" s="101">
        <f t="array" ref="O160">IF(AND(OR(M161="Fully Implemented",M161="Not Permitted"),OR(M162="Fully Implemented",M162="Not Permitted"),OR(M163="Fully Implemented",M163="Not Permitted")),0,-1*H160)</f>
        <v/>
      </c>
      <c r="P160" s="619" t="n"/>
      <c r="T160" s="102">
        <f t="array" ref="T160">IF(O160=0,H160,0)</f>
        <v/>
      </c>
    </row>
    <row r="161" ht="30" customFormat="1" customHeight="1" s="81">
      <c r="A161" s="148" t="inlineStr">
        <is>
          <t>2</t>
        </is>
      </c>
      <c r="B161" s="149" t="inlineStr">
        <is>
          <t>2.23.a</t>
        </is>
      </c>
      <c r="C161" s="105" t="inlineStr">
        <is>
          <t>Hybrid</t>
        </is>
      </c>
      <c r="D161" s="106" t="inlineStr">
        <is>
          <t>Security Assessment</t>
        </is>
      </c>
      <c r="E161" s="107" t="inlineStr">
        <is>
          <t>3.12.2[a]</t>
        </is>
      </c>
      <c r="F161" s="107" t="inlineStr">
        <is>
          <t>03.12.02.a</t>
        </is>
      </c>
      <c r="G161" s="108" t="inlineStr">
        <is>
          <t>CA.L2-3.12.2</t>
        </is>
      </c>
      <c r="H161" s="150" t="n"/>
      <c r="I161" s="151" t="n"/>
      <c r="J161" s="108" t="inlineStr">
        <is>
          <t>deficiencies and vulnerabilities to be addressed by the plan of action are identified.</t>
        </is>
      </c>
      <c r="K161" s="152" t="n"/>
      <c r="M161" s="112" t="inlineStr">
        <is>
          <t>Implementation Begun</t>
        </is>
      </c>
      <c r="O161" s="153" t="n"/>
      <c r="P161" s="621" t="n"/>
    </row>
    <row r="162" ht="45" customFormat="1" customHeight="1" s="81">
      <c r="A162" s="148" t="inlineStr">
        <is>
          <t>2</t>
        </is>
      </c>
      <c r="B162" s="149" t="inlineStr">
        <is>
          <t>2.23.b</t>
        </is>
      </c>
      <c r="C162" s="105" t="inlineStr">
        <is>
          <t>Hybrid</t>
        </is>
      </c>
      <c r="D162" s="106" t="inlineStr">
        <is>
          <t>Security Assessment</t>
        </is>
      </c>
      <c r="E162" s="107" t="inlineStr">
        <is>
          <t>3.12.2[b]</t>
        </is>
      </c>
      <c r="F162" s="107" t="inlineStr">
        <is>
          <t>03.12.02.b</t>
        </is>
      </c>
      <c r="G162" s="108" t="inlineStr">
        <is>
          <t>CA.L2-3.12.2</t>
        </is>
      </c>
      <c r="H162" s="150" t="n"/>
      <c r="I162" s="151" t="n"/>
      <c r="J162" s="108" t="inlineStr">
        <is>
          <t>a plan of action is developed to correct identified deficiencies and reduce or eliminate identified vulnerabilities.</t>
        </is>
      </c>
      <c r="K162" s="152" t="n"/>
      <c r="M162" s="112" t="inlineStr">
        <is>
          <t>Implementation Begun</t>
        </is>
      </c>
      <c r="O162" s="153" t="n"/>
      <c r="P162" s="621" t="n"/>
    </row>
    <row r="163" ht="45.75" customFormat="1" customHeight="1" s="81">
      <c r="A163" s="154" t="inlineStr">
        <is>
          <t>2</t>
        </is>
      </c>
      <c r="B163" s="155" t="inlineStr">
        <is>
          <t>2.23.c</t>
        </is>
      </c>
      <c r="C163" s="116" t="inlineStr">
        <is>
          <t>Hybrid</t>
        </is>
      </c>
      <c r="D163" s="117" t="inlineStr">
        <is>
          <t>Security Assessment</t>
        </is>
      </c>
      <c r="E163" s="118" t="inlineStr">
        <is>
          <t>3.12.2[c]</t>
        </is>
      </c>
      <c r="F163" s="118" t="inlineStr">
        <is>
          <t>03.12.02.c</t>
        </is>
      </c>
      <c r="G163" s="119" t="inlineStr">
        <is>
          <t>CA.L2-3.12.2</t>
        </is>
      </c>
      <c r="H163" s="156" t="n"/>
      <c r="I163" s="160" t="n"/>
      <c r="J163" s="119" t="inlineStr">
        <is>
          <t>the plan of action is implemented to correct identified deficiencies and reduce or eliminate identified vulnerabilities.</t>
        </is>
      </c>
      <c r="K163" s="158" t="n"/>
      <c r="M163" s="112" t="inlineStr">
        <is>
          <t>Implementation Begun</t>
        </is>
      </c>
      <c r="N163" s="124" t="n"/>
      <c r="O163" s="159" t="n"/>
      <c r="P163" s="621" t="n"/>
    </row>
    <row r="164" ht="30" customFormat="1" customHeight="1" s="81">
      <c r="A164" s="164" t="inlineStr">
        <is>
          <t>3</t>
        </is>
      </c>
      <c r="B164" s="165" t="inlineStr">
        <is>
          <t>3.01.0</t>
        </is>
      </c>
      <c r="C164" s="93" t="inlineStr">
        <is>
          <t>Outsource</t>
        </is>
      </c>
      <c r="D164" s="94" t="inlineStr">
        <is>
          <t>System and Communications Protection</t>
        </is>
      </c>
      <c r="E164" s="95" t="inlineStr">
        <is>
          <t>3.13.10</t>
        </is>
      </c>
      <c r="F164" s="95" t="inlineStr">
        <is>
          <t>03.13.10.0</t>
        </is>
      </c>
      <c r="G164" s="96" t="inlineStr">
        <is>
          <t>SC.L2-3.13.10</t>
        </is>
      </c>
      <c r="H164" s="97" t="n">
        <v>1</v>
      </c>
      <c r="I164" s="94" t="inlineStr">
        <is>
          <t xml:space="preserve">Establish and manage cryptographic keys for cryptography employed in organizational systems. </t>
        </is>
      </c>
      <c r="J164" s="96" t="inlineStr">
        <is>
          <t>Determine if:</t>
        </is>
      </c>
      <c r="K164" s="98" t="inlineStr">
        <is>
          <t>[No Comment Provided]</t>
        </is>
      </c>
      <c r="L164" s="565" t="inlineStr">
        <is>
          <t xml:space="preserve">Overall Status - Pending policy/procedure review meeting and observation of controls in place. 
Updates required to documentation
Test required for validating controls in place
Examine - Policy updates may be required based on interviews/walkthroughs. 
Interview  Controls are currently being implemented. - 
Test - Review testing measures in place. </t>
        </is>
      </c>
      <c r="M164" s="99" t="inlineStr">
        <is>
          <t>Implementation Begun</t>
        </is>
      </c>
      <c r="N164" s="100" t="n"/>
      <c r="O164" s="101">
        <f t="array" ref="O164">IF(AND(M165="Fully Implemented",M166="Fully Implemented"),0,-1*H164)</f>
        <v/>
      </c>
      <c r="P164" s="619" t="n"/>
      <c r="T164" s="102">
        <f t="array" ref="T164">IF(O164=0,H164,0)</f>
        <v/>
      </c>
      <c r="U164" s="102">
        <f t="array" ref="U164">SUM(T164:T232)</f>
        <v/>
      </c>
      <c r="V164" s="102">
        <f t="array" ref="V164">IF(V77&lt;98,0,IF(U164=SUM(H164:H232),100,U164))</f>
        <v/>
      </c>
    </row>
    <row r="165" ht="30" customFormat="1" customHeight="1" s="81">
      <c r="A165" s="166" t="inlineStr">
        <is>
          <t>3</t>
        </is>
      </c>
      <c r="B165" s="167" t="inlineStr">
        <is>
          <t>3.01.a</t>
        </is>
      </c>
      <c r="C165" s="105" t="inlineStr">
        <is>
          <t>Outsource</t>
        </is>
      </c>
      <c r="D165" s="106" t="inlineStr">
        <is>
          <t>System and Communications Protection</t>
        </is>
      </c>
      <c r="E165" s="107" t="inlineStr">
        <is>
          <t>3.13.10[a]</t>
        </is>
      </c>
      <c r="F165" s="107" t="inlineStr">
        <is>
          <t>03.13.10.a</t>
        </is>
      </c>
      <c r="G165" s="108" t="inlineStr">
        <is>
          <t>SC.L2-3.13.10</t>
        </is>
      </c>
      <c r="H165" s="168" t="n"/>
      <c r="I165" s="169" t="n"/>
      <c r="J165" s="108" t="inlineStr">
        <is>
          <t>cryptographic keys are established whenever cryptography is employed.</t>
        </is>
      </c>
      <c r="K165" s="170" t="n"/>
      <c r="M165" s="112" t="inlineStr">
        <is>
          <t>Implementation Begun</t>
        </is>
      </c>
      <c r="O165" s="171" t="n"/>
      <c r="P165" s="624" t="n"/>
    </row>
    <row r="166" ht="30.75" customFormat="1" customHeight="1" s="81">
      <c r="A166" s="172" t="inlineStr">
        <is>
          <t>3</t>
        </is>
      </c>
      <c r="B166" s="173" t="inlineStr">
        <is>
          <t>3.01.b</t>
        </is>
      </c>
      <c r="C166" s="116" t="inlineStr">
        <is>
          <t>Outsource</t>
        </is>
      </c>
      <c r="D166" s="117" t="inlineStr">
        <is>
          <t>System and Communications Protection</t>
        </is>
      </c>
      <c r="E166" s="118" t="inlineStr">
        <is>
          <t>3.13.10[b]</t>
        </is>
      </c>
      <c r="F166" s="118" t="inlineStr">
        <is>
          <t>03.13.10.b</t>
        </is>
      </c>
      <c r="G166" s="119" t="inlineStr">
        <is>
          <t>SC.L2-3.13.10</t>
        </is>
      </c>
      <c r="H166" s="174" t="n"/>
      <c r="I166" s="175" t="n"/>
      <c r="J166" s="119" t="inlineStr">
        <is>
          <t>cryptographic keys are managed whenever cryptography is employed.</t>
        </is>
      </c>
      <c r="K166" s="176" t="n"/>
      <c r="M166" s="112" t="inlineStr">
        <is>
          <t>Implementation Begun</t>
        </is>
      </c>
      <c r="N166" s="124" t="n"/>
      <c r="O166" s="177" t="n"/>
      <c r="P166" s="624" t="n"/>
    </row>
    <row r="167" ht="45" customFormat="1" customHeight="1" s="81">
      <c r="A167" s="164" t="inlineStr">
        <is>
          <t>3</t>
        </is>
      </c>
      <c r="B167" s="165" t="inlineStr">
        <is>
          <t>3.02.0</t>
        </is>
      </c>
      <c r="C167" s="93" t="inlineStr">
        <is>
          <t>Outsource</t>
        </is>
      </c>
      <c r="D167" s="94" t="inlineStr">
        <is>
          <t>Identification and Authentication</t>
        </is>
      </c>
      <c r="E167" s="95" t="inlineStr">
        <is>
          <t>3.5.10</t>
        </is>
      </c>
      <c r="F167" s="95" t="inlineStr">
        <is>
          <t>03.05.10.0</t>
        </is>
      </c>
      <c r="G167" s="96" t="inlineStr">
        <is>
          <t>IA.L2-3.5.10</t>
        </is>
      </c>
      <c r="H167" s="97" t="n">
        <v>5</v>
      </c>
      <c r="I167" s="94" t="inlineStr">
        <is>
          <t>Store and transmit only cryptographically-protected passwords.</t>
        </is>
      </c>
      <c r="J167" s="96" t="inlineStr">
        <is>
          <t>Determine if:</t>
        </is>
      </c>
      <c r="K167" s="138" t="inlineStr">
        <is>
          <t>Encrypted representations of passwords include, for example, encrypted versions of passwords and one-way cryptographic hashes of passwords</t>
        </is>
      </c>
      <c r="M167" s="178">
        <f t="array" ref="M167">IF(AND(M168="Fully Implemented",M169="Fully Implemented"),"Fully Implemented","")</f>
        <v/>
      </c>
      <c r="N167" s="100" t="n"/>
      <c r="O167" s="101">
        <f t="array" ref="O167">IF(AND(M168="Fully Implemented",M169="Fully Implemented"),0,-1*H167)</f>
        <v/>
      </c>
      <c r="P167" s="619" t="n"/>
      <c r="T167" s="102">
        <f t="array" ref="T167">IF(O167=0,H167,0)</f>
        <v/>
      </c>
    </row>
    <row r="168" ht="30" customFormat="1" customHeight="1" s="81">
      <c r="A168" s="166" t="inlineStr">
        <is>
          <t>3</t>
        </is>
      </c>
      <c r="B168" s="167" t="inlineStr">
        <is>
          <t>3.02.a</t>
        </is>
      </c>
      <c r="C168" s="105" t="inlineStr">
        <is>
          <t>Outsource</t>
        </is>
      </c>
      <c r="D168" s="106" t="inlineStr">
        <is>
          <t>Identification and Authentication</t>
        </is>
      </c>
      <c r="E168" s="107" t="inlineStr">
        <is>
          <t>3.5.10[a]</t>
        </is>
      </c>
      <c r="F168" s="107" t="inlineStr">
        <is>
          <t>03.05.10.a</t>
        </is>
      </c>
      <c r="G168" s="108" t="inlineStr">
        <is>
          <t>IA.L2-3.5.10</t>
        </is>
      </c>
      <c r="H168" s="168" t="n"/>
      <c r="I168" s="169" t="n"/>
      <c r="J168" s="108" t="inlineStr">
        <is>
          <t>passwords are cryptographically protected in storage.</t>
        </is>
      </c>
      <c r="K168" s="170" t="n"/>
      <c r="M168" s="112" t="inlineStr">
        <is>
          <t>Implementation Begun</t>
        </is>
      </c>
      <c r="O168" s="179" t="n"/>
      <c r="P168" s="622" t="n"/>
    </row>
    <row r="169" ht="30.75" customFormat="1" customHeight="1" s="81">
      <c r="A169" s="172" t="inlineStr">
        <is>
          <t>3</t>
        </is>
      </c>
      <c r="B169" s="173" t="inlineStr">
        <is>
          <t>3.02.b</t>
        </is>
      </c>
      <c r="C169" s="116" t="inlineStr">
        <is>
          <t>Outsource</t>
        </is>
      </c>
      <c r="D169" s="117" t="inlineStr">
        <is>
          <t>Identification and Authentication</t>
        </is>
      </c>
      <c r="E169" s="118" t="inlineStr">
        <is>
          <t>3.5.10[b]</t>
        </is>
      </c>
      <c r="F169" s="118" t="inlineStr">
        <is>
          <t>03.05.10.b</t>
        </is>
      </c>
      <c r="G169" s="119" t="inlineStr">
        <is>
          <t>IA.L2-3.5.10</t>
        </is>
      </c>
      <c r="H169" s="174" t="n"/>
      <c r="I169" s="175" t="n"/>
      <c r="J169" s="119" t="inlineStr">
        <is>
          <t>passwords are cryptographically protected in transit.</t>
        </is>
      </c>
      <c r="K169" s="176" t="n"/>
      <c r="M169" s="112" t="inlineStr">
        <is>
          <t>Implementation Begun</t>
        </is>
      </c>
      <c r="N169" s="124" t="n"/>
      <c r="O169" s="180" t="n"/>
      <c r="P169" s="622" t="n"/>
    </row>
    <row r="170" ht="30" customFormat="1" customHeight="1" s="81">
      <c r="A170" s="201" t="inlineStr">
        <is>
          <t>5</t>
        </is>
      </c>
      <c r="B170" s="202" t="inlineStr">
        <is>
          <t>5.20.b</t>
        </is>
      </c>
      <c r="C170" s="93" t="inlineStr">
        <is>
          <t>Outsource</t>
        </is>
      </c>
      <c r="D170" s="94" t="inlineStr">
        <is>
          <t>Access Control</t>
        </is>
      </c>
      <c r="E170" s="95" t="inlineStr">
        <is>
          <t>3.1.11[b]</t>
        </is>
      </c>
      <c r="F170" s="95" t="inlineStr">
        <is>
          <t>03.01.11.b</t>
        </is>
      </c>
      <c r="G170" s="96" t="inlineStr">
        <is>
          <t>AC.L2-3.1.11</t>
        </is>
      </c>
      <c r="H170" s="592" t="n"/>
      <c r="I170" s="597" t="n"/>
      <c r="J170" s="96" t="inlineStr">
        <is>
          <t>a user session is automatically terminated after any of the defined conditions occur.</t>
        </is>
      </c>
      <c r="K170" s="602" t="n"/>
      <c r="L170" s="565" t="n"/>
      <c r="M170" s="605" t="inlineStr">
        <is>
          <t>Implementation Begun</t>
        </is>
      </c>
      <c r="N170" s="100" t="n"/>
      <c r="O170" s="613" t="n"/>
      <c r="P170" s="623" t="n"/>
    </row>
    <row r="171" ht="167.25" customFormat="1" customHeight="1" s="81">
      <c r="A171" s="166" t="inlineStr">
        <is>
          <t>3</t>
        </is>
      </c>
      <c r="B171" s="167" t="inlineStr">
        <is>
          <t>3.05.0</t>
        </is>
      </c>
      <c r="C171" s="105" t="inlineStr">
        <is>
          <t>Hybrid</t>
        </is>
      </c>
      <c r="D171" s="106" t="inlineStr">
        <is>
          <t>Access Control</t>
        </is>
      </c>
      <c r="E171" s="107" t="inlineStr">
        <is>
          <t>3.1.12</t>
        </is>
      </c>
      <c r="F171" s="107" t="inlineStr">
        <is>
          <t>03.01.12.0</t>
        </is>
      </c>
      <c r="G171" s="108" t="inlineStr">
        <is>
          <t>AC.L2-3.1.12</t>
        </is>
      </c>
      <c r="H171" s="591" t="n">
        <v>5</v>
      </c>
      <c r="I171" s="106" t="inlineStr">
        <is>
          <t>Monitor and control remote access sessions.</t>
        </is>
      </c>
      <c r="J171" s="108" t="inlineStr">
        <is>
          <t>Determine if:</t>
        </is>
      </c>
      <c r="K171" s="604" t="inlineStr">
        <is>
          <t>Do not subtract points if remote access not permitted</t>
        </is>
      </c>
      <c r="L171" s="565" t="inlineStr">
        <is>
          <t>ALL access — both on-premises and remote — is routed through Cloudflare Zero Trust for Government. The Cloudflare WARP client is deployed to all Intune-enrolled endpoints and operates in always-on mode. Users authenticate through Okta for Government with MFA; Cloudflare enforces device posture via CrowdStrike Falcon and Intune compliance before any access is granted. Azure AD Conditional Access requires a WARP-enrolled, Intune-compliant device. All sessions are logged in Cloudflare's FedRAMP-authorized government audit logs.</t>
        </is>
      </c>
      <c r="M171" s="170">
        <f t="array" ref="M171">IF(AND(M172="Fully Implemented",M173="Fully Implemented",M174="Fully Implemented",M175="Fully Implemented"),"Fully Implemented","")</f>
        <v/>
      </c>
      <c r="N171" s="607" t="n"/>
      <c r="O171" s="612">
        <f t="array" ref="O171">IF(AND(OR(M172="Fully Implemented",M172="Not Permitted"),OR(M173="Fully Implemented",M173="Not Permitted"),OR(M174="Fully Implemented",M174="Not Permitted"),OR(M175="Fully Implemented",M175="Not Permitted")),0,-1*H171)</f>
        <v/>
      </c>
      <c r="P171" s="619" t="n"/>
      <c r="T171" s="102">
        <f t="array" ref="T171">IF(O171=0,H171,0)</f>
        <v/>
      </c>
    </row>
    <row r="172" ht="30.75" customFormat="1" customHeight="1" s="81">
      <c r="A172" s="172" t="inlineStr">
        <is>
          <t>3</t>
        </is>
      </c>
      <c r="B172" s="173" t="inlineStr">
        <is>
          <t>3.05.a</t>
        </is>
      </c>
      <c r="C172" s="116" t="inlineStr">
        <is>
          <t>DIY</t>
        </is>
      </c>
      <c r="D172" s="117" t="inlineStr">
        <is>
          <t>Access Control</t>
        </is>
      </c>
      <c r="E172" s="118" t="inlineStr">
        <is>
          <t>3.1.12[a]</t>
        </is>
      </c>
      <c r="F172" s="118" t="inlineStr">
        <is>
          <t>03.01.12.a</t>
        </is>
      </c>
      <c r="G172" s="119" t="inlineStr">
        <is>
          <t>AC.L2-3.1.12</t>
        </is>
      </c>
      <c r="H172" s="174" t="n"/>
      <c r="I172" s="175" t="n"/>
      <c r="J172" s="119" t="inlineStr">
        <is>
          <t>remote access sessions are permitted.</t>
        </is>
      </c>
      <c r="K172" s="176" t="n"/>
      <c r="L172" s="565" t="n"/>
      <c r="M172" s="112" t="inlineStr">
        <is>
          <t>Implementation Begun</t>
        </is>
      </c>
      <c r="N172" s="608" t="n"/>
      <c r="O172" s="180" t="n"/>
      <c r="P172" s="622" t="n"/>
    </row>
    <row r="173" ht="30" customFormat="1" customHeight="1" s="81">
      <c r="A173" s="164" t="inlineStr">
        <is>
          <t>3</t>
        </is>
      </c>
      <c r="B173" s="165" t="inlineStr">
        <is>
          <t>3.05.b</t>
        </is>
      </c>
      <c r="C173" s="93" t="inlineStr">
        <is>
          <t>Outsource</t>
        </is>
      </c>
      <c r="D173" s="94" t="inlineStr">
        <is>
          <t>Access Control</t>
        </is>
      </c>
      <c r="E173" s="95" t="inlineStr">
        <is>
          <t>3.1.12[b]</t>
        </is>
      </c>
      <c r="F173" s="95" t="inlineStr">
        <is>
          <t>03.01.12.b</t>
        </is>
      </c>
      <c r="G173" s="96" t="inlineStr">
        <is>
          <t>AC.L2-3.1.12</t>
        </is>
      </c>
      <c r="H173" s="593" t="n"/>
      <c r="I173" s="598" t="n"/>
      <c r="J173" s="96" t="inlineStr">
        <is>
          <t>the types of permitted remote access are identified.</t>
        </is>
      </c>
      <c r="K173" s="178" t="n"/>
      <c r="L173" s="565" t="n"/>
      <c r="M173" s="605" t="inlineStr">
        <is>
          <t>Implementation Begun</t>
        </is>
      </c>
      <c r="N173" s="606" t="n"/>
      <c r="O173" s="614" t="n"/>
      <c r="P173" s="622" t="n"/>
    </row>
    <row r="174" ht="13.5" customFormat="1" customHeight="1" s="81">
      <c r="A174" s="166" t="inlineStr">
        <is>
          <t>3</t>
        </is>
      </c>
      <c r="B174" s="167" t="inlineStr">
        <is>
          <t>3.05.c</t>
        </is>
      </c>
      <c r="C174" s="105" t="inlineStr">
        <is>
          <t>Outsource</t>
        </is>
      </c>
      <c r="D174" s="106" t="inlineStr">
        <is>
          <t>Access Control</t>
        </is>
      </c>
      <c r="E174" s="107" t="inlineStr">
        <is>
          <t>3.1.12[c]</t>
        </is>
      </c>
      <c r="F174" s="107" t="inlineStr">
        <is>
          <t>03.01.12.c</t>
        </is>
      </c>
      <c r="G174" s="108" t="inlineStr">
        <is>
          <t>AC.L2-3.1.12</t>
        </is>
      </c>
      <c r="H174" s="168" t="n"/>
      <c r="I174" s="169" t="n"/>
      <c r="J174" s="108" t="inlineStr">
        <is>
          <t>remote access sessions are controlled.</t>
        </is>
      </c>
      <c r="K174" s="170" t="n"/>
      <c r="L174" s="565" t="n"/>
      <c r="M174" s="112" t="inlineStr">
        <is>
          <t>Implementation Begun</t>
        </is>
      </c>
      <c r="O174" s="179" t="n"/>
      <c r="P174" s="622" t="n"/>
    </row>
    <row r="175" ht="30.75" customFormat="1" customHeight="1" s="81">
      <c r="A175" s="172" t="inlineStr">
        <is>
          <t>3</t>
        </is>
      </c>
      <c r="B175" s="173" t="inlineStr">
        <is>
          <t>3.05.d</t>
        </is>
      </c>
      <c r="C175" s="116" t="inlineStr">
        <is>
          <t>Outsource</t>
        </is>
      </c>
      <c r="D175" s="117" t="inlineStr">
        <is>
          <t>Access Control</t>
        </is>
      </c>
      <c r="E175" s="118" t="inlineStr">
        <is>
          <t>3.1.12[d]</t>
        </is>
      </c>
      <c r="F175" s="118" t="inlineStr">
        <is>
          <t>03.01.12.d</t>
        </is>
      </c>
      <c r="G175" s="119" t="inlineStr">
        <is>
          <t>AC.L2-3.1.12</t>
        </is>
      </c>
      <c r="H175" s="174" t="n"/>
      <c r="I175" s="175" t="n"/>
      <c r="J175" s="119" t="inlineStr">
        <is>
          <t>remote access sessions are monitored.</t>
        </is>
      </c>
      <c r="K175" s="176" t="n"/>
      <c r="L175" s="565" t="n"/>
      <c r="M175" s="112" t="inlineStr">
        <is>
          <t>Implementation Begun</t>
        </is>
      </c>
      <c r="N175" s="124" t="n"/>
      <c r="O175" s="180" t="n"/>
      <c r="P175" s="622" t="n"/>
    </row>
    <row r="176" ht="106.5" customFormat="1" customHeight="1" s="81">
      <c r="A176" s="164" t="inlineStr">
        <is>
          <t>3</t>
        </is>
      </c>
      <c r="B176" s="165" t="inlineStr">
        <is>
          <t>3.06.0</t>
        </is>
      </c>
      <c r="C176" s="93" t="inlineStr">
        <is>
          <t>Outsource</t>
        </is>
      </c>
      <c r="D176" s="94" t="inlineStr">
        <is>
          <t>Access Control</t>
        </is>
      </c>
      <c r="E176" s="95" t="inlineStr">
        <is>
          <t>3.1.13</t>
        </is>
      </c>
      <c r="F176" s="95" t="inlineStr">
        <is>
          <t>03.01.13.0</t>
        </is>
      </c>
      <c r="G176" s="96" t="inlineStr">
        <is>
          <t>AC.L2-3.1.13</t>
        </is>
      </c>
      <c r="H176" s="97" t="n">
        <v>5</v>
      </c>
      <c r="I176" s="94" t="inlineStr">
        <is>
          <t>Employ cryptographic mechanisms to protect the confidentiality of remote access sessions.</t>
        </is>
      </c>
      <c r="J176" s="96" t="inlineStr">
        <is>
          <t>Determine if:</t>
        </is>
      </c>
      <c r="K176" s="138" t="inlineStr">
        <is>
          <t>Do not subtract points if remote access not permitted</t>
        </is>
      </c>
      <c r="L176" s="565" t="inlineStr">
        <is>
          <t>All endpoint-to-cloud traffic is encrypted by the Cloudflare WARP client using FIPS 140-2 validated WireGuard. Cloudflare Access enforces TLS 1.2 minimum (TLS 1.3 preferred) for all proxied application connections. Azure GCCH enforces TLS 1.2+ on all service endpoints. Intune enforces BitLocker encryption on all managed Windows endpoints.</t>
        </is>
      </c>
      <c r="M176" s="178">
        <f t="array" ref="M176">IF(AND(M177="Fully Implemented",M178="Fully Implemented"),"Fully Implemented","")</f>
        <v/>
      </c>
      <c r="N176" s="100" t="n"/>
      <c r="O176" s="101">
        <f t="array" ref="O176">IF(AND(OR(M177="Fully Implemented",M177="Not Permitted"),OR(M178="Fully Implemented",M178="Not Permitted")),0,-1*H176)</f>
        <v/>
      </c>
      <c r="P176" s="619" t="n"/>
      <c r="T176" s="102">
        <f t="array" ref="T176">IF(O176=0,H176,0)</f>
        <v/>
      </c>
    </row>
    <row r="177" ht="13.5" customFormat="1" customHeight="1" s="81">
      <c r="A177" s="166" t="inlineStr">
        <is>
          <t>3</t>
        </is>
      </c>
      <c r="B177" s="167" t="inlineStr">
        <is>
          <t>3.06.a</t>
        </is>
      </c>
      <c r="C177" s="105" t="inlineStr">
        <is>
          <t>Outsource</t>
        </is>
      </c>
      <c r="D177" s="106" t="inlineStr">
        <is>
          <t>Access Control</t>
        </is>
      </c>
      <c r="E177" s="107" t="inlineStr">
        <is>
          <t>3.1.13[a]</t>
        </is>
      </c>
      <c r="F177" s="107" t="inlineStr">
        <is>
          <t>03.01.13.a</t>
        </is>
      </c>
      <c r="G177" s="108" t="inlineStr">
        <is>
          <t>AC.L2-3.1.13</t>
        </is>
      </c>
      <c r="H177" s="168" t="n"/>
      <c r="I177" s="169" t="n"/>
      <c r="J177" s="108" t="inlineStr">
        <is>
          <t>cryptographic mechanisms to protect the confidentiality of remote access sessions are identified.</t>
        </is>
      </c>
      <c r="K177" s="170" t="n"/>
      <c r="L177" s="565" t="n"/>
      <c r="M177" s="112" t="inlineStr">
        <is>
          <t>Implementation Begun</t>
        </is>
      </c>
      <c r="O177" s="179" t="n"/>
      <c r="P177" s="622" t="n"/>
    </row>
    <row r="178" ht="13.5" customFormat="1" customHeight="1" s="81">
      <c r="A178" s="166" t="inlineStr">
        <is>
          <t>3</t>
        </is>
      </c>
      <c r="B178" s="167" t="inlineStr">
        <is>
          <t>3.06.b</t>
        </is>
      </c>
      <c r="C178" s="105" t="inlineStr">
        <is>
          <t>Outsource</t>
        </is>
      </c>
      <c r="D178" s="106" t="inlineStr">
        <is>
          <t>Access Control</t>
        </is>
      </c>
      <c r="E178" s="107" t="inlineStr">
        <is>
          <t>3.1.13[b]</t>
        </is>
      </c>
      <c r="F178" s="107" t="inlineStr">
        <is>
          <t>03.01.13.b</t>
        </is>
      </c>
      <c r="G178" s="108" t="inlineStr">
        <is>
          <t>AC.L2-3.1.13</t>
        </is>
      </c>
      <c r="H178" s="168" t="n"/>
      <c r="I178" s="169" t="n"/>
      <c r="J178" s="108" t="inlineStr">
        <is>
          <t>cryptographic mechanisms to protect the confidentiality of remote access sessions are implemented.</t>
        </is>
      </c>
      <c r="K178" s="170" t="n"/>
      <c r="L178" s="565" t="n"/>
      <c r="M178" s="112" t="inlineStr">
        <is>
          <t>Implementation Begun</t>
        </is>
      </c>
      <c r="N178" s="607" t="n"/>
      <c r="O178" s="179" t="n"/>
      <c r="P178" s="622" t="n"/>
    </row>
    <row r="179" ht="213" customFormat="1" customHeight="1" s="81">
      <c r="A179" s="203" t="inlineStr">
        <is>
          <t>5</t>
        </is>
      </c>
      <c r="B179" s="204" t="inlineStr">
        <is>
          <t>5.27.0</t>
        </is>
      </c>
      <c r="C179" s="105" t="inlineStr">
        <is>
          <t>Outsource</t>
        </is>
      </c>
      <c r="D179" s="106" t="inlineStr">
        <is>
          <t>Access Control</t>
        </is>
      </c>
      <c r="E179" s="107" t="inlineStr">
        <is>
          <t>3.1.14</t>
        </is>
      </c>
      <c r="F179" s="107" t="inlineStr">
        <is>
          <t>03.01.14.0</t>
        </is>
      </c>
      <c r="G179" s="108" t="inlineStr">
        <is>
          <t>AC.L2-3.1.14</t>
        </is>
      </c>
      <c r="H179" s="591" t="n">
        <v>1</v>
      </c>
      <c r="I179" s="106" t="inlineStr">
        <is>
          <t>Route remote access via managed access control points.</t>
        </is>
      </c>
      <c r="J179" s="108" t="inlineStr">
        <is>
          <t>Determine if:</t>
        </is>
      </c>
      <c r="K179" s="601" t="inlineStr">
        <is>
          <t>[No Comment Provided]</t>
        </is>
      </c>
      <c r="L179" s="565" t="inlineStr">
        <is>
          <t>ALL endpoint traffic — both on-premises and remote — is routed through Cloudflare Zero Trust for Government as the sole managed access control point. WARP is deployed in full-tunnel mode with split tunneling disabled via Intune configuration profile. DNS queries resolve through Cloudflare Gateway. HTTP traffic is inspected through Cloudflare TLS inspection policies. Direct internet access bypassing Cloudflare is technically prevented on all Intune-managed endpoints and only allowed by except only. On-premises traffic traverses Cloudflare Tunnel (cloudflared) connectors — no direct on-network access is permitted without passing through Cloudflare policy.</t>
        </is>
      </c>
      <c r="M179" s="111" t="inlineStr">
        <is>
          <t>Implementation Begun</t>
        </is>
      </c>
      <c r="N179" s="607" t="n"/>
      <c r="O179" s="612">
        <f t="array" ref="O179">IF(AND(M180="Fully Implemented",M181="Fully Implemented"),0,-1*H179)</f>
        <v/>
      </c>
      <c r="P179" s="619" t="n"/>
      <c r="T179" s="102">
        <f t="array" ref="T179">IF(O179=0,H179,0)</f>
        <v/>
      </c>
    </row>
    <row r="180" customFormat="1" s="81">
      <c r="A180" s="209" t="inlineStr">
        <is>
          <t>5</t>
        </is>
      </c>
      <c r="B180" s="210" t="inlineStr">
        <is>
          <t>5.27.a</t>
        </is>
      </c>
      <c r="C180" s="116" t="inlineStr">
        <is>
          <t>Outsource</t>
        </is>
      </c>
      <c r="D180" s="117" t="inlineStr">
        <is>
          <t>Access Control</t>
        </is>
      </c>
      <c r="E180" s="118" t="inlineStr">
        <is>
          <t>3.1.14[a]</t>
        </is>
      </c>
      <c r="F180" s="118" t="inlineStr">
        <is>
          <t>03.01.14.a</t>
        </is>
      </c>
      <c r="G180" s="119" t="inlineStr">
        <is>
          <t>AC.L2-3.1.14</t>
        </is>
      </c>
      <c r="H180" s="211" t="n"/>
      <c r="I180" s="212" t="n"/>
      <c r="J180" s="119" t="inlineStr">
        <is>
          <t>managed access control points are identified and implemented.</t>
        </is>
      </c>
      <c r="K180" s="213" t="n"/>
      <c r="L180" s="565" t="n"/>
      <c r="M180" s="112" t="inlineStr">
        <is>
          <t>Implementation Begun</t>
        </is>
      </c>
      <c r="N180" s="608" t="n"/>
      <c r="O180" s="214" t="n"/>
      <c r="P180" s="623" t="n"/>
    </row>
    <row r="181" ht="30" customFormat="1" customHeight="1" s="81">
      <c r="A181" s="201" t="inlineStr">
        <is>
          <t>5</t>
        </is>
      </c>
      <c r="B181" s="202" t="inlineStr">
        <is>
          <t>5.27.b</t>
        </is>
      </c>
      <c r="C181" s="93" t="inlineStr">
        <is>
          <t>Outsource</t>
        </is>
      </c>
      <c r="D181" s="94" t="inlineStr">
        <is>
          <t>Access Control</t>
        </is>
      </c>
      <c r="E181" s="95" t="inlineStr">
        <is>
          <t>3.1.14[b]</t>
        </is>
      </c>
      <c r="F181" s="95" t="inlineStr">
        <is>
          <t>03.01.14.b</t>
        </is>
      </c>
      <c r="G181" s="96" t="inlineStr">
        <is>
          <t>AC.L2-3.1.14</t>
        </is>
      </c>
      <c r="H181" s="592" t="n"/>
      <c r="I181" s="597" t="n"/>
      <c r="J181" s="96" t="inlineStr">
        <is>
          <t>remote access is routed through managed network access control points.</t>
        </is>
      </c>
      <c r="K181" s="602" t="n"/>
      <c r="L181" s="565" t="n"/>
      <c r="M181" s="605" t="inlineStr">
        <is>
          <t>Implementation Begun</t>
        </is>
      </c>
      <c r="N181" s="100" t="n"/>
      <c r="O181" s="613" t="n"/>
      <c r="P181" s="623" t="n"/>
    </row>
    <row r="182" ht="167.25" customFormat="1" customHeight="1" s="81">
      <c r="A182" s="203" t="inlineStr">
        <is>
          <t>5</t>
        </is>
      </c>
      <c r="B182" s="204" t="inlineStr">
        <is>
          <t>5.28.0</t>
        </is>
      </c>
      <c r="C182" s="105" t="inlineStr">
        <is>
          <t>Outsource</t>
        </is>
      </c>
      <c r="D182" s="106" t="inlineStr">
        <is>
          <t>Access Control</t>
        </is>
      </c>
      <c r="E182" s="107" t="inlineStr">
        <is>
          <t>3.1.15</t>
        </is>
      </c>
      <c r="F182" s="107" t="inlineStr">
        <is>
          <t>03.01.15.0</t>
        </is>
      </c>
      <c r="G182" s="108" t="inlineStr">
        <is>
          <t>AC.L2-3.1.15</t>
        </is>
      </c>
      <c r="H182" s="591" t="n">
        <v>1</v>
      </c>
      <c r="I182" s="106" t="inlineStr">
        <is>
          <t>Authorize remote execution of privileged commands and remote access to security-relevant information.</t>
        </is>
      </c>
      <c r="J182" s="108" t="inlineStr">
        <is>
          <t>Determine if:</t>
        </is>
      </c>
      <c r="K182" s="601" t="inlineStr">
        <is>
          <t>[No Comment Provided]</t>
        </is>
      </c>
      <c r="L182" s="565" t="inlineStr">
        <is>
          <t>BeyondTrust Privileged Remote Access for Government provides the session management, credential vaulting, and privileged session recording layer for all administrator SSH and RDP sessions. BeyondTrust injects credentials directly into sessions without exposing passwords to the administrator, enforces least-privilege session policies, and captures full session recordings with keystroke logging for audit purposes. All BeyondTrust jump sessions are initiated only after the user has passed through Cloudflare Access policy enforcement.</t>
        </is>
      </c>
      <c r="M182" s="111" t="inlineStr">
        <is>
          <t>Implementation Begun</t>
        </is>
      </c>
      <c r="N182" s="607" t="n"/>
      <c r="O182" s="612">
        <f t="array" ref="O182">IF(AND(M183="Fully Implemented",M184="Fully Implemented",M185="Fully Implemented",M186="Fully Implemented"),0,-1*H182)</f>
        <v/>
      </c>
      <c r="P182" s="619" t="n"/>
      <c r="T182" s="102">
        <f t="array" ref="T182">IF(O182=0,H182,0)</f>
        <v/>
      </c>
    </row>
    <row r="183" ht="25.5" customFormat="1" customHeight="1" s="81">
      <c r="A183" s="209" t="inlineStr">
        <is>
          <t>5</t>
        </is>
      </c>
      <c r="B183" s="210" t="inlineStr">
        <is>
          <t>5.28.a</t>
        </is>
      </c>
      <c r="C183" s="116" t="inlineStr">
        <is>
          <t>Outsource</t>
        </is>
      </c>
      <c r="D183" s="117" t="inlineStr">
        <is>
          <t>Access Control</t>
        </is>
      </c>
      <c r="E183" s="118" t="inlineStr">
        <is>
          <t>3.1.15[a]</t>
        </is>
      </c>
      <c r="F183" s="118" t="inlineStr">
        <is>
          <t>03.01.15.a</t>
        </is>
      </c>
      <c r="G183" s="119" t="inlineStr">
        <is>
          <t>AC.L2-3.1.15</t>
        </is>
      </c>
      <c r="H183" s="211" t="n"/>
      <c r="I183" s="212" t="n"/>
      <c r="J183" s="119" t="inlineStr">
        <is>
          <t>privileged commands authorized for remote execution are identified.</t>
        </is>
      </c>
      <c r="K183" s="213" t="n"/>
      <c r="M183" s="112" t="inlineStr">
        <is>
          <t>Implementation Begun</t>
        </is>
      </c>
      <c r="N183" s="608" t="n"/>
      <c r="O183" s="214" t="n"/>
      <c r="P183" s="623" t="n"/>
    </row>
    <row r="184" ht="30.75" customFormat="1" customHeight="1" s="81">
      <c r="A184" s="181" t="inlineStr">
        <is>
          <t>3</t>
        </is>
      </c>
      <c r="B184" s="182" t="inlineStr">
        <is>
          <t>3.07.0</t>
        </is>
      </c>
      <c r="C184" s="130" t="inlineStr">
        <is>
          <t>Outsource</t>
        </is>
      </c>
      <c r="D184" s="131" t="inlineStr">
        <is>
          <t>System and Communications Protection</t>
        </is>
      </c>
      <c r="E184" s="132" t="inlineStr">
        <is>
          <t>3.13.15</t>
        </is>
      </c>
      <c r="F184" s="132" t="inlineStr">
        <is>
          <t>03.13.15.0</t>
        </is>
      </c>
      <c r="G184" s="133" t="inlineStr">
        <is>
          <t>SC.L2-3.13.15</t>
        </is>
      </c>
      <c r="H184" s="134" t="n">
        <v>5</v>
      </c>
      <c r="I184" s="131" t="inlineStr">
        <is>
          <t>Protect the authenticity of communications sessions</t>
        </is>
      </c>
      <c r="J184" s="133" t="inlineStr">
        <is>
          <t>Determine if the authenticity of communications sessions is protected.</t>
        </is>
      </c>
      <c r="K184" s="135" t="inlineStr">
        <is>
          <t>[No Comment Provided]</t>
        </is>
      </c>
      <c r="L184" s="565" t="inlineStr">
        <is>
          <t>Azure Bastion provides a tertiary access path scoped exclusively to Azure GCCH virtual machines within the GCCH boundary where direct Cloudflare tunnel connectivity is not available. All privileged sessions — regardless of the access path — are logged in Cloudflare audit logs, BeyondTrust session recordings, and Azure Monitor, providing three independent audit trails per session.</t>
        </is>
      </c>
      <c r="M184" s="112" t="inlineStr">
        <is>
          <t>Implementation Begun</t>
        </is>
      </c>
      <c r="N184" s="142" t="n"/>
      <c r="O184" s="137">
        <f t="array" ref="O184">IF(M184&lt;&gt;"Fully Implemented",-1*H184,0)</f>
        <v/>
      </c>
      <c r="P184" s="619" t="n"/>
      <c r="T184" s="102">
        <f t="array" ref="T184">IF(O184=0,H184,0)</f>
        <v/>
      </c>
    </row>
    <row r="185" ht="30" customFormat="1" customHeight="1" s="81">
      <c r="A185" s="164" t="inlineStr">
        <is>
          <t>3</t>
        </is>
      </c>
      <c r="B185" s="165" t="inlineStr">
        <is>
          <t>3.08.0</t>
        </is>
      </c>
      <c r="C185" s="93" t="inlineStr">
        <is>
          <t>Outsource</t>
        </is>
      </c>
      <c r="D185" s="94" t="inlineStr">
        <is>
          <t>System and Information Integrity</t>
        </is>
      </c>
      <c r="E185" s="95" t="inlineStr">
        <is>
          <t>3.14.3</t>
        </is>
      </c>
      <c r="F185" s="95" t="inlineStr">
        <is>
          <t>03.14.03.0</t>
        </is>
      </c>
      <c r="G185" s="96" t="inlineStr">
        <is>
          <t>SI.L2-3.14.3</t>
        </is>
      </c>
      <c r="H185" s="97" t="n">
        <v>5</v>
      </c>
      <c r="I185" s="94" t="inlineStr">
        <is>
          <t xml:space="preserve">Monitor system security alerts and advisories and take action in response. </t>
        </is>
      </c>
      <c r="J185" s="96" t="inlineStr">
        <is>
          <t>Determine if:</t>
        </is>
      </c>
      <c r="K185" s="98" t="inlineStr">
        <is>
          <t>[No Comment Provided]</t>
        </is>
      </c>
      <c r="L185" s="565" t="inlineStr">
        <is>
          <t xml:space="preserve">Overall Status - Pending policy/procedure review meeting and observation of controls in place. 
Updates required to documentation
Test required for validating controls in place
Examine - Policy updates may be required based on interviews/walkthroughs. 
Interview  Controls are currently being implemented. - 
Test - Review testing measures in place. </t>
        </is>
      </c>
      <c r="M185" s="99" t="inlineStr">
        <is>
          <t>Implementation Begun</t>
        </is>
      </c>
      <c r="N185" s="140" t="n"/>
      <c r="O185" s="101">
        <f t="array" ref="O185">IF(AND(OR(M186="Fully Implemented",M186="Not Permitted"),OR(M187="Fully Implemented",M187="Not Permitted"),OR(M188="Fully Implemented",M188="Not Permitted")),0,-1*H185)</f>
        <v/>
      </c>
      <c r="P185" s="619" t="n"/>
      <c r="T185" s="102">
        <f t="array" ref="T185">IF(O185=0,H185,0)</f>
        <v/>
      </c>
    </row>
    <row r="186" ht="30" customFormat="1" customHeight="1" s="81">
      <c r="A186" s="166" t="inlineStr">
        <is>
          <t>3</t>
        </is>
      </c>
      <c r="B186" s="167" t="inlineStr">
        <is>
          <t>3.08.a</t>
        </is>
      </c>
      <c r="C186" s="105" t="inlineStr">
        <is>
          <t>Outsource</t>
        </is>
      </c>
      <c r="D186" s="106" t="inlineStr">
        <is>
          <t>System and Information Integrity</t>
        </is>
      </c>
      <c r="E186" s="107" t="inlineStr">
        <is>
          <t>3.14.3[a]</t>
        </is>
      </c>
      <c r="F186" s="107" t="inlineStr">
        <is>
          <t>03.14.03.a</t>
        </is>
      </c>
      <c r="G186" s="108" t="inlineStr">
        <is>
          <t>SI.L2-3.14.3</t>
        </is>
      </c>
      <c r="H186" s="168" t="n"/>
      <c r="I186" s="169" t="n"/>
      <c r="J186" s="108" t="inlineStr">
        <is>
          <t>response actions to system security alerts and advisories are identified.</t>
        </is>
      </c>
      <c r="K186" s="170" t="n"/>
      <c r="M186" s="112" t="inlineStr">
        <is>
          <t>Implementation Begun</t>
        </is>
      </c>
      <c r="O186" s="179" t="n"/>
      <c r="P186" s="622" t="n"/>
    </row>
    <row r="187" ht="30" customFormat="1" customHeight="1" s="81">
      <c r="A187" s="166" t="inlineStr">
        <is>
          <t>3</t>
        </is>
      </c>
      <c r="B187" s="167" t="inlineStr">
        <is>
          <t>3.08.b</t>
        </is>
      </c>
      <c r="C187" s="105" t="inlineStr">
        <is>
          <t>Outsource</t>
        </is>
      </c>
      <c r="D187" s="106" t="inlineStr">
        <is>
          <t>System and Information Integrity</t>
        </is>
      </c>
      <c r="E187" s="107" t="inlineStr">
        <is>
          <t>3.14.3[b]</t>
        </is>
      </c>
      <c r="F187" s="107" t="inlineStr">
        <is>
          <t>03.14.03.b</t>
        </is>
      </c>
      <c r="G187" s="108" t="inlineStr">
        <is>
          <t>SI.L2-3.14.3</t>
        </is>
      </c>
      <c r="H187" s="168" t="n"/>
      <c r="I187" s="169" t="n"/>
      <c r="J187" s="108" t="inlineStr">
        <is>
          <t>system security alerts and advisories are monitored.</t>
        </is>
      </c>
      <c r="K187" s="170" t="n"/>
      <c r="M187" s="112" t="inlineStr">
        <is>
          <t>Implementation Begun</t>
        </is>
      </c>
      <c r="O187" s="179" t="n"/>
      <c r="P187" s="622" t="n"/>
    </row>
    <row r="188" ht="30.75" customFormat="1" customHeight="1" s="81">
      <c r="A188" s="172" t="inlineStr">
        <is>
          <t>3</t>
        </is>
      </c>
      <c r="B188" s="173" t="inlineStr">
        <is>
          <t>3.08.c</t>
        </is>
      </c>
      <c r="C188" s="116" t="inlineStr">
        <is>
          <t>Outsource</t>
        </is>
      </c>
      <c r="D188" s="117" t="inlineStr">
        <is>
          <t>System and Information Integrity</t>
        </is>
      </c>
      <c r="E188" s="118" t="inlineStr">
        <is>
          <t>3.14.3[c]</t>
        </is>
      </c>
      <c r="F188" s="118" t="inlineStr">
        <is>
          <t>03.14.03.c</t>
        </is>
      </c>
      <c r="G188" s="119" t="inlineStr">
        <is>
          <t>SI.L2-3.14.3</t>
        </is>
      </c>
      <c r="H188" s="174" t="n"/>
      <c r="I188" s="175" t="n"/>
      <c r="J188" s="119" t="inlineStr">
        <is>
          <t>actions in response to system security alerts and advisories are taken.</t>
        </is>
      </c>
      <c r="K188" s="176" t="n"/>
      <c r="M188" s="112" t="inlineStr">
        <is>
          <t>Implementation Begun</t>
        </is>
      </c>
      <c r="N188" s="124" t="n"/>
      <c r="O188" s="180" t="n"/>
      <c r="P188" s="622" t="n"/>
    </row>
    <row r="189" ht="45" customFormat="1" customHeight="1" s="81">
      <c r="A189" s="164" t="inlineStr">
        <is>
          <t>3</t>
        </is>
      </c>
      <c r="B189" s="165" t="inlineStr">
        <is>
          <t>3.09.0</t>
        </is>
      </c>
      <c r="C189" s="93" t="inlineStr">
        <is>
          <t>Outsource</t>
        </is>
      </c>
      <c r="D189" s="94" t="inlineStr">
        <is>
          <t>System and Information Integrity</t>
        </is>
      </c>
      <c r="E189" s="95" t="inlineStr">
        <is>
          <t>3.14.6</t>
        </is>
      </c>
      <c r="F189" s="95" t="inlineStr">
        <is>
          <t>03.14.06.0</t>
        </is>
      </c>
      <c r="G189" s="96" t="inlineStr">
        <is>
          <t>SI.L2-3.14.6</t>
        </is>
      </c>
      <c r="H189" s="97" t="n">
        <v>5</v>
      </c>
      <c r="I189" s="94" t="inlineStr">
        <is>
          <t>Monitor organizational systems, including inbound and outbound communications traffic, to detect attacks and indicators of potential attacks</t>
        </is>
      </c>
      <c r="J189" s="96" t="inlineStr">
        <is>
          <t>Determine if:</t>
        </is>
      </c>
      <c r="K189" s="98" t="inlineStr">
        <is>
          <t>[No Comment Provided]</t>
        </is>
      </c>
      <c r="L189" s="565" t="inlineStr">
        <is>
          <t xml:space="preserve">Overall Status - Pending policy/procedure review meeting and observation of controls in place. 
Updates required to documentation
Test required for validating controls in place
Examine - Policy updates may be required based on interviews/walkthroughs. 
Interview  Controls are currently being implemented. - 
Test - Review testing measures in place. </t>
        </is>
      </c>
      <c r="M189" s="99" t="inlineStr">
        <is>
          <t>Implementation Begun</t>
        </is>
      </c>
      <c r="N189" s="183" t="n"/>
      <c r="O189" s="101">
        <f t="array" ref="O189">IF(AND(OR(M190="Fully Implemented",M190="Not Permitted"),OR(M191="Fully Implemented",M191="Not Permitted"),OR(M192="Fully Implemented",M192="Not Permitted")),0,-1*H189)</f>
        <v/>
      </c>
      <c r="P189" s="619" t="n"/>
      <c r="T189" s="102">
        <f t="array" ref="T189">IF(O189=0,H189,0)</f>
        <v/>
      </c>
    </row>
    <row r="190" ht="30" customFormat="1" customHeight="1" s="81">
      <c r="A190" s="166" t="inlineStr">
        <is>
          <t>3</t>
        </is>
      </c>
      <c r="B190" s="167" t="inlineStr">
        <is>
          <t>3.09.a</t>
        </is>
      </c>
      <c r="C190" s="105" t="inlineStr">
        <is>
          <t>Outsource</t>
        </is>
      </c>
      <c r="D190" s="106" t="inlineStr">
        <is>
          <t>System and Information Integrity</t>
        </is>
      </c>
      <c r="E190" s="107" t="inlineStr">
        <is>
          <t>3.14.6[a]</t>
        </is>
      </c>
      <c r="F190" s="107" t="inlineStr">
        <is>
          <t>03.14.06.a</t>
        </is>
      </c>
      <c r="G190" s="108" t="inlineStr">
        <is>
          <t>SI.L2-3.14.6</t>
        </is>
      </c>
      <c r="H190" s="168" t="n"/>
      <c r="I190" s="169" t="n"/>
      <c r="J190" s="108" t="inlineStr">
        <is>
          <t>the system is monitored to detect attacks and indicators of potential attacks.</t>
        </is>
      </c>
      <c r="K190" s="170" t="n"/>
      <c r="M190" s="112" t="inlineStr">
        <is>
          <t>Implementation Begun</t>
        </is>
      </c>
      <c r="O190" s="179" t="n"/>
      <c r="P190" s="622" t="n"/>
    </row>
    <row r="191" ht="30" customFormat="1" customHeight="1" s="81">
      <c r="A191" s="166" t="inlineStr">
        <is>
          <t>3</t>
        </is>
      </c>
      <c r="B191" s="167" t="inlineStr">
        <is>
          <t>3.09.b</t>
        </is>
      </c>
      <c r="C191" s="105" t="inlineStr">
        <is>
          <t>Outsource</t>
        </is>
      </c>
      <c r="D191" s="106" t="inlineStr">
        <is>
          <t>System and Information Integrity</t>
        </is>
      </c>
      <c r="E191" s="107" t="inlineStr">
        <is>
          <t>3.14.6[b]</t>
        </is>
      </c>
      <c r="F191" s="107" t="inlineStr">
        <is>
          <t>03.14.06.b</t>
        </is>
      </c>
      <c r="G191" s="108" t="inlineStr">
        <is>
          <t>SI.L2-3.14.6</t>
        </is>
      </c>
      <c r="H191" s="168" t="n"/>
      <c r="I191" s="169" t="n"/>
      <c r="J191" s="108" t="inlineStr">
        <is>
          <t>inbound communications traffic is monitored to detect attacks and indicators of potential attacks.</t>
        </is>
      </c>
      <c r="K191" s="170" t="n"/>
      <c r="M191" s="112" t="inlineStr">
        <is>
          <t>Implementation Begun</t>
        </is>
      </c>
      <c r="O191" s="179" t="n"/>
      <c r="P191" s="622" t="n"/>
    </row>
    <row r="192" ht="30.75" customFormat="1" customHeight="1" s="81">
      <c r="A192" s="172" t="inlineStr">
        <is>
          <t>3</t>
        </is>
      </c>
      <c r="B192" s="173" t="inlineStr">
        <is>
          <t>3.09.c</t>
        </is>
      </c>
      <c r="C192" s="116" t="inlineStr">
        <is>
          <t>Outsource</t>
        </is>
      </c>
      <c r="D192" s="117" t="inlineStr">
        <is>
          <t>System and Information Integrity</t>
        </is>
      </c>
      <c r="E192" s="118" t="inlineStr">
        <is>
          <t>3.14.6[c]</t>
        </is>
      </c>
      <c r="F192" s="118" t="inlineStr">
        <is>
          <t>03.14.06.c</t>
        </is>
      </c>
      <c r="G192" s="119" t="inlineStr">
        <is>
          <t>SI.L2-3.14.6</t>
        </is>
      </c>
      <c r="H192" s="174" t="n"/>
      <c r="I192" s="175" t="n"/>
      <c r="J192" s="119" t="inlineStr">
        <is>
          <t>outbound communications traffic is monitored to detect attacks and indicators of potential attacks.</t>
        </is>
      </c>
      <c r="K192" s="176" t="n"/>
      <c r="M192" s="112" t="inlineStr">
        <is>
          <t>Implementation Begun</t>
        </is>
      </c>
      <c r="N192" s="124" t="n"/>
      <c r="O192" s="180" t="n"/>
      <c r="P192" s="622" t="n"/>
    </row>
    <row r="193" ht="60" customFormat="1" customHeight="1" s="81">
      <c r="A193" s="164" t="inlineStr">
        <is>
          <t>3</t>
        </is>
      </c>
      <c r="B193" s="165" t="inlineStr">
        <is>
          <t>3.10.0</t>
        </is>
      </c>
      <c r="C193" s="93" t="inlineStr">
        <is>
          <t>Outsource</t>
        </is>
      </c>
      <c r="D193" s="94" t="inlineStr">
        <is>
          <t>Incident Response</t>
        </is>
      </c>
      <c r="E193" s="95" t="inlineStr">
        <is>
          <t>3.6.1</t>
        </is>
      </c>
      <c r="F193" s="95" t="inlineStr">
        <is>
          <t>03.06.01.0</t>
        </is>
      </c>
      <c r="G193" s="96" t="inlineStr">
        <is>
          <t>IR.L2-3.6.1</t>
        </is>
      </c>
      <c r="H193" s="97" t="n">
        <v>5</v>
      </c>
      <c r="I193" s="94" t="inlineStr">
        <is>
          <t>Establish an operational incident-handling capability for organizational systems that includes preparation, detection, analysis, containment, recovery, and user response activities.</t>
        </is>
      </c>
      <c r="J193" s="96" t="inlineStr">
        <is>
          <t>Determine if:</t>
        </is>
      </c>
      <c r="K193" s="98" t="inlineStr">
        <is>
          <t>[No Comment Provided]</t>
        </is>
      </c>
      <c r="L193" s="565" t="inlineStr">
        <is>
          <t xml:space="preserve">Overall Status - Pending policy/procedure review meeting and observation of controls in place. 
Updates required to documentation
Test required for validating controls in place
Examine - Policy updates may be required based on interviews/walkthroughs. 
Interview  Controls are currently being implemented. - 
Test - Review testing measures in place. </t>
        </is>
      </c>
      <c r="M193" s="99" t="inlineStr">
        <is>
          <t>Implementation Begun</t>
        </is>
      </c>
      <c r="N193" s="100" t="n"/>
      <c r="O193" s="101">
        <f t="array" ref="O193">IF(AND(M194="Fully Implemented",M195="Fully Implemented",M196="Fully Implemented",M197="Fully Implemented",M198="Fully Implemented",M199="Fully Implemented",M200="Fully Implemented"),0,-1*H193)</f>
        <v/>
      </c>
      <c r="P193" s="619" t="n"/>
      <c r="T193" s="102">
        <f t="array" ref="T193">IF(O193=0,H193,0)</f>
        <v/>
      </c>
    </row>
    <row r="194" ht="30" customFormat="1" customHeight="1" s="81">
      <c r="A194" s="166" t="inlineStr">
        <is>
          <t>3</t>
        </is>
      </c>
      <c r="B194" s="167" t="inlineStr">
        <is>
          <t>3.10.a</t>
        </is>
      </c>
      <c r="C194" s="105" t="inlineStr">
        <is>
          <t>Outsource</t>
        </is>
      </c>
      <c r="D194" s="106" t="inlineStr">
        <is>
          <t>Incident Response</t>
        </is>
      </c>
      <c r="E194" s="107" t="inlineStr">
        <is>
          <t>3.6.1[a]</t>
        </is>
      </c>
      <c r="F194" s="107" t="inlineStr">
        <is>
          <t>03.06.01.a</t>
        </is>
      </c>
      <c r="G194" s="108" t="inlineStr">
        <is>
          <t>IR.L2-3.6.1</t>
        </is>
      </c>
      <c r="H194" s="168" t="n"/>
      <c r="I194" s="169" t="n"/>
      <c r="J194" s="108" t="inlineStr">
        <is>
          <t>an operational incident-handling capability is established.</t>
        </is>
      </c>
      <c r="K194" s="170" t="n"/>
      <c r="M194" s="112" t="inlineStr">
        <is>
          <t>Implementation Begun</t>
        </is>
      </c>
      <c r="O194" s="179" t="n"/>
      <c r="P194" s="622" t="n"/>
    </row>
    <row r="195" ht="30" customFormat="1" customHeight="1" s="81">
      <c r="A195" s="166" t="inlineStr">
        <is>
          <t>3</t>
        </is>
      </c>
      <c r="B195" s="167" t="inlineStr">
        <is>
          <t>3.10.b</t>
        </is>
      </c>
      <c r="C195" s="105" t="inlineStr">
        <is>
          <t>Outsource</t>
        </is>
      </c>
      <c r="D195" s="106" t="inlineStr">
        <is>
          <t>Incident Response</t>
        </is>
      </c>
      <c r="E195" s="107" t="inlineStr">
        <is>
          <t>3.6.1[b]</t>
        </is>
      </c>
      <c r="F195" s="107" t="inlineStr">
        <is>
          <t>03.06.01.b</t>
        </is>
      </c>
      <c r="G195" s="108" t="inlineStr">
        <is>
          <t>IR.L2-3.6.1</t>
        </is>
      </c>
      <c r="H195" s="168" t="n"/>
      <c r="I195" s="169" t="n"/>
      <c r="J195" s="108" t="inlineStr">
        <is>
          <t xml:space="preserve">the operational incident-handling capability includes preparation. </t>
        </is>
      </c>
      <c r="K195" s="170" t="n"/>
      <c r="M195" s="112" t="inlineStr">
        <is>
          <t>Implementation Begun</t>
        </is>
      </c>
      <c r="O195" s="179" t="n"/>
      <c r="P195" s="622" t="n"/>
    </row>
    <row r="196" ht="30" customFormat="1" customHeight="1" s="81">
      <c r="A196" s="166" t="inlineStr">
        <is>
          <t>3</t>
        </is>
      </c>
      <c r="B196" s="167" t="inlineStr">
        <is>
          <t>3.10.c</t>
        </is>
      </c>
      <c r="C196" s="105" t="inlineStr">
        <is>
          <t>Outsource</t>
        </is>
      </c>
      <c r="D196" s="106" t="inlineStr">
        <is>
          <t>Incident Response</t>
        </is>
      </c>
      <c r="E196" s="107" t="inlineStr">
        <is>
          <t>3.6.1[c]</t>
        </is>
      </c>
      <c r="F196" s="107" t="inlineStr">
        <is>
          <t>03.06.01.c</t>
        </is>
      </c>
      <c r="G196" s="108" t="inlineStr">
        <is>
          <t>IR.L2-3.6.1</t>
        </is>
      </c>
      <c r="H196" s="168" t="n"/>
      <c r="I196" s="169" t="n"/>
      <c r="J196" s="108" t="inlineStr">
        <is>
          <t xml:space="preserve">the operational incident-handling capability includes detection. </t>
        </is>
      </c>
      <c r="K196" s="170" t="n"/>
      <c r="M196" s="112" t="inlineStr">
        <is>
          <t>Implementation Begun</t>
        </is>
      </c>
      <c r="O196" s="179" t="n"/>
      <c r="P196" s="622" t="n"/>
    </row>
    <row r="197" ht="30" customFormat="1" customHeight="1" s="81">
      <c r="A197" s="166" t="inlineStr">
        <is>
          <t>3</t>
        </is>
      </c>
      <c r="B197" s="167" t="inlineStr">
        <is>
          <t>3.10.d</t>
        </is>
      </c>
      <c r="C197" s="105" t="inlineStr">
        <is>
          <t>Outsource</t>
        </is>
      </c>
      <c r="D197" s="106" t="inlineStr">
        <is>
          <t>Incident Response</t>
        </is>
      </c>
      <c r="E197" s="107" t="inlineStr">
        <is>
          <t>3.6.1[d]</t>
        </is>
      </c>
      <c r="F197" s="107" t="inlineStr">
        <is>
          <t>03.06.01.d</t>
        </is>
      </c>
      <c r="G197" s="108" t="inlineStr">
        <is>
          <t>IR.L2-3.6.1</t>
        </is>
      </c>
      <c r="H197" s="168" t="n"/>
      <c r="I197" s="169" t="n"/>
      <c r="J197" s="108" t="inlineStr">
        <is>
          <t>the operational incident-handling capability includes analysis.</t>
        </is>
      </c>
      <c r="K197" s="170" t="n"/>
      <c r="M197" s="112" t="inlineStr">
        <is>
          <t>Implementation Begun</t>
        </is>
      </c>
      <c r="O197" s="179" t="n"/>
      <c r="P197" s="622" t="n"/>
    </row>
    <row r="198" ht="30" customFormat="1" customHeight="1" s="81">
      <c r="A198" s="166" t="inlineStr">
        <is>
          <t>3</t>
        </is>
      </c>
      <c r="B198" s="167" t="inlineStr">
        <is>
          <t>3.10.e</t>
        </is>
      </c>
      <c r="C198" s="105" t="inlineStr">
        <is>
          <t>Outsource</t>
        </is>
      </c>
      <c r="D198" s="106" t="inlineStr">
        <is>
          <t>Incident Response</t>
        </is>
      </c>
      <c r="E198" s="107" t="inlineStr">
        <is>
          <t>3.6.1[e]</t>
        </is>
      </c>
      <c r="F198" s="107" t="inlineStr">
        <is>
          <t>03.06.01.e</t>
        </is>
      </c>
      <c r="G198" s="108" t="inlineStr">
        <is>
          <t>IR.L2-3.6.1</t>
        </is>
      </c>
      <c r="H198" s="168" t="n"/>
      <c r="I198" s="169" t="n"/>
      <c r="J198" s="108" t="inlineStr">
        <is>
          <t>the operational incident-handling capability includes containment.</t>
        </is>
      </c>
      <c r="K198" s="170" t="n"/>
      <c r="M198" s="112" t="inlineStr">
        <is>
          <t>Implementation Begun</t>
        </is>
      </c>
      <c r="O198" s="179" t="n"/>
      <c r="P198" s="622" t="n"/>
    </row>
    <row r="199" ht="30" customFormat="1" customHeight="1" s="81">
      <c r="A199" s="166" t="inlineStr">
        <is>
          <t>3</t>
        </is>
      </c>
      <c r="B199" s="167" t="inlineStr">
        <is>
          <t>3.10.f</t>
        </is>
      </c>
      <c r="C199" s="105" t="inlineStr">
        <is>
          <t>Outsource</t>
        </is>
      </c>
      <c r="D199" s="106" t="inlineStr">
        <is>
          <t>Incident Response</t>
        </is>
      </c>
      <c r="E199" s="107" t="inlineStr">
        <is>
          <t>3.6.1[f]</t>
        </is>
      </c>
      <c r="F199" s="107" t="inlineStr">
        <is>
          <t>03.06.01.f</t>
        </is>
      </c>
      <c r="G199" s="108" t="inlineStr">
        <is>
          <t>IR.L2-3.6.1</t>
        </is>
      </c>
      <c r="H199" s="168" t="n"/>
      <c r="I199" s="169" t="n"/>
      <c r="J199" s="108" t="inlineStr">
        <is>
          <t>the operational incident-handling capability includes recovery.</t>
        </is>
      </c>
      <c r="K199" s="170" t="n"/>
      <c r="M199" s="112" t="inlineStr">
        <is>
          <t>Implementation Begun</t>
        </is>
      </c>
      <c r="O199" s="179" t="n"/>
      <c r="P199" s="622" t="n"/>
    </row>
    <row r="200" ht="30.75" customFormat="1" customHeight="1" s="81">
      <c r="A200" s="172" t="inlineStr">
        <is>
          <t>3</t>
        </is>
      </c>
      <c r="B200" s="173" t="inlineStr">
        <is>
          <t>3.10.g</t>
        </is>
      </c>
      <c r="C200" s="116" t="inlineStr">
        <is>
          <t>Outsource</t>
        </is>
      </c>
      <c r="D200" s="117" t="inlineStr">
        <is>
          <t>Incident Response</t>
        </is>
      </c>
      <c r="E200" s="118" t="inlineStr">
        <is>
          <t>3.6.1[g]</t>
        </is>
      </c>
      <c r="F200" s="118" t="inlineStr">
        <is>
          <t>03.06.01.g</t>
        </is>
      </c>
      <c r="G200" s="119" t="inlineStr">
        <is>
          <t>IR.L2-3.6.1</t>
        </is>
      </c>
      <c r="H200" s="174" t="n"/>
      <c r="I200" s="175" t="n"/>
      <c r="J200" s="119" t="inlineStr">
        <is>
          <t>the operational incident-handling capability includes user response activities.</t>
        </is>
      </c>
      <c r="K200" s="176" t="n"/>
      <c r="M200" s="112" t="inlineStr">
        <is>
          <t>Implementation Begun</t>
        </is>
      </c>
      <c r="N200" s="124" t="n"/>
      <c r="O200" s="180" t="n"/>
      <c r="P200" s="622" t="n"/>
    </row>
    <row r="201" ht="45" customFormat="1" customHeight="1" s="81">
      <c r="A201" s="164" t="inlineStr">
        <is>
          <t>3</t>
        </is>
      </c>
      <c r="B201" s="165" t="inlineStr">
        <is>
          <t>3.11.0</t>
        </is>
      </c>
      <c r="C201" s="93" t="inlineStr">
        <is>
          <t>DIY</t>
        </is>
      </c>
      <c r="D201" s="94" t="inlineStr">
        <is>
          <t>Incident Response</t>
        </is>
      </c>
      <c r="E201" s="95" t="inlineStr">
        <is>
          <t>3.6.2</t>
        </is>
      </c>
      <c r="F201" s="95" t="inlineStr">
        <is>
          <t>03.06.02.0</t>
        </is>
      </c>
      <c r="G201" s="96" t="inlineStr">
        <is>
          <t>IR.L2-3.6.2</t>
        </is>
      </c>
      <c r="H201" s="97" t="n">
        <v>5</v>
      </c>
      <c r="I201" s="94" t="inlineStr">
        <is>
          <t>Track, document, and report incidents to designated officials and/or authorities both internal and external to the organization.</t>
        </is>
      </c>
      <c r="J201" s="96" t="inlineStr">
        <is>
          <t>Determine if:</t>
        </is>
      </c>
      <c r="K201" s="98" t="inlineStr">
        <is>
          <t>[No Comment Provided]</t>
        </is>
      </c>
      <c r="L201" s="565" t="inlineStr">
        <is>
          <t xml:space="preserve">Overall Status - Pending policy/procedure review meeting and observation of controls in place. 
Updates required to documentation
Test required for validating controls in place
Examine - Policy updates may be required based on interviews/walkthroughs. 
Interview  Controls are currently being implemented. - 
Test - Review testing measures in place. </t>
        </is>
      </c>
      <c r="M201" s="99" t="inlineStr">
        <is>
          <t>Implementation Begun</t>
        </is>
      </c>
      <c r="N201" s="100" t="n"/>
      <c r="O201" s="101">
        <f t="array" ref="O201">IF(AND(M202="Fully Implemented",M203="Fully Implemented",M204="Fully Implemented",M205="Fully Implemented",M206="Fully Implemented",M207="Fully Implemented"),0,-1*H201)</f>
        <v/>
      </c>
      <c r="P201" s="619" t="n"/>
      <c r="T201" s="102">
        <f t="array" ref="T201">IF(O201=0,H201,0)</f>
        <v/>
      </c>
    </row>
    <row r="202" ht="13.5" customFormat="1" customHeight="1" s="81">
      <c r="A202" s="166" t="inlineStr">
        <is>
          <t>3</t>
        </is>
      </c>
      <c r="B202" s="167" t="inlineStr">
        <is>
          <t>3.11.a</t>
        </is>
      </c>
      <c r="C202" s="105" t="inlineStr">
        <is>
          <t>DIY</t>
        </is>
      </c>
      <c r="D202" s="106" t="inlineStr">
        <is>
          <t>Incident Response</t>
        </is>
      </c>
      <c r="E202" s="107" t="inlineStr">
        <is>
          <t>3.6.2[a]</t>
        </is>
      </c>
      <c r="F202" s="107" t="inlineStr">
        <is>
          <t>03.06.02.a</t>
        </is>
      </c>
      <c r="G202" s="108" t="inlineStr">
        <is>
          <t>IR.L2-3.6.2</t>
        </is>
      </c>
      <c r="H202" s="168" t="n"/>
      <c r="I202" s="169" t="n"/>
      <c r="J202" s="108" t="inlineStr">
        <is>
          <t>incidents are tracked.</t>
        </is>
      </c>
      <c r="K202" s="170" t="n"/>
      <c r="M202" s="112" t="inlineStr">
        <is>
          <t>Implementation Begun</t>
        </is>
      </c>
      <c r="O202" s="179" t="n"/>
      <c r="P202" s="622" t="n"/>
    </row>
    <row r="203" ht="13.5" customFormat="1" customHeight="1" s="81">
      <c r="A203" s="166" t="inlineStr">
        <is>
          <t>3</t>
        </is>
      </c>
      <c r="B203" s="167" t="inlineStr">
        <is>
          <t>3.11.b</t>
        </is>
      </c>
      <c r="C203" s="105" t="inlineStr">
        <is>
          <t>DIY</t>
        </is>
      </c>
      <c r="D203" s="106" t="inlineStr">
        <is>
          <t>Incident Response</t>
        </is>
      </c>
      <c r="E203" s="107" t="inlineStr">
        <is>
          <t>3.6.2[b]</t>
        </is>
      </c>
      <c r="F203" s="107" t="inlineStr">
        <is>
          <t>03.06.02.b</t>
        </is>
      </c>
      <c r="G203" s="108" t="inlineStr">
        <is>
          <t>IR.L2-3.6.2</t>
        </is>
      </c>
      <c r="H203" s="168" t="n"/>
      <c r="I203" s="169" t="n"/>
      <c r="J203" s="108" t="inlineStr">
        <is>
          <t>incidents are documented.</t>
        </is>
      </c>
      <c r="K203" s="170" t="n"/>
      <c r="M203" s="112" t="inlineStr">
        <is>
          <t>Implementation Begun</t>
        </is>
      </c>
      <c r="O203" s="179" t="n"/>
      <c r="P203" s="622" t="n"/>
    </row>
    <row r="204" ht="30" customFormat="1" customHeight="1" s="81">
      <c r="A204" s="166" t="inlineStr">
        <is>
          <t>3</t>
        </is>
      </c>
      <c r="B204" s="167" t="inlineStr">
        <is>
          <t>3.11.c</t>
        </is>
      </c>
      <c r="C204" s="105" t="inlineStr">
        <is>
          <t>DIY</t>
        </is>
      </c>
      <c r="D204" s="106" t="inlineStr">
        <is>
          <t>Incident Response</t>
        </is>
      </c>
      <c r="E204" s="107" t="inlineStr">
        <is>
          <t>3.6.2[c]</t>
        </is>
      </c>
      <c r="F204" s="107" t="inlineStr">
        <is>
          <t>03.06.02.c</t>
        </is>
      </c>
      <c r="G204" s="108" t="inlineStr">
        <is>
          <t>IR.L2-3.6.2</t>
        </is>
      </c>
      <c r="H204" s="168" t="n"/>
      <c r="I204" s="169" t="n"/>
      <c r="J204" s="108" t="inlineStr">
        <is>
          <t>authorities to whom incidents are to be reported are identified.</t>
        </is>
      </c>
      <c r="K204" s="170" t="n"/>
      <c r="M204" s="112" t="inlineStr">
        <is>
          <t>Implementation Begun</t>
        </is>
      </c>
      <c r="O204" s="179" t="n"/>
      <c r="P204" s="622" t="n"/>
    </row>
    <row r="205" ht="30" customFormat="1" customHeight="1" s="81">
      <c r="A205" s="166" t="inlineStr">
        <is>
          <t>3</t>
        </is>
      </c>
      <c r="B205" s="167" t="inlineStr">
        <is>
          <t>3.11.d</t>
        </is>
      </c>
      <c r="C205" s="105" t="inlineStr">
        <is>
          <t>DIY</t>
        </is>
      </c>
      <c r="D205" s="106" t="inlineStr">
        <is>
          <t>Incident Response</t>
        </is>
      </c>
      <c r="E205" s="107" t="inlineStr">
        <is>
          <t>3.6.2[d]</t>
        </is>
      </c>
      <c r="F205" s="107" t="inlineStr">
        <is>
          <t>03.06.02.d</t>
        </is>
      </c>
      <c r="G205" s="108" t="inlineStr">
        <is>
          <t>IR.L2-3.6.2</t>
        </is>
      </c>
      <c r="H205" s="168" t="n"/>
      <c r="I205" s="169" t="n"/>
      <c r="J205" s="108" t="inlineStr">
        <is>
          <t>organizational officials to whom incidents are to be reported are identified.</t>
        </is>
      </c>
      <c r="K205" s="170" t="n"/>
      <c r="M205" s="112" t="inlineStr">
        <is>
          <t>Implementation Begun</t>
        </is>
      </c>
      <c r="O205" s="179" t="n"/>
      <c r="P205" s="622" t="n"/>
    </row>
    <row r="206" ht="13.5" customFormat="1" customHeight="1" s="81">
      <c r="A206" s="166" t="inlineStr">
        <is>
          <t>3</t>
        </is>
      </c>
      <c r="B206" s="167" t="inlineStr">
        <is>
          <t>3.11.e</t>
        </is>
      </c>
      <c r="C206" s="105" t="inlineStr">
        <is>
          <t>DIY</t>
        </is>
      </c>
      <c r="D206" s="106" t="inlineStr">
        <is>
          <t>Incident Response</t>
        </is>
      </c>
      <c r="E206" s="107" t="inlineStr">
        <is>
          <t>3.6.2[e]</t>
        </is>
      </c>
      <c r="F206" s="107" t="inlineStr">
        <is>
          <t>03.06.02.e</t>
        </is>
      </c>
      <c r="G206" s="108" t="inlineStr">
        <is>
          <t>IR.L2-3.6.2</t>
        </is>
      </c>
      <c r="H206" s="168" t="n"/>
      <c r="I206" s="169" t="n"/>
      <c r="J206" s="108" t="inlineStr">
        <is>
          <t>identified authorities are notified of incidents.</t>
        </is>
      </c>
      <c r="K206" s="170" t="n"/>
      <c r="M206" s="112" t="inlineStr">
        <is>
          <t>Implementation Begun</t>
        </is>
      </c>
      <c r="O206" s="179" t="n"/>
      <c r="P206" s="622" t="n"/>
    </row>
    <row r="207" ht="30.75" customFormat="1" customHeight="1" s="81">
      <c r="A207" s="172" t="inlineStr">
        <is>
          <t>3</t>
        </is>
      </c>
      <c r="B207" s="173" t="inlineStr">
        <is>
          <t>3.11.f</t>
        </is>
      </c>
      <c r="C207" s="116" t="inlineStr">
        <is>
          <t>DIY</t>
        </is>
      </c>
      <c r="D207" s="117" t="inlineStr">
        <is>
          <t>Incident Response</t>
        </is>
      </c>
      <c r="E207" s="118" t="inlineStr">
        <is>
          <t>3.6.2[f]</t>
        </is>
      </c>
      <c r="F207" s="118" t="inlineStr">
        <is>
          <t>03.06.02.f</t>
        </is>
      </c>
      <c r="G207" s="119" t="inlineStr">
        <is>
          <t>IR.L2-3.6.2</t>
        </is>
      </c>
      <c r="H207" s="174" t="n"/>
      <c r="I207" s="175" t="n"/>
      <c r="J207" s="119" t="inlineStr">
        <is>
          <t>identified organizational officials are notified of incidents.</t>
        </is>
      </c>
      <c r="K207" s="176" t="n"/>
      <c r="M207" s="112" t="inlineStr">
        <is>
          <t>Implementation Begun</t>
        </is>
      </c>
      <c r="N207" s="124" t="n"/>
      <c r="O207" s="180" t="n"/>
      <c r="P207" s="622" t="n"/>
    </row>
    <row r="208" ht="30.75" customFormat="1" customHeight="1" s="81">
      <c r="A208" s="181" t="inlineStr">
        <is>
          <t>3</t>
        </is>
      </c>
      <c r="B208" s="182" t="inlineStr">
        <is>
          <t>3.12.0</t>
        </is>
      </c>
      <c r="C208" s="130" t="inlineStr">
        <is>
          <t>DIY</t>
        </is>
      </c>
      <c r="D208" s="131" t="inlineStr">
        <is>
          <t>Incident Response</t>
        </is>
      </c>
      <c r="E208" s="132" t="inlineStr">
        <is>
          <t>3.6.3</t>
        </is>
      </c>
      <c r="F208" s="132" t="inlineStr">
        <is>
          <t>03.06.03.0</t>
        </is>
      </c>
      <c r="G208" s="133" t="inlineStr">
        <is>
          <t>IR.L2-3.6.3</t>
        </is>
      </c>
      <c r="H208" s="134" t="n">
        <v>1</v>
      </c>
      <c r="I208" s="131" t="inlineStr">
        <is>
          <t>Test the organizational incident response capability.</t>
        </is>
      </c>
      <c r="J208" s="133" t="inlineStr">
        <is>
          <t>Determine if the incident response capability is tested.</t>
        </is>
      </c>
      <c r="K208" s="135" t="inlineStr">
        <is>
          <t>[No Comment Provided]</t>
        </is>
      </c>
      <c r="L208" s="565" t="inlineStr">
        <is>
          <t xml:space="preserve">Overall Status - Pending policy/procedure review meeting and observation of controls in place. 
Updates required to documentation
Test required for validating controls in place
Examine - Policy updates may be required based on interviews/walkthroughs. 
Interview  Controls are currently being implemented. - 
Test - Review testing measures in place. </t>
        </is>
      </c>
      <c r="M208" s="112" t="inlineStr">
        <is>
          <t>Implementation Begun</t>
        </is>
      </c>
      <c r="N208" s="136" t="n"/>
      <c r="O208" s="137">
        <f t="array" ref="O208">IF(M208&lt;&gt;"Fully Implemented",-1*H208,0)</f>
        <v/>
      </c>
      <c r="P208" s="619" t="n"/>
      <c r="T208" s="102">
        <f t="array" ref="T208">IF(O208=0,H208,0)</f>
        <v/>
      </c>
    </row>
    <row r="209" ht="60" customFormat="1" customHeight="1" s="81">
      <c r="A209" s="164" t="inlineStr">
        <is>
          <t>3</t>
        </is>
      </c>
      <c r="B209" s="165" t="inlineStr">
        <is>
          <t>3.13.0</t>
        </is>
      </c>
      <c r="C209" s="93" t="inlineStr">
        <is>
          <t>DIY</t>
        </is>
      </c>
      <c r="D209" s="94" t="inlineStr">
        <is>
          <t>Audit and Accountability</t>
        </is>
      </c>
      <c r="E209" s="95" t="inlineStr">
        <is>
          <t>3.3.7</t>
        </is>
      </c>
      <c r="F209" s="95" t="inlineStr">
        <is>
          <t>03.03.07.0</t>
        </is>
      </c>
      <c r="G209" s="96" t="inlineStr">
        <is>
          <t>AU.L2-3.3.7</t>
        </is>
      </c>
      <c r="H209" s="97" t="n">
        <v>1</v>
      </c>
      <c r="I209" s="94" t="inlineStr">
        <is>
          <t>Provide a system capability that compares and synchronizes internal system clocks with an authoritative source to generate time stamps for audit records.</t>
        </is>
      </c>
      <c r="J209" s="96" t="inlineStr">
        <is>
          <t>Determine if:</t>
        </is>
      </c>
      <c r="K209" s="98" t="inlineStr">
        <is>
          <t>[No Comment Provided]</t>
        </is>
      </c>
      <c r="L209" s="565" t="inlineStr">
        <is>
          <t xml:space="preserve">Overall Status - Pending policy/procedure review meeting and observation of controls in place. 
Updates required to documentation
Test required for validating controls in place
Examine - Policy updates may be required based on interviews/walkthroughs. 
Interview  Controls are currently being implemented. - 
Test - Review testing measures in place. </t>
        </is>
      </c>
      <c r="M209" s="99" t="inlineStr">
        <is>
          <t>Implementation Begun</t>
        </is>
      </c>
      <c r="N209" s="100" t="n"/>
      <c r="O209" s="101">
        <f t="array" ref="O209">IF(AND(M210="Fully Implemented",M211="Fully Implemented",M212="Fully Implemented"),0,-1*H209)</f>
        <v/>
      </c>
      <c r="P209" s="619" t="n"/>
      <c r="T209" s="102">
        <f t="array" ref="T209">IF(O209=0,H209,0)</f>
        <v/>
      </c>
    </row>
    <row r="210" ht="30" customFormat="1" customHeight="1" s="81">
      <c r="A210" s="166" t="inlineStr">
        <is>
          <t>3</t>
        </is>
      </c>
      <c r="B210" s="167" t="inlineStr">
        <is>
          <t>3.13.a</t>
        </is>
      </c>
      <c r="C210" s="105" t="inlineStr">
        <is>
          <t>DIY</t>
        </is>
      </c>
      <c r="D210" s="106" t="inlineStr">
        <is>
          <t>Audit and Accountability</t>
        </is>
      </c>
      <c r="E210" s="107" t="inlineStr">
        <is>
          <t>3.3.7[a]</t>
        </is>
      </c>
      <c r="F210" s="107" t="inlineStr">
        <is>
          <t>03.03.07.a</t>
        </is>
      </c>
      <c r="G210" s="108" t="inlineStr">
        <is>
          <t>AU.L2-3.3.7</t>
        </is>
      </c>
      <c r="H210" s="168" t="n"/>
      <c r="I210" s="169" t="n"/>
      <c r="J210" s="108" t="inlineStr">
        <is>
          <t xml:space="preserve">internal system clocks are used to generate time stamps for audit records. </t>
        </is>
      </c>
      <c r="K210" s="170" t="n"/>
      <c r="M210" s="112" t="inlineStr">
        <is>
          <t>Implementation Begun</t>
        </is>
      </c>
      <c r="O210" s="179" t="n"/>
      <c r="P210" s="622" t="n"/>
    </row>
    <row r="211" ht="30" customFormat="1" customHeight="1" s="81">
      <c r="A211" s="166" t="inlineStr">
        <is>
          <t>3</t>
        </is>
      </c>
      <c r="B211" s="167" t="inlineStr">
        <is>
          <t>3.13.b</t>
        </is>
      </c>
      <c r="C211" s="105" t="inlineStr">
        <is>
          <t>DIY</t>
        </is>
      </c>
      <c r="D211" s="106" t="inlineStr">
        <is>
          <t>Audit and Accountability</t>
        </is>
      </c>
      <c r="E211" s="107" t="inlineStr">
        <is>
          <t>3.3.7[b]</t>
        </is>
      </c>
      <c r="F211" s="107" t="inlineStr">
        <is>
          <t>03.03.07.b</t>
        </is>
      </c>
      <c r="G211" s="108" t="inlineStr">
        <is>
          <t>AU.L2-3.3.7</t>
        </is>
      </c>
      <c r="H211" s="168" t="n"/>
      <c r="I211" s="169" t="n"/>
      <c r="J211" s="108" t="inlineStr">
        <is>
          <t>an authoritative source with which to compare and synchronize internal system clocks is specified.</t>
        </is>
      </c>
      <c r="K211" s="170" t="n"/>
      <c r="M211" s="112" t="inlineStr">
        <is>
          <t>Implementation Begun</t>
        </is>
      </c>
      <c r="O211" s="179" t="n"/>
      <c r="P211" s="622" t="n"/>
    </row>
    <row r="212" ht="45.75" customFormat="1" customHeight="1" s="81">
      <c r="A212" s="172" t="inlineStr">
        <is>
          <t>3</t>
        </is>
      </c>
      <c r="B212" s="173" t="inlineStr">
        <is>
          <t>3.13.c</t>
        </is>
      </c>
      <c r="C212" s="116" t="inlineStr">
        <is>
          <t>DIY</t>
        </is>
      </c>
      <c r="D212" s="117" t="inlineStr">
        <is>
          <t>Audit and Accountability</t>
        </is>
      </c>
      <c r="E212" s="118" t="inlineStr">
        <is>
          <t>3.3.7[c]</t>
        </is>
      </c>
      <c r="F212" s="118" t="inlineStr">
        <is>
          <t>03.03.07.c</t>
        </is>
      </c>
      <c r="G212" s="119" t="inlineStr">
        <is>
          <t>AU.L2-3.3.7</t>
        </is>
      </c>
      <c r="H212" s="174" t="n"/>
      <c r="I212" s="175" t="n"/>
      <c r="J212" s="119" t="inlineStr">
        <is>
          <t>internal system clocks used to generate time stamps for audit records are compared to and synchronized with the specified authoritative time source.</t>
        </is>
      </c>
      <c r="K212" s="176" t="n"/>
      <c r="M212" s="112" t="inlineStr">
        <is>
          <t>Implementation Begun</t>
        </is>
      </c>
      <c r="N212" s="124" t="n"/>
      <c r="O212" s="180" t="n"/>
      <c r="P212" s="622" t="n"/>
    </row>
    <row r="213" ht="30" customFormat="1" customHeight="1" s="81">
      <c r="A213" s="201" t="inlineStr">
        <is>
          <t>5</t>
        </is>
      </c>
      <c r="B213" s="202" t="inlineStr">
        <is>
          <t>5.28.b</t>
        </is>
      </c>
      <c r="C213" s="93" t="inlineStr">
        <is>
          <t>Outsource</t>
        </is>
      </c>
      <c r="D213" s="94" t="inlineStr">
        <is>
          <t>Access Control</t>
        </is>
      </c>
      <c r="E213" s="95" t="inlineStr">
        <is>
          <t>3.1.15[b]</t>
        </is>
      </c>
      <c r="F213" s="95" t="inlineStr">
        <is>
          <t>03.01.15.b</t>
        </is>
      </c>
      <c r="G213" s="96" t="inlineStr">
        <is>
          <t>AC.L2-3.1.15</t>
        </is>
      </c>
      <c r="H213" s="592" t="n"/>
      <c r="I213" s="597" t="n"/>
      <c r="J213" s="96" t="inlineStr">
        <is>
          <t>security-relevant information authorized to be accessed remotely is identified.</t>
        </is>
      </c>
      <c r="K213" s="602" t="n"/>
      <c r="L213" s="565" t="n"/>
      <c r="M213" s="605" t="inlineStr">
        <is>
          <t>Implementation Begun</t>
        </is>
      </c>
      <c r="N213" s="606" t="n"/>
      <c r="O213" s="613" t="n"/>
      <c r="P213" s="623" t="n"/>
    </row>
    <row r="214" ht="30" customFormat="1" customHeight="1" s="81">
      <c r="A214" s="203" t="inlineStr">
        <is>
          <t>5</t>
        </is>
      </c>
      <c r="B214" s="204" t="inlineStr">
        <is>
          <t>5.28.c</t>
        </is>
      </c>
      <c r="C214" s="105" t="inlineStr">
        <is>
          <t>Outsource</t>
        </is>
      </c>
      <c r="D214" s="106" t="inlineStr">
        <is>
          <t>Access Control</t>
        </is>
      </c>
      <c r="E214" s="107" t="inlineStr">
        <is>
          <t>3.1.15[c]</t>
        </is>
      </c>
      <c r="F214" s="107" t="inlineStr">
        <is>
          <t>03.01.15.c</t>
        </is>
      </c>
      <c r="G214" s="108" t="inlineStr">
        <is>
          <t>AC.L2-3.1.15</t>
        </is>
      </c>
      <c r="H214" s="205" t="n"/>
      <c r="I214" s="206" t="n"/>
      <c r="J214" s="108" t="inlineStr">
        <is>
          <t>the execution of the identified privileged commands via remote access is authorized.</t>
        </is>
      </c>
      <c r="K214" s="207" t="n"/>
      <c r="L214" s="565" t="n"/>
      <c r="M214" s="112" t="inlineStr">
        <is>
          <t>Implementation Begun</t>
        </is>
      </c>
      <c r="O214" s="208" t="n"/>
      <c r="P214" s="623" t="n"/>
    </row>
    <row r="215" ht="13.5" customFormat="1" customHeight="1" s="81">
      <c r="A215" s="203" t="inlineStr">
        <is>
          <t>5</t>
        </is>
      </c>
      <c r="B215" s="204" t="inlineStr">
        <is>
          <t>5.28.d</t>
        </is>
      </c>
      <c r="C215" s="105" t="inlineStr">
        <is>
          <t>Outsource</t>
        </is>
      </c>
      <c r="D215" s="106" t="inlineStr">
        <is>
          <t>Access Control</t>
        </is>
      </c>
      <c r="E215" s="107" t="inlineStr">
        <is>
          <t>3.1.15[d]</t>
        </is>
      </c>
      <c r="F215" s="107" t="inlineStr">
        <is>
          <t>03.01.15.d</t>
        </is>
      </c>
      <c r="G215" s="108" t="inlineStr">
        <is>
          <t>AC.L2-3.1.15</t>
        </is>
      </c>
      <c r="H215" s="205" t="n"/>
      <c r="I215" s="206" t="n"/>
      <c r="J215" s="108" t="inlineStr">
        <is>
          <t>access to the identified security-relevant information via remote access is authorized.</t>
        </is>
      </c>
      <c r="K215" s="207" t="n"/>
      <c r="L215" s="565" t="n"/>
      <c r="M215" s="112" t="inlineStr">
        <is>
          <t>Implementation Begun</t>
        </is>
      </c>
      <c r="N215" s="607" t="n"/>
      <c r="O215" s="208" t="n"/>
      <c r="P215" s="623" t="n"/>
    </row>
    <row r="216" ht="152.25" customFormat="1" customHeight="1" s="81">
      <c r="A216" s="172" t="inlineStr">
        <is>
          <t>3</t>
        </is>
      </c>
      <c r="B216" s="173" t="inlineStr">
        <is>
          <t>3.04.0</t>
        </is>
      </c>
      <c r="C216" s="116" t="inlineStr">
        <is>
          <t>DIY</t>
        </is>
      </c>
      <c r="D216" s="117" t="inlineStr">
        <is>
          <t>Access Control</t>
        </is>
      </c>
      <c r="E216" s="118" t="inlineStr">
        <is>
          <t>3.1.16</t>
        </is>
      </c>
      <c r="F216" s="118" t="inlineStr">
        <is>
          <t>03.01.16.0</t>
        </is>
      </c>
      <c r="G216" s="119" t="inlineStr">
        <is>
          <t>AC.L2-3.1.16</t>
        </is>
      </c>
      <c r="H216" s="594" t="n">
        <v>5</v>
      </c>
      <c r="I216" s="117" t="inlineStr">
        <is>
          <t>Authorize wireless access prior to allowing such connections.</t>
        </is>
      </c>
      <c r="J216" s="119" t="inlineStr">
        <is>
          <t>Determine if:</t>
        </is>
      </c>
      <c r="K216" s="618" t="inlineStr">
        <is>
          <t>Do not subtract points if wireless access not permitted</t>
        </is>
      </c>
      <c r="L216" s="565" t="inlineStr">
        <is>
          <t>Cloudflare Zero Trust enforces a network-agnostic access model — the security of the underlying wireless network is not relied upon as a trust signal. Corporate wireless uses 802.1X certificate-based authentication via Intune Wi-Fi configuration profiles. However, whether on corporate wireless, home broadband, or public Wi-Fi, all devices receive identical Zero Trust enforcement through WARP. Only Intune-enrolled, compliant devices may authenticate to corporate wireless and connect through Cloudflare.</t>
        </is>
      </c>
      <c r="M216" s="170">
        <f t="array" ref="M216">IF(AND(M217="Fully Implemented",M218="Fully Implemented"),"Fully Implemented","")</f>
        <v/>
      </c>
      <c r="N216" s="124" t="n"/>
      <c r="O216" s="615">
        <f t="array" ref="O216">IF(AND(OR(M217="Fully Implemented",M217="Not Permitted"),OR(M218="Fully Implemented",M218="Not Permitted")),0,-1*H216)</f>
        <v/>
      </c>
      <c r="P216" s="619" t="n"/>
      <c r="T216" s="102">
        <f t="array" ref="T216">IF(O216=0,H216,0)</f>
        <v/>
      </c>
    </row>
    <row r="217" ht="96.75" customFormat="1" customHeight="1" s="81">
      <c r="A217" s="164" t="inlineStr">
        <is>
          <t>3</t>
        </is>
      </c>
      <c r="B217" s="165" t="inlineStr">
        <is>
          <t>3.04.a</t>
        </is>
      </c>
      <c r="C217" s="93" t="inlineStr">
        <is>
          <t>DIY</t>
        </is>
      </c>
      <c r="D217" s="94" t="inlineStr">
        <is>
          <t>Access Control</t>
        </is>
      </c>
      <c r="E217" s="95" t="inlineStr">
        <is>
          <t>3.1.16[a]</t>
        </is>
      </c>
      <c r="F217" s="95" t="inlineStr">
        <is>
          <t>03.01.16.a</t>
        </is>
      </c>
      <c r="G217" s="96" t="inlineStr">
        <is>
          <t>AC.L2-3.1.16</t>
        </is>
      </c>
      <c r="H217" s="593" t="n"/>
      <c r="I217" s="598" t="n"/>
      <c r="J217" s="96" t="inlineStr">
        <is>
          <t>wireless access points are identified.</t>
        </is>
      </c>
      <c r="K217" s="178" t="n"/>
      <c r="L217" s="565" t="n"/>
      <c r="M217" s="605" t="inlineStr">
        <is>
          <t>Implementation Begun</t>
        </is>
      </c>
      <c r="N217" s="606" t="n"/>
      <c r="O217" s="614" t="n"/>
      <c r="P217" s="622" t="n"/>
    </row>
    <row r="218" ht="30" customFormat="1" customHeight="1" s="81">
      <c r="A218" s="166" t="inlineStr">
        <is>
          <t>3</t>
        </is>
      </c>
      <c r="B218" s="167" t="inlineStr">
        <is>
          <t>3.04.b</t>
        </is>
      </c>
      <c r="C218" s="105" t="inlineStr">
        <is>
          <t>Outsource</t>
        </is>
      </c>
      <c r="D218" s="106" t="inlineStr">
        <is>
          <t>Access Control</t>
        </is>
      </c>
      <c r="E218" s="107" t="inlineStr">
        <is>
          <t>3.1.16[b]</t>
        </is>
      </c>
      <c r="F218" s="107" t="inlineStr">
        <is>
          <t>03.01.16.b</t>
        </is>
      </c>
      <c r="G218" s="108" t="inlineStr">
        <is>
          <t>AC.L2-3.1.16</t>
        </is>
      </c>
      <c r="H218" s="168" t="n"/>
      <c r="I218" s="169" t="n"/>
      <c r="J218" s="108" t="inlineStr">
        <is>
          <t>wireless access is authorized prior to allowing such connections.</t>
        </is>
      </c>
      <c r="K218" s="170" t="n"/>
      <c r="L218" s="565" t="n"/>
      <c r="M218" s="112" t="inlineStr">
        <is>
          <t>Implementation Begun</t>
        </is>
      </c>
      <c r="N218" s="607" t="n"/>
      <c r="O218" s="179" t="n"/>
      <c r="P218" s="622" t="n"/>
    </row>
    <row r="219" ht="137.25" customFormat="1" customHeight="1" s="81">
      <c r="A219" s="166" t="inlineStr">
        <is>
          <t>3</t>
        </is>
      </c>
      <c r="B219" s="167" t="inlineStr">
        <is>
          <t>3.03.0</t>
        </is>
      </c>
      <c r="C219" s="105" t="inlineStr">
        <is>
          <t>DIY</t>
        </is>
      </c>
      <c r="D219" s="106" t="inlineStr">
        <is>
          <t>Access Control</t>
        </is>
      </c>
      <c r="E219" s="107" t="inlineStr">
        <is>
          <t>3.1.17</t>
        </is>
      </c>
      <c r="F219" s="107" t="inlineStr">
        <is>
          <t>03.01.17.0</t>
        </is>
      </c>
      <c r="G219" s="108" t="inlineStr">
        <is>
          <t>AC.L2-3.1.17</t>
        </is>
      </c>
      <c r="H219" s="591" t="n">
        <v>5</v>
      </c>
      <c r="I219" s="106" t="inlineStr">
        <is>
          <t>Protect wireless access using authentication and encryption.</t>
        </is>
      </c>
      <c r="J219" s="108" t="inlineStr">
        <is>
          <t>Determine if:</t>
        </is>
      </c>
      <c r="K219" s="604" t="inlineStr">
        <is>
          <t>Do not subtract points if wireless access not permitted</t>
        </is>
      </c>
      <c r="L219" s="565" t="inlineStr">
        <is>
          <t>Corporate wireless is configured with WPA3-Enterprise and AES-256 encryption enforced by Intune Wi-Fi profiles on all managed devices. Cloudflare WARP provides an additional end-to-end encryption layer via FIPS-validated WireGuard, ensuring traffic confidentiality above the wireless layer regardless of the underlying wireless security posture. CrowdStrike Falcon monitors endpoints for unauthorized wireless adapter activity.</t>
        </is>
      </c>
      <c r="M219" s="170">
        <f t="array" ref="M219">IF(AND(M220="Fully Implemented",M221="Fully Implemented"),"Fully Implemented","")</f>
        <v/>
      </c>
      <c r="N219" s="607" t="n"/>
      <c r="O219" s="612">
        <f t="array" ref="O219">IF(AND(OR(M220="Fully Implemented",M220="Not Permitted"),OR(M221="Fully Implemented",M221="Not Permitted")),0,-1*H219)</f>
        <v/>
      </c>
      <c r="P219" s="619" t="n"/>
      <c r="T219" s="102">
        <f t="array" ref="T219">IF(O219=0,H219,0)</f>
        <v/>
      </c>
    </row>
    <row r="220" ht="45.75" customFormat="1" customHeight="1" s="81">
      <c r="A220" s="172" t="inlineStr">
        <is>
          <t>3</t>
        </is>
      </c>
      <c r="B220" s="173" t="inlineStr">
        <is>
          <t>3.03.a</t>
        </is>
      </c>
      <c r="C220" s="116" t="inlineStr">
        <is>
          <t>DIY</t>
        </is>
      </c>
      <c r="D220" s="117" t="inlineStr">
        <is>
          <t>Access Control</t>
        </is>
      </c>
      <c r="E220" s="118" t="inlineStr">
        <is>
          <t>3.1.17[a]</t>
        </is>
      </c>
      <c r="F220" s="118" t="inlineStr">
        <is>
          <t>03.01.17.a</t>
        </is>
      </c>
      <c r="G220" s="119" t="inlineStr">
        <is>
          <t>AC.L2-3.1.17</t>
        </is>
      </c>
      <c r="H220" s="174" t="n"/>
      <c r="I220" s="175" t="n"/>
      <c r="J220" s="119" t="inlineStr">
        <is>
          <t>wireless access to the system is protected using encryption.</t>
        </is>
      </c>
      <c r="K220" s="176" t="n"/>
      <c r="L220" s="565" t="n"/>
      <c r="M220" s="112" t="inlineStr">
        <is>
          <t>Implementation Begun</t>
        </is>
      </c>
      <c r="N220" s="608" t="n"/>
      <c r="O220" s="180" t="n"/>
      <c r="P220" s="622" t="n"/>
    </row>
    <row r="221" ht="30" customFormat="1" customHeight="1" s="81">
      <c r="A221" s="164" t="inlineStr">
        <is>
          <t>3</t>
        </is>
      </c>
      <c r="B221" s="165" t="inlineStr">
        <is>
          <t>3.03.b</t>
        </is>
      </c>
      <c r="C221" s="93" t="inlineStr">
        <is>
          <t>DIY</t>
        </is>
      </c>
      <c r="D221" s="94" t="inlineStr">
        <is>
          <t>Access Control</t>
        </is>
      </c>
      <c r="E221" s="95" t="inlineStr">
        <is>
          <t>3.1.17[b]</t>
        </is>
      </c>
      <c r="F221" s="95" t="inlineStr">
        <is>
          <t>03.01.17.b</t>
        </is>
      </c>
      <c r="G221" s="96" t="inlineStr">
        <is>
          <t>AC.L2-3.1.17</t>
        </is>
      </c>
      <c r="H221" s="593" t="n"/>
      <c r="I221" s="598" t="n"/>
      <c r="J221" s="96" t="inlineStr">
        <is>
          <t>wireless access to the system is protected using authentication.</t>
        </is>
      </c>
      <c r="K221" s="178" t="n"/>
      <c r="L221" s="565" t="n"/>
      <c r="M221" s="605" t="inlineStr">
        <is>
          <t>Implementation Begun</t>
        </is>
      </c>
      <c r="N221" s="100" t="n"/>
      <c r="O221" s="614" t="n"/>
      <c r="P221" s="622" t="n"/>
    </row>
    <row r="222" ht="244.5" customFormat="1" customHeight="1" s="81">
      <c r="A222" s="166" t="inlineStr">
        <is>
          <t>3</t>
        </is>
      </c>
      <c r="B222" s="167" t="inlineStr">
        <is>
          <t>3.14.0</t>
        </is>
      </c>
      <c r="C222" s="105" t="inlineStr">
        <is>
          <t>Hybrid</t>
        </is>
      </c>
      <c r="D222" s="106" t="inlineStr">
        <is>
          <t>Access Control</t>
        </is>
      </c>
      <c r="E222" s="107" t="inlineStr">
        <is>
          <t>3.1.18</t>
        </is>
      </c>
      <c r="F222" s="107" t="inlineStr">
        <is>
          <t>03.01.18.0</t>
        </is>
      </c>
      <c r="G222" s="108" t="inlineStr">
        <is>
          <t>AC.L2-3.1.18</t>
        </is>
      </c>
      <c r="H222" s="591" t="n">
        <v>5</v>
      </c>
      <c r="I222" s="106" t="inlineStr">
        <is>
          <t>Control connection of mobile devices.</t>
        </is>
      </c>
      <c r="J222" s="108" t="inlineStr">
        <is>
          <t>Determine if:</t>
        </is>
      </c>
      <c r="K222" s="604" t="inlineStr">
        <is>
          <t>Do not subtract points if connection of mobile devices is not permitted.</t>
        </is>
      </c>
      <c r="L222" s="565" t="inlineStr">
        <is>
          <t>Connection of mobile devices to organizational systems is controlled per the Mobile Device Policy. All mobile devices must be enrolled in Microsoft Intune prior to accessing any corporate resource. Intune enrollment deploys the Cloudflare WARP client in full-tunnel always-on mode, CrowdStrike Falcon sensor, and device compliance configuration profiles. Azure AD Conditional Access enforces that only Intune-compliant devices may authenticate to M365 GCCH and Azure GCCH resources. Cloudflare Zero Trust device posture checks verify Intune compliance and CrowdStrike sensor health at each connection attempt. Unenrolled or non-compliant mobile devices receive a block enforcement action and cannot access any CUI-bearing system. Personal (BYOD) devices are prohibited from accessing CUI-bearing systems.</t>
        </is>
      </c>
      <c r="M222" s="170">
        <f t="array" ref="M222">IF(AND(M223="Fully Implemented",M224="Fully Implemented",M225="Fully Implemented"),"Fully Implemented","")</f>
        <v/>
      </c>
      <c r="N222" s="607" t="n"/>
      <c r="O222" s="612">
        <f t="array" ref="O222">IF(AND(OR(M223="Fully Implemented",M223="Not Permitted"),OR(M224="Fully Implemented",M224="Not Permitted"),OR(M225="Fully Implemented",M225="Not Permitted")),0,-1*H222)</f>
        <v/>
      </c>
      <c r="P222" s="619" t="n"/>
      <c r="T222" s="102">
        <f t="array" ref="T222">IF(O222=0,H222,0)</f>
        <v/>
      </c>
    </row>
    <row r="223" ht="30" customFormat="1" customHeight="1" s="81">
      <c r="A223" s="166" t="inlineStr">
        <is>
          <t>3</t>
        </is>
      </c>
      <c r="B223" s="167" t="inlineStr">
        <is>
          <t>3.14.a</t>
        </is>
      </c>
      <c r="C223" s="105" t="inlineStr">
        <is>
          <t>DIY</t>
        </is>
      </c>
      <c r="D223" s="106" t="inlineStr">
        <is>
          <t>Access Control</t>
        </is>
      </c>
      <c r="E223" s="107" t="inlineStr">
        <is>
          <t>3.1.18[a]</t>
        </is>
      </c>
      <c r="F223" s="107" t="inlineStr">
        <is>
          <t>03.01.18.a</t>
        </is>
      </c>
      <c r="G223" s="108" t="inlineStr">
        <is>
          <t>AC.L2-3.1.18</t>
        </is>
      </c>
      <c r="H223" s="168" t="n"/>
      <c r="I223" s="169" t="n"/>
      <c r="J223" s="108" t="inlineStr">
        <is>
          <t>mobile devices that process, store, or transmit CUI are identified.</t>
        </is>
      </c>
      <c r="K223" s="170" t="inlineStr">
        <is>
          <t>, 3.1..</t>
        </is>
      </c>
      <c r="L223" s="565" t="n"/>
      <c r="M223" s="112" t="inlineStr">
        <is>
          <t>Implementation Begun</t>
        </is>
      </c>
      <c r="O223" s="179" t="n"/>
      <c r="P223" s="622" t="n"/>
    </row>
    <row r="224" ht="45.75" customFormat="1" customHeight="1" s="81">
      <c r="A224" s="172" t="inlineStr">
        <is>
          <t>3</t>
        </is>
      </c>
      <c r="B224" s="173" t="inlineStr">
        <is>
          <t>3.14.b</t>
        </is>
      </c>
      <c r="C224" s="116" t="inlineStr">
        <is>
          <t>Outsource</t>
        </is>
      </c>
      <c r="D224" s="117" t="inlineStr">
        <is>
          <t>Access Control</t>
        </is>
      </c>
      <c r="E224" s="118" t="inlineStr">
        <is>
          <t>3.1.18[b]</t>
        </is>
      </c>
      <c r="F224" s="118" t="inlineStr">
        <is>
          <t>03.01.18.b</t>
        </is>
      </c>
      <c r="G224" s="119" t="inlineStr">
        <is>
          <t>AC.L2-3.1.18</t>
        </is>
      </c>
      <c r="H224" s="174" t="n"/>
      <c r="I224" s="175" t="n"/>
      <c r="J224" s="119" t="inlineStr">
        <is>
          <t>the connection of mobile devices is authorized.</t>
        </is>
      </c>
      <c r="K224" s="176" t="n"/>
      <c r="L224" s="565" t="n"/>
      <c r="M224" s="112" t="inlineStr">
        <is>
          <t>Implementation Begun</t>
        </is>
      </c>
      <c r="N224" s="608" t="n"/>
      <c r="O224" s="180" t="n"/>
      <c r="P224" s="622" t="n"/>
    </row>
    <row r="225" ht="45" customFormat="1" customHeight="1" s="81">
      <c r="A225" s="164" t="inlineStr">
        <is>
          <t>3</t>
        </is>
      </c>
      <c r="B225" s="165" t="inlineStr">
        <is>
          <t>3.14.c</t>
        </is>
      </c>
      <c r="C225" s="93" t="inlineStr">
        <is>
          <t>Outsource</t>
        </is>
      </c>
      <c r="D225" s="94" t="inlineStr">
        <is>
          <t>Access Control</t>
        </is>
      </c>
      <c r="E225" s="95" t="inlineStr">
        <is>
          <t>3.1.18[c]</t>
        </is>
      </c>
      <c r="F225" s="95" t="inlineStr">
        <is>
          <t>03.01.18.c</t>
        </is>
      </c>
      <c r="G225" s="96" t="inlineStr">
        <is>
          <t>AC.L2-3.1.18</t>
        </is>
      </c>
      <c r="H225" s="593" t="n"/>
      <c r="I225" s="598" t="n"/>
      <c r="J225" s="96" t="inlineStr">
        <is>
          <t>mobile device connections are monitored and logged.</t>
        </is>
      </c>
      <c r="K225" s="178" t="n"/>
      <c r="L225" s="565" t="n"/>
      <c r="M225" s="605" t="inlineStr">
        <is>
          <t>Implementation Begun</t>
        </is>
      </c>
      <c r="N225" s="100" t="n"/>
      <c r="O225" s="614" t="n"/>
      <c r="P225" s="622" t="n"/>
    </row>
    <row r="226" ht="259.5" customFormat="1" customHeight="1" s="81">
      <c r="A226" s="187" t="inlineStr">
        <is>
          <t>4</t>
        </is>
      </c>
      <c r="B226" s="188" t="inlineStr">
        <is>
          <t>4.22.0</t>
        </is>
      </c>
      <c r="C226" s="105" t="inlineStr">
        <is>
          <t>Outsource</t>
        </is>
      </c>
      <c r="D226" s="106" t="inlineStr">
        <is>
          <t>Access Control</t>
        </is>
      </c>
      <c r="E226" s="107" t="inlineStr">
        <is>
          <t>3.1.19</t>
        </is>
      </c>
      <c r="F226" s="107" t="inlineStr">
        <is>
          <t>03.01.19.0</t>
        </is>
      </c>
      <c r="G226" s="108" t="inlineStr">
        <is>
          <t>AC.L2-3.1.19</t>
        </is>
      </c>
      <c r="H226" s="591" t="n">
        <v>3</v>
      </c>
      <c r="I226" s="106" t="inlineStr">
        <is>
          <t>Encrypt CUI on mobile devices and mobile computing platforms.</t>
        </is>
      </c>
      <c r="J226" s="108" t="inlineStr">
        <is>
          <t>Determine if:</t>
        </is>
      </c>
      <c r="K226" s="604" t="inlineStr">
        <is>
          <t>Exposure limited to CUI on mobile platform</t>
        </is>
      </c>
      <c r="L226" s="565" t="inlineStr">
        <is>
          <t>CUI stored on or transmitted through mobile devices is encrypted per the Mobile Device Policy and Cryptographic Policy. Microsoft Intune compliance policies enforce full-device encryption on all managed mobile platforms: BitLocker on Windows endpoints, hardware-level encryption enforced via passcode requirement on iOS, and full-disk encryption on Android. Intune marks devices without active encryption as non-compliant, triggering a Cloudflare device posture block. Microsoft Purview sensitivity labels applied in M365 GCCH encrypt CUI at the file level — labeled files remain cryptographically protected on device storage and require M365 GCCH re-authentication to decrypt. The Cloudflare WARP client encrypts all CUI in transit using FIPS 140-2 validated WireGuard, ensuring no CUI traverses any network path in cleartext.</t>
        </is>
      </c>
      <c r="M226" s="191">
        <f t="array" ref="M226">IF(AND(M227="Fully Implemented",M228="Fully Implemented"),"Fully Implemented","")</f>
        <v/>
      </c>
      <c r="N226" s="607" t="n"/>
      <c r="O226" s="612">
        <f t="array" ref="O226">IF(AND(M227="Fully Implemented",M228="Fully Implemented"),0,-1*H226)</f>
        <v/>
      </c>
      <c r="P226" s="619" t="n"/>
      <c r="T226" s="102">
        <f t="array" ref="T226">IF(O226=0,H226,0)</f>
        <v/>
      </c>
    </row>
    <row r="227" ht="30" customFormat="1" customHeight="1" s="81">
      <c r="A227" s="187" t="inlineStr">
        <is>
          <t>4</t>
        </is>
      </c>
      <c r="B227" s="188" t="inlineStr">
        <is>
          <t>4.22.a</t>
        </is>
      </c>
      <c r="C227" s="105" t="inlineStr">
        <is>
          <t>Outsource</t>
        </is>
      </c>
      <c r="D227" s="106" t="inlineStr">
        <is>
          <t>Access Control</t>
        </is>
      </c>
      <c r="E227" s="107" t="inlineStr">
        <is>
          <t>3.1.19[a]</t>
        </is>
      </c>
      <c r="F227" s="107" t="inlineStr">
        <is>
          <t>03.01.19.a</t>
        </is>
      </c>
      <c r="G227" s="108" t="inlineStr">
        <is>
          <t>AC.L2-3.1.19</t>
        </is>
      </c>
      <c r="H227" s="189" t="n"/>
      <c r="I227" s="190" t="n"/>
      <c r="J227" s="108" t="inlineStr">
        <is>
          <t>mobile devices and mobile computing platforms that process, store, or transmit CUI are identified.</t>
        </is>
      </c>
      <c r="K227" s="191" t="n"/>
      <c r="L227" s="565" t="inlineStr">
        <is>
          <t>📎 Assessor evidence tip: Assessor evidence: In</t>
        </is>
      </c>
      <c r="M227" s="112" t="inlineStr">
        <is>
          <t>Implementation Begun</t>
        </is>
      </c>
      <c r="O227" s="192" t="n"/>
      <c r="P227" s="625" t="n"/>
    </row>
    <row r="228" ht="13.5" customFormat="1" customHeight="1" s="81">
      <c r="A228" s="187" t="inlineStr">
        <is>
          <t>4</t>
        </is>
      </c>
      <c r="B228" s="188" t="inlineStr">
        <is>
          <t>4.22.b</t>
        </is>
      </c>
      <c r="C228" s="105" t="inlineStr">
        <is>
          <t>Outsource</t>
        </is>
      </c>
      <c r="D228" s="106" t="inlineStr">
        <is>
          <t>Access Control</t>
        </is>
      </c>
      <c r="E228" s="107" t="inlineStr">
        <is>
          <t>3.1.19[b]</t>
        </is>
      </c>
      <c r="F228" s="107" t="inlineStr">
        <is>
          <t>03.01.19.b</t>
        </is>
      </c>
      <c r="G228" s="108" t="inlineStr">
        <is>
          <t>AC.L2-3.1.19</t>
        </is>
      </c>
      <c r="H228" s="189" t="n"/>
      <c r="I228" s="190" t="n"/>
      <c r="J228" s="108" t="inlineStr">
        <is>
          <t>encryption is employed to protect CUI on identified mobile devices and mobile computing platforms.</t>
        </is>
      </c>
      <c r="K228" s="191" t="n"/>
      <c r="L228" s="565" t="n"/>
      <c r="M228" s="112" t="inlineStr">
        <is>
          <t>Implementation Begun</t>
        </is>
      </c>
      <c r="N228" s="607" t="n"/>
      <c r="O228" s="192" t="n"/>
      <c r="P228" s="625" t="n"/>
    </row>
    <row r="229" ht="321" customFormat="1" customHeight="1" s="81">
      <c r="A229" s="193" t="inlineStr">
        <is>
          <t>4</t>
        </is>
      </c>
      <c r="B229" s="194" t="inlineStr">
        <is>
          <t>4.17.0</t>
        </is>
      </c>
      <c r="C229" s="116" t="inlineStr">
        <is>
          <t>DIY</t>
        </is>
      </c>
      <c r="D229" s="117" t="inlineStr">
        <is>
          <t>Access Control</t>
        </is>
      </c>
      <c r="E229" s="118" t="inlineStr">
        <is>
          <t>3.1.21</t>
        </is>
      </c>
      <c r="F229" s="118" t="inlineStr">
        <is>
          <t>03.01.21.0</t>
        </is>
      </c>
      <c r="G229" s="119" t="inlineStr">
        <is>
          <t>AC.L2-3.1.21</t>
        </is>
      </c>
      <c r="H229" s="594" t="n">
        <v>1</v>
      </c>
      <c r="I229" s="117" t="inlineStr">
        <is>
          <t>Limit use of organizational portable storage devices on external systems.</t>
        </is>
      </c>
      <c r="J229" s="119" t="inlineStr">
        <is>
          <t>Determine if:</t>
        </is>
      </c>
      <c r="K229" s="603" t="inlineStr">
        <is>
          <t>[No Comment Provided]</t>
        </is>
      </c>
      <c r="L229" s="565" t="inlineStr">
        <is>
          <t>Use of portable storage devices is restricted per the Removable Media Policy. Microsoft Intune device configuration profiles block all unauthorized removable storage devices on managed Windows endpoints. CrowdStrike Falcon Device Control enforces removable media restrictions at the kernel level — USB storage device connections are blocked by default, with exceptions permitted only for organization-issued, encrypted devices approved by serial number. All USB connection events are captured in CrowdStrike Falcon telemetry and trigger security alerts for review. Microsoft Purview DLP policies enforce a secondary control layer — CUI-labeled files cannot be written to any removable storage device regardless of device permission status. Cloudflare Gateway DLP policies block browser-based and application-based exfiltration of CUI to external destinations. Any exception to the removable media block policy requires written approval per the Removable Media Request and Approval Procedure, and only Intune-issued, BitLocker-encrypted USB devices are eligible for approval.</t>
        </is>
      </c>
      <c r="M229" s="111" t="inlineStr">
        <is>
          <t>Implementation Begun</t>
        </is>
      </c>
      <c r="N229" s="124" t="n"/>
      <c r="O229" s="615">
        <f t="array" ref="O229">IF(AND(OR(M230="Fully Implemented",M230="Not Permitted"),OR(M231="Fully Implemented",M231="Not Permitted"),OR(M232="Fully Implemented",M232="Not Permitted")),0,-1*H229)</f>
        <v/>
      </c>
      <c r="P229" s="619" t="n"/>
      <c r="T229" s="102">
        <f t="array" ref="T229">IF(O229=0,H229,0)</f>
        <v/>
      </c>
    </row>
    <row r="230" ht="45" customFormat="1" customHeight="1" s="81">
      <c r="A230" s="164" t="inlineStr">
        <is>
          <t>3</t>
        </is>
      </c>
      <c r="B230" s="165" t="inlineStr">
        <is>
          <t>3.18.0</t>
        </is>
      </c>
      <c r="C230" s="93" t="inlineStr">
        <is>
          <t>Outsource</t>
        </is>
      </c>
      <c r="D230" s="94" t="inlineStr">
        <is>
          <t>Audit and Accountability</t>
        </is>
      </c>
      <c r="E230" s="95" t="inlineStr">
        <is>
          <t>3.3.2</t>
        </is>
      </c>
      <c r="F230" s="95" t="inlineStr">
        <is>
          <t>03.03.02.0</t>
        </is>
      </c>
      <c r="G230" s="96" t="inlineStr">
        <is>
          <t>AU.L2-3.3.2</t>
        </is>
      </c>
      <c r="H230" s="97" t="n">
        <v>3</v>
      </c>
      <c r="I230" s="94" t="inlineStr">
        <is>
          <t>Ensure that the actions of individual system users can be uniquely traced to those users so they can be held accountable for their actions.</t>
        </is>
      </c>
      <c r="J230" s="96" t="inlineStr">
        <is>
          <t>Determine if:</t>
        </is>
      </c>
      <c r="K230" s="98" t="inlineStr">
        <is>
          <t>[No Comment Provided]</t>
        </is>
      </c>
      <c r="L230" s="565" t="inlineStr">
        <is>
          <t xml:space="preserve">Overall Status - Pending policy/procedure review meeting and observation of controls in place. 
Updates required to documentation
Test required for validating controls in place
Examine - Policy updates may be required based on interviews/walkthroughs. 
Interview  Controls are currently being implemented. - 
Test - Review testing measures in place. </t>
        </is>
      </c>
      <c r="M230" s="99" t="inlineStr">
        <is>
          <t>Implementation Begun</t>
        </is>
      </c>
      <c r="N230" s="100" t="n"/>
      <c r="O230" s="101">
        <f t="array" ref="O230">IF(AND(M231="Fully Implemented",M232="Fully Implemented"),0,-1*H230)</f>
        <v/>
      </c>
      <c r="P230" s="619" t="n"/>
      <c r="T230" s="102">
        <f t="array" ref="T230">IF(O230=0,H230,0)</f>
        <v/>
      </c>
    </row>
    <row r="231" ht="45" customFormat="1" customHeight="1" s="81">
      <c r="A231" s="166" t="inlineStr">
        <is>
          <t>3</t>
        </is>
      </c>
      <c r="B231" s="167" t="inlineStr">
        <is>
          <t>3.18.a</t>
        </is>
      </c>
      <c r="C231" s="105" t="inlineStr">
        <is>
          <t>Outsource</t>
        </is>
      </c>
      <c r="D231" s="106" t="inlineStr">
        <is>
          <t>Audit and Accountability</t>
        </is>
      </c>
      <c r="E231" s="107" t="inlineStr">
        <is>
          <t>3.3.2[a]</t>
        </is>
      </c>
      <c r="F231" s="107" t="inlineStr">
        <is>
          <t>03.03.02.a</t>
        </is>
      </c>
      <c r="G231" s="108" t="inlineStr">
        <is>
          <t>AU.L2-3.3.2</t>
        </is>
      </c>
      <c r="H231" s="168" t="n"/>
      <c r="I231" s="169" t="n"/>
      <c r="J231" s="108" t="inlineStr">
        <is>
          <t>the content of the audit records needed to support the ability to uniquely trace users to their actions is defined.</t>
        </is>
      </c>
      <c r="K231" s="170" t="n"/>
      <c r="M231" s="112" t="inlineStr">
        <is>
          <t>Implementation Begun</t>
        </is>
      </c>
      <c r="O231" s="179" t="n"/>
      <c r="P231" s="622" t="n"/>
    </row>
    <row r="232" ht="30.75" customFormat="1" customHeight="1" s="81">
      <c r="A232" s="172" t="inlineStr">
        <is>
          <t>3</t>
        </is>
      </c>
      <c r="B232" s="173" t="inlineStr">
        <is>
          <t>3.18.b</t>
        </is>
      </c>
      <c r="C232" s="116" t="inlineStr">
        <is>
          <t>Outsource</t>
        </is>
      </c>
      <c r="D232" s="117" t="inlineStr">
        <is>
          <t>Audit and Accountability</t>
        </is>
      </c>
      <c r="E232" s="118" t="inlineStr">
        <is>
          <t>3.3.2[b]</t>
        </is>
      </c>
      <c r="F232" s="118" t="inlineStr">
        <is>
          <t>03.03.02.b</t>
        </is>
      </c>
      <c r="G232" s="119" t="inlineStr">
        <is>
          <t>AU.L2-3.3.2</t>
        </is>
      </c>
      <c r="H232" s="174" t="n"/>
      <c r="I232" s="175" t="n"/>
      <c r="J232" s="119" t="inlineStr">
        <is>
          <t>audit records, once created, contain the defined content.</t>
        </is>
      </c>
      <c r="K232" s="176" t="n"/>
      <c r="M232" s="112" t="inlineStr">
        <is>
          <t>Implementation Begun</t>
        </is>
      </c>
      <c r="N232" s="124" t="n"/>
      <c r="O232" s="180" t="n"/>
      <c r="P232" s="622" t="n"/>
    </row>
    <row r="233" ht="60" customFormat="1" customHeight="1" s="81">
      <c r="A233" s="184" t="inlineStr">
        <is>
          <t>4</t>
        </is>
      </c>
      <c r="B233" s="185" t="inlineStr">
        <is>
          <t>4.01.0</t>
        </is>
      </c>
      <c r="C233" s="93" t="inlineStr">
        <is>
          <t>Outsource</t>
        </is>
      </c>
      <c r="D233" s="94" t="inlineStr">
        <is>
          <t>Audit and Accountability</t>
        </is>
      </c>
      <c r="E233" s="95" t="inlineStr">
        <is>
          <t>3.3.1</t>
        </is>
      </c>
      <c r="F233" s="95" t="inlineStr">
        <is>
          <t>03.03.01.0</t>
        </is>
      </c>
      <c r="G233" s="96" t="inlineStr">
        <is>
          <t>AU.L2-3.3.1</t>
        </is>
      </c>
      <c r="H233" s="97" t="n">
        <v>5</v>
      </c>
      <c r="I233" s="94" t="inlineStr">
        <is>
          <t xml:space="preserve">Create and retain system audit logs and records to the extent needed to enable the monitoring, analysis, investigation, and reporting of unlawful or unauthorized system activity. </t>
        </is>
      </c>
      <c r="J233" s="96" t="inlineStr">
        <is>
          <t>Determine if:</t>
        </is>
      </c>
      <c r="K233" s="98" t="inlineStr">
        <is>
          <t>[No Comment Provided]</t>
        </is>
      </c>
      <c r="L233" s="565" t="inlineStr">
        <is>
          <t xml:space="preserve">Overall Status - Pending policy/procedure review meeting and observation of controls in place. 
Updates required to documentation
Test required for validating controls in place
Examine - Policy updates may be required based on interviews/walkthroughs. 
Interview  Controls are currently being implemented. - 
Test - Review testing measures in place. </t>
        </is>
      </c>
      <c r="M233" s="99" t="inlineStr">
        <is>
          <t>Implementation Begun</t>
        </is>
      </c>
      <c r="N233" s="100" t="n"/>
      <c r="O233" s="101">
        <f t="array" ref="O233">IF(AND(M234="Fully Implemented",M235="Fully Implemented",M236="Fully Implemented",M237="Fully Implemented",M238="Fully Implemented",M239="Fully Implemented"),0,-1*H233)</f>
        <v/>
      </c>
      <c r="P233" s="619" t="n"/>
      <c r="T233" s="102">
        <f t="array" ref="T233">IF(O233=0,H233,0)</f>
        <v/>
      </c>
      <c r="U233" s="102">
        <f t="array" ref="U233">SUM(T233:T322)</f>
        <v/>
      </c>
      <c r="V233" s="102">
        <f t="array" ref="V233">IF(V164&lt;&gt;100,0,IF(U233=SUM(H233:H322),100,U233))</f>
        <v/>
      </c>
    </row>
    <row r="234" ht="60" customFormat="1" customHeight="1" s="81">
      <c r="A234" s="187" t="inlineStr">
        <is>
          <t>4</t>
        </is>
      </c>
      <c r="B234" s="188" t="inlineStr">
        <is>
          <t>4.01.a</t>
        </is>
      </c>
      <c r="C234" s="105" t="inlineStr">
        <is>
          <t>Outsource</t>
        </is>
      </c>
      <c r="D234" s="106" t="inlineStr">
        <is>
          <t>Audit and Accountability</t>
        </is>
      </c>
      <c r="E234" s="107" t="inlineStr">
        <is>
          <t>3.3.1[a]</t>
        </is>
      </c>
      <c r="F234" s="107" t="inlineStr">
        <is>
          <t>03.03.01.a</t>
        </is>
      </c>
      <c r="G234" s="108" t="inlineStr">
        <is>
          <t>AU.L2-3.3.1</t>
        </is>
      </c>
      <c r="H234" s="189" t="n"/>
      <c r="I234" s="190" t="n"/>
      <c r="J234" s="108" t="inlineStr">
        <is>
          <t xml:space="preserve">audit logs needed (i.e., event types to be logged) to enable the monitoring, analysis, investigation, and reporting of unlawful or unauthorized system activity are specified. </t>
        </is>
      </c>
      <c r="K234" s="191" t="n"/>
      <c r="M234" s="112" t="inlineStr">
        <is>
          <t>Implementation Begun</t>
        </is>
      </c>
      <c r="O234" s="192" t="n"/>
      <c r="P234" s="625" t="n"/>
    </row>
    <row r="235" ht="45" customFormat="1" customHeight="1" s="81">
      <c r="A235" s="187" t="inlineStr">
        <is>
          <t>4</t>
        </is>
      </c>
      <c r="B235" s="188" t="inlineStr">
        <is>
          <t>4.01.b</t>
        </is>
      </c>
      <c r="C235" s="105" t="inlineStr">
        <is>
          <t>Outsource</t>
        </is>
      </c>
      <c r="D235" s="106" t="inlineStr">
        <is>
          <t>Audit and Accountability</t>
        </is>
      </c>
      <c r="E235" s="107" t="inlineStr">
        <is>
          <t>3.3.1[b]</t>
        </is>
      </c>
      <c r="F235" s="107" t="inlineStr">
        <is>
          <t>03.03.01.b</t>
        </is>
      </c>
      <c r="G235" s="108" t="inlineStr">
        <is>
          <t>AU.L2-3.3.1</t>
        </is>
      </c>
      <c r="H235" s="189" t="n"/>
      <c r="I235" s="190" t="n"/>
      <c r="J235" s="108" t="inlineStr">
        <is>
          <t xml:space="preserve">the content of audit records needed to support monitoring, analysis, investigation, and reporting of unlawful or unauthorized system activity is defined. </t>
        </is>
      </c>
      <c r="K235" s="191" t="n"/>
      <c r="M235" s="112" t="inlineStr">
        <is>
          <t>Implementation Begun</t>
        </is>
      </c>
      <c r="O235" s="192" t="n"/>
      <c r="P235" s="625" t="n"/>
    </row>
    <row r="236" ht="13.5" customFormat="1" customHeight="1" s="81">
      <c r="A236" s="187" t="inlineStr">
        <is>
          <t>4</t>
        </is>
      </c>
      <c r="B236" s="188" t="inlineStr">
        <is>
          <t>4.01.c</t>
        </is>
      </c>
      <c r="C236" s="105" t="inlineStr">
        <is>
          <t>Outsource</t>
        </is>
      </c>
      <c r="D236" s="106" t="inlineStr">
        <is>
          <t>Audit and Accountability</t>
        </is>
      </c>
      <c r="E236" s="107" t="inlineStr">
        <is>
          <t>3.3.1[c]</t>
        </is>
      </c>
      <c r="F236" s="107" t="inlineStr">
        <is>
          <t>03.03.01.c</t>
        </is>
      </c>
      <c r="G236" s="108" t="inlineStr">
        <is>
          <t>AU.L2-3.3.1</t>
        </is>
      </c>
      <c r="H236" s="189" t="n"/>
      <c r="I236" s="190" t="n"/>
      <c r="J236" s="108" t="inlineStr">
        <is>
          <t>audit records are created (generated).</t>
        </is>
      </c>
      <c r="K236" s="191" t="n"/>
      <c r="M236" s="112" t="inlineStr">
        <is>
          <t>Implementation Begun</t>
        </is>
      </c>
      <c r="O236" s="192" t="n"/>
      <c r="P236" s="625" t="n"/>
    </row>
    <row r="237" ht="30" customFormat="1" customHeight="1" s="81">
      <c r="A237" s="187" t="inlineStr">
        <is>
          <t>4</t>
        </is>
      </c>
      <c r="B237" s="188" t="inlineStr">
        <is>
          <t>4.01.d</t>
        </is>
      </c>
      <c r="C237" s="105" t="inlineStr">
        <is>
          <t>Outsource</t>
        </is>
      </c>
      <c r="D237" s="106" t="inlineStr">
        <is>
          <t>Audit and Accountability</t>
        </is>
      </c>
      <c r="E237" s="107" t="inlineStr">
        <is>
          <t>3.3.1[d]</t>
        </is>
      </c>
      <c r="F237" s="107" t="inlineStr">
        <is>
          <t>03.03.01.d</t>
        </is>
      </c>
      <c r="G237" s="108" t="inlineStr">
        <is>
          <t>AU.L2-3.3.1</t>
        </is>
      </c>
      <c r="H237" s="189" t="n"/>
      <c r="I237" s="190" t="n"/>
      <c r="J237" s="108" t="inlineStr">
        <is>
          <t>audit records, once created, contain the defined content.</t>
        </is>
      </c>
      <c r="K237" s="191" t="n"/>
      <c r="M237" s="112" t="inlineStr">
        <is>
          <t>Implementation Begun</t>
        </is>
      </c>
      <c r="O237" s="192" t="n"/>
      <c r="P237" s="625" t="n"/>
    </row>
    <row r="238" ht="13.5" customFormat="1" customHeight="1" s="81">
      <c r="A238" s="187" t="inlineStr">
        <is>
          <t>4</t>
        </is>
      </c>
      <c r="B238" s="188" t="inlineStr">
        <is>
          <t>4.01.e</t>
        </is>
      </c>
      <c r="C238" s="105" t="inlineStr">
        <is>
          <t>Outsource</t>
        </is>
      </c>
      <c r="D238" s="106" t="inlineStr">
        <is>
          <t>Audit and Accountability</t>
        </is>
      </c>
      <c r="E238" s="107" t="inlineStr">
        <is>
          <t>3.3.1[e]</t>
        </is>
      </c>
      <c r="F238" s="107" t="inlineStr">
        <is>
          <t>03.03.01.e</t>
        </is>
      </c>
      <c r="G238" s="108" t="inlineStr">
        <is>
          <t>AU.L2-3.3.1</t>
        </is>
      </c>
      <c r="H238" s="189" t="n"/>
      <c r="I238" s="190" t="n"/>
      <c r="J238" s="108" t="inlineStr">
        <is>
          <t>retention requirements for audit records are defined.</t>
        </is>
      </c>
      <c r="K238" s="191" t="n"/>
      <c r="M238" s="112" t="inlineStr">
        <is>
          <t>Implementation Begun</t>
        </is>
      </c>
      <c r="O238" s="192" t="n"/>
      <c r="P238" s="625" t="n"/>
    </row>
    <row r="239" ht="15.75" customFormat="1" customHeight="1" s="81">
      <c r="A239" s="193" t="inlineStr">
        <is>
          <t>4</t>
        </is>
      </c>
      <c r="B239" s="194" t="inlineStr">
        <is>
          <t>4.01.f</t>
        </is>
      </c>
      <c r="C239" s="116" t="inlineStr">
        <is>
          <t>Outsource</t>
        </is>
      </c>
      <c r="D239" s="117" t="inlineStr">
        <is>
          <t>Audit and Accountability</t>
        </is>
      </c>
      <c r="E239" s="118" t="inlineStr">
        <is>
          <t>3.3.1[f]</t>
        </is>
      </c>
      <c r="F239" s="118" t="inlineStr">
        <is>
          <t>03.03.01.f</t>
        </is>
      </c>
      <c r="G239" s="119" t="inlineStr">
        <is>
          <t>AU.L2-3.3.1</t>
        </is>
      </c>
      <c r="H239" s="195" t="n"/>
      <c r="I239" s="196" t="n"/>
      <c r="J239" s="119" t="inlineStr">
        <is>
          <t>audit records are retained as defined.</t>
        </is>
      </c>
      <c r="K239" s="197" t="n"/>
      <c r="M239" s="112" t="inlineStr">
        <is>
          <t>Implementation Begun</t>
        </is>
      </c>
      <c r="N239" s="124" t="n"/>
      <c r="O239" s="198" t="n"/>
      <c r="P239" s="625" t="n"/>
    </row>
    <row r="240" ht="14.1" customFormat="1" customHeight="1" s="81">
      <c r="A240" s="184" t="inlineStr">
        <is>
          <t>4</t>
        </is>
      </c>
      <c r="B240" s="185" t="inlineStr">
        <is>
          <t>4.02.0</t>
        </is>
      </c>
      <c r="C240" s="93" t="inlineStr">
        <is>
          <t>Hybrid</t>
        </is>
      </c>
      <c r="D240" s="94" t="inlineStr">
        <is>
          <t>Audit and Accountability</t>
        </is>
      </c>
      <c r="E240" s="95" t="inlineStr">
        <is>
          <t>3.3.3</t>
        </is>
      </c>
      <c r="F240" s="95" t="inlineStr">
        <is>
          <t>03.03.03.0</t>
        </is>
      </c>
      <c r="G240" s="96" t="inlineStr">
        <is>
          <t>AU.L2-3.3.3</t>
        </is>
      </c>
      <c r="H240" s="97" t="n">
        <v>1</v>
      </c>
      <c r="I240" s="94" t="inlineStr">
        <is>
          <t>Review and update logged events.</t>
        </is>
      </c>
      <c r="J240" s="96" t="inlineStr">
        <is>
          <t>Determine if:</t>
        </is>
      </c>
      <c r="K240" s="98" t="inlineStr">
        <is>
          <t>[No Comment Provided]</t>
        </is>
      </c>
      <c r="L240" s="565" t="inlineStr">
        <is>
          <t xml:space="preserve">Overall Status - Pending policy/procedure review meeting and observation of controls in place. 
Updates required to documentation
Test required for validating controls in place
Examine - Policy updates may be required based on interviews/walkthroughs. 
Interview  Controls are currently being implemented. - 
Test - Review testing measures in place. </t>
        </is>
      </c>
      <c r="M240" s="99" t="inlineStr">
        <is>
          <t>Implementation Begun</t>
        </is>
      </c>
      <c r="N240" s="100" t="n"/>
      <c r="O240" s="101">
        <f t="array" ref="O240">IF(AND(OR(M241="Fully Implemented",M241="Not Permitted"),OR(M242="Fully Implemented",M242="Not Permitted"),OR(M243="Fully Implemented",M243="Not Permitted")),0,-1*H240)</f>
        <v/>
      </c>
      <c r="P240" s="619" t="n"/>
      <c r="T240" s="102">
        <f t="array" ref="T240">IF(O240=0,H240,0)</f>
        <v/>
      </c>
    </row>
    <row r="241" ht="30" customFormat="1" customHeight="1" s="81">
      <c r="A241" s="187" t="inlineStr">
        <is>
          <t>4</t>
        </is>
      </c>
      <c r="B241" s="188" t="inlineStr">
        <is>
          <t>4.02.a</t>
        </is>
      </c>
      <c r="C241" s="105" t="inlineStr">
        <is>
          <t>DIY</t>
        </is>
      </c>
      <c r="D241" s="106" t="inlineStr">
        <is>
          <t>Audit and Accountability</t>
        </is>
      </c>
      <c r="E241" s="107" t="inlineStr">
        <is>
          <t>3.3.3[a]</t>
        </is>
      </c>
      <c r="F241" s="107" t="inlineStr">
        <is>
          <t>03.03.03.a</t>
        </is>
      </c>
      <c r="G241" s="108" t="inlineStr">
        <is>
          <t>AU.L2-3.3.3</t>
        </is>
      </c>
      <c r="H241" s="189" t="n"/>
      <c r="I241" s="190" t="n"/>
      <c r="J241" s="108" t="inlineStr">
        <is>
          <t xml:space="preserve">a process for determining when to review logged events is defined. </t>
        </is>
      </c>
      <c r="K241" s="191" t="n"/>
      <c r="M241" s="112" t="inlineStr">
        <is>
          <t>Implementation Begun</t>
        </is>
      </c>
      <c r="O241" s="192" t="n"/>
      <c r="P241" s="625" t="n"/>
    </row>
    <row r="242" ht="30" customFormat="1" customHeight="1" s="81">
      <c r="A242" s="187" t="inlineStr">
        <is>
          <t>4</t>
        </is>
      </c>
      <c r="B242" s="188" t="inlineStr">
        <is>
          <t>4.02.b</t>
        </is>
      </c>
      <c r="C242" s="105" t="inlineStr">
        <is>
          <t>Outsource</t>
        </is>
      </c>
      <c r="D242" s="106" t="inlineStr">
        <is>
          <t>Audit and Accountability</t>
        </is>
      </c>
      <c r="E242" s="107" t="inlineStr">
        <is>
          <t>3.3.3[b]</t>
        </is>
      </c>
      <c r="F242" s="107" t="inlineStr">
        <is>
          <t>03.03.03.b</t>
        </is>
      </c>
      <c r="G242" s="108" t="inlineStr">
        <is>
          <t>AU.L2-3.3.3</t>
        </is>
      </c>
      <c r="H242" s="189" t="n"/>
      <c r="I242" s="190" t="n"/>
      <c r="J242" s="108" t="inlineStr">
        <is>
          <t>event types being logged are reviewed in accordance with the defined review process.</t>
        </is>
      </c>
      <c r="K242" s="191" t="n"/>
      <c r="M242" s="112" t="inlineStr">
        <is>
          <t>Implementation Begun</t>
        </is>
      </c>
      <c r="O242" s="192" t="n"/>
      <c r="P242" s="625" t="n"/>
    </row>
    <row r="243" ht="30.75" customFormat="1" customHeight="1" s="81">
      <c r="A243" s="193" t="inlineStr">
        <is>
          <t>4</t>
        </is>
      </c>
      <c r="B243" s="194" t="inlineStr">
        <is>
          <t>4.02.c</t>
        </is>
      </c>
      <c r="C243" s="116" t="inlineStr">
        <is>
          <t>DIY</t>
        </is>
      </c>
      <c r="D243" s="117" t="inlineStr">
        <is>
          <t>Audit and Accountability</t>
        </is>
      </c>
      <c r="E243" s="118" t="inlineStr">
        <is>
          <t>3.3.3[c]</t>
        </is>
      </c>
      <c r="F243" s="118" t="inlineStr">
        <is>
          <t>03.03.03.c</t>
        </is>
      </c>
      <c r="G243" s="119" t="inlineStr">
        <is>
          <t>AU.L2-3.3.3</t>
        </is>
      </c>
      <c r="H243" s="195" t="n"/>
      <c r="I243" s="196" t="n"/>
      <c r="J243" s="119" t="inlineStr">
        <is>
          <t>event types being logged are updated based on the review.</t>
        </is>
      </c>
      <c r="K243" s="197" t="n"/>
      <c r="M243" s="112" t="inlineStr">
        <is>
          <t>Implementation Begun</t>
        </is>
      </c>
      <c r="N243" s="124" t="n"/>
      <c r="O243" s="198" t="n"/>
      <c r="P243" s="625" t="n"/>
    </row>
    <row r="244" ht="30" customFormat="1" customHeight="1" s="81">
      <c r="A244" s="184" t="inlineStr">
        <is>
          <t>4</t>
        </is>
      </c>
      <c r="B244" s="185" t="inlineStr">
        <is>
          <t>4.03.0</t>
        </is>
      </c>
      <c r="C244" s="93" t="inlineStr">
        <is>
          <t>DIY</t>
        </is>
      </c>
      <c r="D244" s="94" t="inlineStr">
        <is>
          <t>Audit and Accountability</t>
        </is>
      </c>
      <c r="E244" s="95" t="inlineStr">
        <is>
          <t>3.3.4</t>
        </is>
      </c>
      <c r="F244" s="95" t="inlineStr">
        <is>
          <t>03.03.04.0</t>
        </is>
      </c>
      <c r="G244" s="96" t="inlineStr">
        <is>
          <t>AU.L2-3.3.4</t>
        </is>
      </c>
      <c r="H244" s="97" t="n">
        <v>1</v>
      </c>
      <c r="I244" s="94" t="inlineStr">
        <is>
          <t>Alert in the event of an audit logging process failure.</t>
        </is>
      </c>
      <c r="J244" s="96" t="inlineStr">
        <is>
          <t>Determine if:</t>
        </is>
      </c>
      <c r="K244" s="98" t="inlineStr">
        <is>
          <t>[No Comment Provided]</t>
        </is>
      </c>
      <c r="L244" s="565" t="inlineStr">
        <is>
          <t xml:space="preserve">Overall Status - Pending policy/procedure review meeting and observation of controls in place. 
Updates required to documentation
Test required for validating controls in place
Examine - Policy updates may be required based on interviews/walkthroughs. 
Interview  Controls are currently being implemented. - 
Test - Review testing measures in place. </t>
        </is>
      </c>
      <c r="M244" s="99" t="inlineStr">
        <is>
          <t>Implementation Begun</t>
        </is>
      </c>
      <c r="N244" s="100" t="n"/>
      <c r="O244" s="101">
        <f t="array" ref="O244">IF(AND(OR(M245="Fully Implemented",M245="Not Permitted"),OR(M246="Fully Implemented",M246="Not Permitted"),OR(M247="Fully Implemented",M247="Not Permitted")),0,-1*H244)</f>
        <v/>
      </c>
      <c r="P244" s="619" t="n"/>
      <c r="T244" s="102">
        <f t="array" ref="T244">IF(O244=0,H244,0)</f>
        <v/>
      </c>
    </row>
    <row r="245" ht="30" customFormat="1" customHeight="1" s="81">
      <c r="A245" s="187" t="inlineStr">
        <is>
          <t>4</t>
        </is>
      </c>
      <c r="B245" s="188" t="inlineStr">
        <is>
          <t>4.03.a</t>
        </is>
      </c>
      <c r="C245" s="105" t="inlineStr">
        <is>
          <t>DIY</t>
        </is>
      </c>
      <c r="D245" s="106" t="inlineStr">
        <is>
          <t>Audit and Accountability</t>
        </is>
      </c>
      <c r="E245" s="107" t="inlineStr">
        <is>
          <t>3.3.4[a]</t>
        </is>
      </c>
      <c r="F245" s="107" t="inlineStr">
        <is>
          <t>03.03.04.a</t>
        </is>
      </c>
      <c r="G245" s="108" t="inlineStr">
        <is>
          <t>AU.L2-3.3.4</t>
        </is>
      </c>
      <c r="H245" s="189" t="n"/>
      <c r="I245" s="190" t="n"/>
      <c r="J245" s="108" t="inlineStr">
        <is>
          <t xml:space="preserve">personnel or roles to be alerted in the event of an audit logging process failure are identified. </t>
        </is>
      </c>
      <c r="K245" s="191" t="n"/>
      <c r="M245" s="112" t="inlineStr">
        <is>
          <t>Implementation Begun</t>
        </is>
      </c>
      <c r="O245" s="192" t="n"/>
      <c r="P245" s="625" t="n"/>
    </row>
    <row r="246" ht="30" customFormat="1" customHeight="1" s="81">
      <c r="A246" s="187" t="inlineStr">
        <is>
          <t>4</t>
        </is>
      </c>
      <c r="B246" s="188" t="inlineStr">
        <is>
          <t>4.03.b</t>
        </is>
      </c>
      <c r="C246" s="105" t="inlineStr">
        <is>
          <t>DIY</t>
        </is>
      </c>
      <c r="D246" s="106" t="inlineStr">
        <is>
          <t>Audit and Accountability</t>
        </is>
      </c>
      <c r="E246" s="107" t="inlineStr">
        <is>
          <t>3.3.4[b]</t>
        </is>
      </c>
      <c r="F246" s="107" t="inlineStr">
        <is>
          <t>03.03.04.b</t>
        </is>
      </c>
      <c r="G246" s="108" t="inlineStr">
        <is>
          <t>AU.L2-3.3.4</t>
        </is>
      </c>
      <c r="H246" s="189" t="n"/>
      <c r="I246" s="190" t="n"/>
      <c r="J246" s="108" t="inlineStr">
        <is>
          <t>types of audit logging process failures for which alert will be generated are defined.</t>
        </is>
      </c>
      <c r="K246" s="191" t="n"/>
      <c r="M246" s="112" t="inlineStr">
        <is>
          <t>Implementation Begun</t>
        </is>
      </c>
      <c r="O246" s="192" t="n"/>
      <c r="P246" s="625" t="n"/>
    </row>
    <row r="247" ht="30.75" customFormat="1" customHeight="1" s="81">
      <c r="A247" s="193" t="inlineStr">
        <is>
          <t>4</t>
        </is>
      </c>
      <c r="B247" s="194" t="inlineStr">
        <is>
          <t>4.03.c</t>
        </is>
      </c>
      <c r="C247" s="116" t="inlineStr">
        <is>
          <t>DIY</t>
        </is>
      </c>
      <c r="D247" s="117" t="inlineStr">
        <is>
          <t>Audit and Accountability</t>
        </is>
      </c>
      <c r="E247" s="118" t="inlineStr">
        <is>
          <t>3.3.4[c]</t>
        </is>
      </c>
      <c r="F247" s="118" t="inlineStr">
        <is>
          <t>03.03.04.c</t>
        </is>
      </c>
      <c r="G247" s="119" t="inlineStr">
        <is>
          <t>AU.L2-3.3.4</t>
        </is>
      </c>
      <c r="H247" s="195" t="n"/>
      <c r="I247" s="196" t="n"/>
      <c r="J247" s="119" t="inlineStr">
        <is>
          <t>identified personnel or roles are alerted in the event of an audit logging process failure.</t>
        </is>
      </c>
      <c r="K247" s="197" t="n"/>
      <c r="M247" s="112" t="inlineStr">
        <is>
          <t>Implementation Begun</t>
        </is>
      </c>
      <c r="N247" s="124" t="n"/>
      <c r="O247" s="198" t="n"/>
      <c r="P247" s="625" t="n"/>
    </row>
    <row r="248" ht="60" customFormat="1" customHeight="1" s="81">
      <c r="A248" s="184" t="inlineStr">
        <is>
          <t>4</t>
        </is>
      </c>
      <c r="B248" s="185" t="inlineStr">
        <is>
          <t>4.04.0</t>
        </is>
      </c>
      <c r="C248" s="93" t="inlineStr">
        <is>
          <t>Outsource</t>
        </is>
      </c>
      <c r="D248" s="94" t="inlineStr">
        <is>
          <t>Audit and Accountability</t>
        </is>
      </c>
      <c r="E248" s="95" t="inlineStr">
        <is>
          <t>3.3.5</t>
        </is>
      </c>
      <c r="F248" s="95" t="inlineStr">
        <is>
          <t>03.03.05.0</t>
        </is>
      </c>
      <c r="G248" s="96" t="inlineStr">
        <is>
          <t>AU.L2-3.3.5</t>
        </is>
      </c>
      <c r="H248" s="97" t="n">
        <v>5</v>
      </c>
      <c r="I248" s="94" t="inlineStr">
        <is>
          <t>Correlate audit record review, analysis, and reporting processes for investigation and response to indications of unlawful, unauthorized, suspicious, or unusual activity.</t>
        </is>
      </c>
      <c r="J248" s="96" t="inlineStr">
        <is>
          <t>Determine if:</t>
        </is>
      </c>
      <c r="K248" s="98" t="inlineStr">
        <is>
          <t>[No Comment Provided]</t>
        </is>
      </c>
      <c r="L248" s="565" t="inlineStr">
        <is>
          <t xml:space="preserve">Overall Status - Pending policy/procedure review meeting and observation of controls in place. 
Updates required to documentation
Test required for validating controls in place
Examine - Policy updates may be required based on interviews/walkthroughs. 
Interview  Controls are currently being implemented. - 
Test - Review testing measures in place. </t>
        </is>
      </c>
      <c r="M248" s="99" t="inlineStr">
        <is>
          <t>Implementation Begun</t>
        </is>
      </c>
      <c r="N248" s="100" t="n"/>
      <c r="O248" s="101">
        <f t="array" ref="O248">IF(AND(M249="Fully Implemented",M250="Fully Implemented"),0,-1*H248)</f>
        <v/>
      </c>
      <c r="P248" s="619" t="n"/>
      <c r="T248" s="102">
        <f t="array" ref="T248">IF(O248=0,H248,0)</f>
        <v/>
      </c>
    </row>
    <row r="249" ht="60" customFormat="1" customHeight="1" s="81">
      <c r="A249" s="187" t="inlineStr">
        <is>
          <t>4</t>
        </is>
      </c>
      <c r="B249" s="188" t="inlineStr">
        <is>
          <t>4.04.a</t>
        </is>
      </c>
      <c r="C249" s="105" t="inlineStr">
        <is>
          <t>Outsource</t>
        </is>
      </c>
      <c r="D249" s="106" t="inlineStr">
        <is>
          <t>Audit and Accountability</t>
        </is>
      </c>
      <c r="E249" s="107" t="inlineStr">
        <is>
          <t>3.3.5[a]</t>
        </is>
      </c>
      <c r="F249" s="107" t="inlineStr">
        <is>
          <t>03.03.05.a</t>
        </is>
      </c>
      <c r="G249" s="108" t="inlineStr">
        <is>
          <t>AU.L2-3.3.5</t>
        </is>
      </c>
      <c r="H249" s="189" t="n"/>
      <c r="I249" s="190" t="n"/>
      <c r="J249" s="108" t="inlineStr">
        <is>
          <t>audit record review, analysis, and reporting processes for investigation and response to indications of unlawful, unauthorized, suspicious, or unusual activity are defined.</t>
        </is>
      </c>
      <c r="K249" s="191" t="n"/>
      <c r="M249" s="112" t="inlineStr">
        <is>
          <t>Implementation Begun</t>
        </is>
      </c>
      <c r="O249" s="192" t="n"/>
      <c r="P249" s="625" t="n"/>
    </row>
    <row r="250" ht="30.75" customFormat="1" customHeight="1" s="81">
      <c r="A250" s="193" t="inlineStr">
        <is>
          <t>4</t>
        </is>
      </c>
      <c r="B250" s="194" t="inlineStr">
        <is>
          <t>4.04.b</t>
        </is>
      </c>
      <c r="C250" s="116" t="inlineStr">
        <is>
          <t>Outsource</t>
        </is>
      </c>
      <c r="D250" s="117" t="inlineStr">
        <is>
          <t>Audit and Accountability</t>
        </is>
      </c>
      <c r="E250" s="118" t="inlineStr">
        <is>
          <t>3.3.5[b]</t>
        </is>
      </c>
      <c r="F250" s="118" t="inlineStr">
        <is>
          <t>03.03.05.b</t>
        </is>
      </c>
      <c r="G250" s="119" t="inlineStr">
        <is>
          <t>AU.L2-3.3.5</t>
        </is>
      </c>
      <c r="H250" s="195" t="n"/>
      <c r="I250" s="196" t="n"/>
      <c r="J250" s="119" t="inlineStr">
        <is>
          <t>defined audit record review, analysis, and reporting processes are correlated.</t>
        </is>
      </c>
      <c r="K250" s="197" t="n"/>
      <c r="M250" s="112" t="inlineStr">
        <is>
          <t>Implementation Begun</t>
        </is>
      </c>
      <c r="N250" s="124" t="n"/>
      <c r="O250" s="198" t="n"/>
      <c r="P250" s="625" t="n"/>
    </row>
    <row r="251" ht="30" customFormat="1" customHeight="1" s="81">
      <c r="A251" s="184" t="inlineStr">
        <is>
          <t>4</t>
        </is>
      </c>
      <c r="B251" s="185" t="inlineStr">
        <is>
          <t>4.05.0</t>
        </is>
      </c>
      <c r="C251" s="93" t="inlineStr">
        <is>
          <t>Outsource</t>
        </is>
      </c>
      <c r="D251" s="94" t="inlineStr">
        <is>
          <t>System and Information Integrity</t>
        </is>
      </c>
      <c r="E251" s="95" t="inlineStr">
        <is>
          <t>3.14.7</t>
        </is>
      </c>
      <c r="F251" s="95" t="inlineStr">
        <is>
          <t>03.14.07.0</t>
        </is>
      </c>
      <c r="G251" s="96" t="inlineStr">
        <is>
          <t>SI.L2-3.14.7</t>
        </is>
      </c>
      <c r="H251" s="97" t="n">
        <v>3</v>
      </c>
      <c r="I251" s="94" t="inlineStr">
        <is>
          <t xml:space="preserve">Identify unauthorized use of organizational systems. </t>
        </is>
      </c>
      <c r="J251" s="96" t="inlineStr">
        <is>
          <t>Determine if:</t>
        </is>
      </c>
      <c r="K251" s="98" t="inlineStr">
        <is>
          <t>[No Comment Provided]</t>
        </is>
      </c>
      <c r="L251" s="565" t="inlineStr">
        <is>
          <t xml:space="preserve">Overall Status - Pending policy/procedure review meeting and observation of controls in place. 
Updates required to documentation
Test required for validating controls in place
Examine - Policy updates may be required based on interviews/walkthroughs. 
Interview  Controls are currently being implemented. - 
Test - Review testing measures in place. </t>
        </is>
      </c>
      <c r="M251" s="99" t="inlineStr">
        <is>
          <t>Implementation Begun</t>
        </is>
      </c>
      <c r="N251" s="183" t="n"/>
      <c r="O251" s="101">
        <f t="array" ref="O251">IF(AND(M252="Fully Implemented",M253="Fully Implemented"),0,-1*H251)</f>
        <v/>
      </c>
      <c r="P251" s="619" t="n"/>
      <c r="T251" s="102">
        <f t="array" ref="T251">IF(O251=0,H251,0)</f>
        <v/>
      </c>
    </row>
    <row r="252" ht="30" customFormat="1" customHeight="1" s="81">
      <c r="A252" s="187" t="inlineStr">
        <is>
          <t>4</t>
        </is>
      </c>
      <c r="B252" s="188" t="inlineStr">
        <is>
          <t>4.05.a</t>
        </is>
      </c>
      <c r="C252" s="105" t="inlineStr">
        <is>
          <t>Outsource</t>
        </is>
      </c>
      <c r="D252" s="106" t="inlineStr">
        <is>
          <t>System and Information Integrity</t>
        </is>
      </c>
      <c r="E252" s="107" t="inlineStr">
        <is>
          <t>3.14.7[a]</t>
        </is>
      </c>
      <c r="F252" s="107" t="inlineStr">
        <is>
          <t>03.14.07.a</t>
        </is>
      </c>
      <c r="G252" s="108" t="inlineStr">
        <is>
          <t>SI.L2-3.14.7</t>
        </is>
      </c>
      <c r="H252" s="189" t="n"/>
      <c r="I252" s="190" t="n"/>
      <c r="J252" s="108" t="inlineStr">
        <is>
          <t>authorized use of the system is defined.</t>
        </is>
      </c>
      <c r="K252" s="191" t="n"/>
      <c r="M252" s="112" t="inlineStr">
        <is>
          <t>Implementation Begun</t>
        </is>
      </c>
      <c r="O252" s="192" t="n"/>
      <c r="P252" s="625" t="n"/>
    </row>
    <row r="253" ht="30.75" customFormat="1" customHeight="1" s="81">
      <c r="A253" s="193" t="inlineStr">
        <is>
          <t>4</t>
        </is>
      </c>
      <c r="B253" s="194" t="inlineStr">
        <is>
          <t>4.05.b</t>
        </is>
      </c>
      <c r="C253" s="116" t="inlineStr">
        <is>
          <t>Outsource</t>
        </is>
      </c>
      <c r="D253" s="117" t="inlineStr">
        <is>
          <t>System and Information Integrity</t>
        </is>
      </c>
      <c r="E253" s="118" t="inlineStr">
        <is>
          <t>3.14.7[b]</t>
        </is>
      </c>
      <c r="F253" s="118" t="inlineStr">
        <is>
          <t>03.14.07.b</t>
        </is>
      </c>
      <c r="G253" s="119" t="inlineStr">
        <is>
          <t>SI.L2-3.14.7</t>
        </is>
      </c>
      <c r="H253" s="195" t="n"/>
      <c r="I253" s="196" t="n"/>
      <c r="J253" s="119" t="inlineStr">
        <is>
          <t>unauthorized use of the system is identified.</t>
        </is>
      </c>
      <c r="K253" s="197" t="n"/>
      <c r="M253" s="112" t="inlineStr">
        <is>
          <t>Implementation Begun</t>
        </is>
      </c>
      <c r="N253" s="124" t="n"/>
      <c r="O253" s="198" t="n"/>
      <c r="P253" s="625" t="n"/>
    </row>
    <row r="254" ht="45" customFormat="1" customHeight="1" s="81">
      <c r="A254" s="184" t="inlineStr">
        <is>
          <t>4</t>
        </is>
      </c>
      <c r="B254" s="185" t="inlineStr">
        <is>
          <t>4.06.0</t>
        </is>
      </c>
      <c r="C254" s="93" t="inlineStr">
        <is>
          <t>Outsource</t>
        </is>
      </c>
      <c r="D254" s="94" t="inlineStr">
        <is>
          <t>Audit and Accountability</t>
        </is>
      </c>
      <c r="E254" s="95" t="inlineStr">
        <is>
          <t>3.3.6</t>
        </is>
      </c>
      <c r="F254" s="95" t="inlineStr">
        <is>
          <t>03.03.06.0</t>
        </is>
      </c>
      <c r="G254" s="96" t="inlineStr">
        <is>
          <t>AU.L2-3.3.6</t>
        </is>
      </c>
      <c r="H254" s="97" t="n">
        <v>1</v>
      </c>
      <c r="I254" s="94" t="inlineStr">
        <is>
          <t>Provide audit record reduction and report generation to support on-demand analysis and reporting.</t>
        </is>
      </c>
      <c r="J254" s="96" t="inlineStr">
        <is>
          <t>Determine if:</t>
        </is>
      </c>
      <c r="K254" s="98" t="inlineStr">
        <is>
          <t>[No Comment Provided]</t>
        </is>
      </c>
      <c r="L254" s="565" t="inlineStr">
        <is>
          <t xml:space="preserve">Overall Status - Pending policy/procedure review meeting and observation of controls in place. 
Updates required to documentation
Test required for validating controls in place
Examine - Policy updates may be required based on interviews/walkthroughs. 
Interview  Controls are currently being implemented. - 
Test - Review testing measures in place. </t>
        </is>
      </c>
      <c r="M254" s="99" t="inlineStr">
        <is>
          <t>Implementation Begun</t>
        </is>
      </c>
      <c r="N254" s="100" t="n"/>
      <c r="O254" s="101">
        <f t="array" ref="O254">IF(AND(M255="Fully Implemented",M256="Fully Implemented"),0,-1*H254)</f>
        <v/>
      </c>
      <c r="P254" s="619" t="n"/>
      <c r="T254" s="102">
        <f t="array" ref="T254">IF(O254=0,H254,0)</f>
        <v/>
      </c>
    </row>
    <row r="255" ht="30" customFormat="1" customHeight="1" s="81">
      <c r="A255" s="187" t="inlineStr">
        <is>
          <t>4</t>
        </is>
      </c>
      <c r="B255" s="188" t="inlineStr">
        <is>
          <t>4.06.a</t>
        </is>
      </c>
      <c r="C255" s="105" t="inlineStr">
        <is>
          <t>Outsource</t>
        </is>
      </c>
      <c r="D255" s="106" t="inlineStr">
        <is>
          <t>Audit and Accountability</t>
        </is>
      </c>
      <c r="E255" s="107" t="inlineStr">
        <is>
          <t>3.3.6[a]</t>
        </is>
      </c>
      <c r="F255" s="107" t="inlineStr">
        <is>
          <t>03.03.06.a</t>
        </is>
      </c>
      <c r="G255" s="108" t="inlineStr">
        <is>
          <t>AU.L2-3.3.6</t>
        </is>
      </c>
      <c r="H255" s="189" t="n"/>
      <c r="I255" s="190" t="n"/>
      <c r="J255" s="108" t="inlineStr">
        <is>
          <t>an audit record reduction capability that supports on-demand analysis is provided.</t>
        </is>
      </c>
      <c r="K255" s="191" t="n"/>
      <c r="M255" s="112" t="inlineStr">
        <is>
          <t>Implementation Begun</t>
        </is>
      </c>
      <c r="O255" s="192" t="n"/>
      <c r="P255" s="625" t="n"/>
    </row>
    <row r="256" ht="30.75" customFormat="1" customHeight="1" s="81">
      <c r="A256" s="193" t="inlineStr">
        <is>
          <t>4</t>
        </is>
      </c>
      <c r="B256" s="194" t="inlineStr">
        <is>
          <t>4.06.b</t>
        </is>
      </c>
      <c r="C256" s="116" t="inlineStr">
        <is>
          <t>Outsource</t>
        </is>
      </c>
      <c r="D256" s="117" t="inlineStr">
        <is>
          <t>Audit and Accountability</t>
        </is>
      </c>
      <c r="E256" s="118" t="inlineStr">
        <is>
          <t>3.3.6[b]</t>
        </is>
      </c>
      <c r="F256" s="118" t="inlineStr">
        <is>
          <t>03.03.06.b</t>
        </is>
      </c>
      <c r="G256" s="119" t="inlineStr">
        <is>
          <t>AU.L2-3.3.6</t>
        </is>
      </c>
      <c r="H256" s="195" t="n"/>
      <c r="I256" s="196" t="n"/>
      <c r="J256" s="119" t="inlineStr">
        <is>
          <t>a report generation capability that supports on-demand reporting is provided.</t>
        </is>
      </c>
      <c r="K256" s="197" t="n"/>
      <c r="M256" s="112" t="inlineStr">
        <is>
          <t>Implementation Begun</t>
        </is>
      </c>
      <c r="N256" s="124" t="n"/>
      <c r="O256" s="198" t="n"/>
      <c r="P256" s="625" t="n"/>
    </row>
    <row r="257" ht="60" customFormat="1" customHeight="1" s="81">
      <c r="A257" s="184" t="inlineStr">
        <is>
          <t>4</t>
        </is>
      </c>
      <c r="B257" s="185" t="inlineStr">
        <is>
          <t>4.07.0</t>
        </is>
      </c>
      <c r="C257" s="93" t="inlineStr">
        <is>
          <t>Hybrid</t>
        </is>
      </c>
      <c r="D257" s="94" t="inlineStr">
        <is>
          <t>Configuration Management</t>
        </is>
      </c>
      <c r="E257" s="95" t="inlineStr">
        <is>
          <t>3.4.8</t>
        </is>
      </c>
      <c r="F257" s="95" t="inlineStr">
        <is>
          <t>03.04.08.0</t>
        </is>
      </c>
      <c r="G257" s="96" t="inlineStr">
        <is>
          <t>CM.L2-3.4.8</t>
        </is>
      </c>
      <c r="H257" s="97" t="n">
        <v>5</v>
      </c>
      <c r="I257" s="94" t="inlineStr">
        <is>
          <t>Apply deny-by-exception (blacklisting) policy to prevent the use of unauthorized software or deny-all, permit-by-exception (whitelisting) policy to allow the execution of authorized software.</t>
        </is>
      </c>
      <c r="J257" s="96" t="inlineStr">
        <is>
          <t>Determine if:</t>
        </is>
      </c>
      <c r="K257" s="98" t="inlineStr">
        <is>
          <t>[No Comment Provided]</t>
        </is>
      </c>
      <c r="L257" s="565" t="inlineStr">
        <is>
          <t xml:space="preserve">Overall Status - Pending policy/procedure review meeting and observation of controls in place. 
Updates required to documentation
Test required for validating controls in place
Examine - Policy updates may be required based on interviews/walkthroughs. 
Interview  Controls are currently being implemented. - 
Test - Review testing measures in place. </t>
        </is>
      </c>
      <c r="M257" s="99" t="inlineStr">
        <is>
          <t>Implementation Begun</t>
        </is>
      </c>
      <c r="N257" s="100" t="n"/>
      <c r="O257" s="101">
        <f t="array" ref="O257">IF(AND(OR(M258="Fully Implemented",M258="Not Permitted"),OR(M259="Fully Implemented",M259="Not Permitted"),OR(M260="Fully Implemented",M260="Not Permitted")),0,-1*H257)</f>
        <v/>
      </c>
      <c r="P257" s="619" t="n"/>
      <c r="T257" s="102">
        <f t="array" ref="T257">IF(O257=0,H257,0)</f>
        <v/>
      </c>
    </row>
    <row r="258" ht="30" customFormat="1" customHeight="1" s="81">
      <c r="A258" s="187" t="inlineStr">
        <is>
          <t>4</t>
        </is>
      </c>
      <c r="B258" s="188" t="inlineStr">
        <is>
          <t>4.07.a</t>
        </is>
      </c>
      <c r="C258" s="105" t="inlineStr">
        <is>
          <t>DIY</t>
        </is>
      </c>
      <c r="D258" s="106" t="inlineStr">
        <is>
          <t>Configuration Management</t>
        </is>
      </c>
      <c r="E258" s="107" t="inlineStr">
        <is>
          <t>3.4.8[a]</t>
        </is>
      </c>
      <c r="F258" s="107" t="inlineStr">
        <is>
          <t>03.04.08.a</t>
        </is>
      </c>
      <c r="G258" s="108" t="inlineStr">
        <is>
          <t>CM.L2-3.4.8</t>
        </is>
      </c>
      <c r="H258" s="189" t="n"/>
      <c r="I258" s="190" t="n"/>
      <c r="J258" s="108" t="inlineStr">
        <is>
          <t>a policy specifying whether whitelisting or blacklisting is to be implemented is specified.</t>
        </is>
      </c>
      <c r="K258" s="191" t="n"/>
      <c r="M258" s="112" t="inlineStr">
        <is>
          <t>Implementation Begun</t>
        </is>
      </c>
      <c r="O258" s="192" t="n"/>
      <c r="P258" s="625" t="n"/>
    </row>
    <row r="259" ht="30" customFormat="1" customHeight="1" s="81">
      <c r="A259" s="187" t="inlineStr">
        <is>
          <t>4</t>
        </is>
      </c>
      <c r="B259" s="188" t="inlineStr">
        <is>
          <t>4.07.b</t>
        </is>
      </c>
      <c r="C259" s="105" t="inlineStr">
        <is>
          <t>DIY</t>
        </is>
      </c>
      <c r="D259" s="106" t="inlineStr">
        <is>
          <t>Configuration Management</t>
        </is>
      </c>
      <c r="E259" s="107" t="inlineStr">
        <is>
          <t>3.4.8[b]</t>
        </is>
      </c>
      <c r="F259" s="107" t="inlineStr">
        <is>
          <t>03.04.08.b</t>
        </is>
      </c>
      <c r="G259" s="108" t="inlineStr">
        <is>
          <t>CM.L2-3.4.8</t>
        </is>
      </c>
      <c r="H259" s="189" t="n"/>
      <c r="I259" s="190" t="n"/>
      <c r="J259" s="108" t="inlineStr">
        <is>
          <t xml:space="preserve">the software allowed to execute under whitelisting or denied use under blacklisting is specified. </t>
        </is>
      </c>
      <c r="K259" s="191" t="n"/>
      <c r="M259" s="112" t="inlineStr">
        <is>
          <t>Implementation Begun</t>
        </is>
      </c>
      <c r="O259" s="192" t="n"/>
      <c r="P259" s="625" t="n"/>
    </row>
    <row r="260" ht="45.75" customFormat="1" customHeight="1" s="81">
      <c r="A260" s="193" t="inlineStr">
        <is>
          <t>4</t>
        </is>
      </c>
      <c r="B260" s="194" t="inlineStr">
        <is>
          <t>4.07.c</t>
        </is>
      </c>
      <c r="C260" s="116" t="inlineStr">
        <is>
          <t>Outsource</t>
        </is>
      </c>
      <c r="D260" s="117" t="inlineStr">
        <is>
          <t>Configuration Management</t>
        </is>
      </c>
      <c r="E260" s="118" t="inlineStr">
        <is>
          <t>3.4.8[c]</t>
        </is>
      </c>
      <c r="F260" s="118" t="inlineStr">
        <is>
          <t>03.04.08.c</t>
        </is>
      </c>
      <c r="G260" s="119" t="inlineStr">
        <is>
          <t>CM.L2-3.4.8</t>
        </is>
      </c>
      <c r="H260" s="195" t="n"/>
      <c r="I260" s="196" t="n"/>
      <c r="J260" s="119" t="inlineStr">
        <is>
          <t xml:space="preserve">whitelisting to allow the execution of authorized software or blacklisting to prevent the use of unauthorized software is implemented as specified. </t>
        </is>
      </c>
      <c r="K260" s="197" t="n"/>
      <c r="M260" s="112" t="inlineStr">
        <is>
          <t>Implementation Begun</t>
        </is>
      </c>
      <c r="N260" s="124" t="n"/>
      <c r="O260" s="198" t="n"/>
      <c r="P260" s="625" t="n"/>
    </row>
    <row r="261" ht="14.1" customFormat="1" customHeight="1" s="81">
      <c r="A261" s="184" t="inlineStr">
        <is>
          <t>4</t>
        </is>
      </c>
      <c r="B261" s="185" t="inlineStr">
        <is>
          <t>4.08.0</t>
        </is>
      </c>
      <c r="C261" s="93" t="inlineStr">
        <is>
          <t>Hybrid</t>
        </is>
      </c>
      <c r="D261" s="94" t="inlineStr">
        <is>
          <t>Configuration Management</t>
        </is>
      </c>
      <c r="E261" s="95" t="inlineStr">
        <is>
          <t>3.4.9</t>
        </is>
      </c>
      <c r="F261" s="95" t="inlineStr">
        <is>
          <t>03.04.09.0</t>
        </is>
      </c>
      <c r="G261" s="96" t="inlineStr">
        <is>
          <t>CM.L2-3.4.9</t>
        </is>
      </c>
      <c r="H261" s="97" t="n">
        <v>1</v>
      </c>
      <c r="I261" s="94" t="inlineStr">
        <is>
          <t>Control and monitor user-installed software.</t>
        </is>
      </c>
      <c r="J261" s="96" t="inlineStr">
        <is>
          <t>Determine if:</t>
        </is>
      </c>
      <c r="K261" s="98" t="inlineStr">
        <is>
          <t>[No Comment Provided]</t>
        </is>
      </c>
      <c r="L261" s="565" t="inlineStr">
        <is>
          <t xml:space="preserve">Overall Status - Pending policy/procedure review meeting and observation of controls in place. 
Updates required to documentation
Test required for validating controls in place
Examine - Policy updates may be required based on interviews/walkthroughs. 
Interview  Controls are currently being implemented. - 
Test - Review testing measures in place. </t>
        </is>
      </c>
      <c r="M261" s="99" t="inlineStr">
        <is>
          <t>Implementation Begun</t>
        </is>
      </c>
      <c r="N261" s="100" t="n"/>
      <c r="O261" s="101">
        <f t="array" ref="O261">IF(AND(OR(M262="Fully Implemented",M262="Not Permitted"),OR(M263="Fully Implemented",M263="Not Permitted"),OR(M264="Fully Implemented",M264="Not Permitted")),0,-1*H261)</f>
        <v/>
      </c>
      <c r="P261" s="619" t="n"/>
      <c r="T261" s="102">
        <f t="array" ref="T261">IF(O261=0,H261,0)</f>
        <v/>
      </c>
    </row>
    <row r="262" ht="30" customFormat="1" customHeight="1" s="81">
      <c r="A262" s="187" t="inlineStr">
        <is>
          <t>4</t>
        </is>
      </c>
      <c r="B262" s="188" t="inlineStr">
        <is>
          <t>4.08.a</t>
        </is>
      </c>
      <c r="C262" s="105" t="inlineStr">
        <is>
          <t>DIY</t>
        </is>
      </c>
      <c r="D262" s="106" t="inlineStr">
        <is>
          <t>Configuration Management</t>
        </is>
      </c>
      <c r="E262" s="107" t="inlineStr">
        <is>
          <t>3.4.9[a]</t>
        </is>
      </c>
      <c r="F262" s="107" t="inlineStr">
        <is>
          <t>03.04.09.a</t>
        </is>
      </c>
      <c r="G262" s="108" t="inlineStr">
        <is>
          <t>CM.L2-3.4.9</t>
        </is>
      </c>
      <c r="H262" s="189" t="n"/>
      <c r="I262" s="190" t="n"/>
      <c r="J262" s="108" t="inlineStr">
        <is>
          <t>a policy for controlling the installation of software by users is established.</t>
        </is>
      </c>
      <c r="K262" s="191" t="n"/>
      <c r="M262" s="112" t="inlineStr">
        <is>
          <t>Implementation Begun</t>
        </is>
      </c>
      <c r="O262" s="192" t="n"/>
      <c r="P262" s="625" t="n"/>
    </row>
    <row r="263" ht="30" customFormat="1" customHeight="1" s="81">
      <c r="A263" s="187" t="inlineStr">
        <is>
          <t>4</t>
        </is>
      </c>
      <c r="B263" s="188" t="inlineStr">
        <is>
          <t>4.08.b</t>
        </is>
      </c>
      <c r="C263" s="105" t="inlineStr">
        <is>
          <t>Outsource</t>
        </is>
      </c>
      <c r="D263" s="106" t="inlineStr">
        <is>
          <t>Configuration Management</t>
        </is>
      </c>
      <c r="E263" s="107" t="inlineStr">
        <is>
          <t>3.4.9[b]</t>
        </is>
      </c>
      <c r="F263" s="107" t="inlineStr">
        <is>
          <t>03.04.09.b</t>
        </is>
      </c>
      <c r="G263" s="108" t="inlineStr">
        <is>
          <t>CM.L2-3.4.9</t>
        </is>
      </c>
      <c r="H263" s="189" t="n"/>
      <c r="I263" s="190" t="n"/>
      <c r="J263" s="108" t="inlineStr">
        <is>
          <t>installation of software by users is controlled based on the established policy.</t>
        </is>
      </c>
      <c r="K263" s="191" t="n"/>
      <c r="M263" s="112" t="inlineStr">
        <is>
          <t>Implementation Begun</t>
        </is>
      </c>
      <c r="O263" s="192" t="n"/>
      <c r="P263" s="625" t="n"/>
    </row>
    <row r="264" ht="15.75" customFormat="1" customHeight="1" s="81">
      <c r="A264" s="193" t="inlineStr">
        <is>
          <t>4</t>
        </is>
      </c>
      <c r="B264" s="194" t="inlineStr">
        <is>
          <t>4.08.c</t>
        </is>
      </c>
      <c r="C264" s="116" t="inlineStr">
        <is>
          <t>Outsource</t>
        </is>
      </c>
      <c r="D264" s="117" t="inlineStr">
        <is>
          <t>Configuration Management</t>
        </is>
      </c>
      <c r="E264" s="118" t="inlineStr">
        <is>
          <t>3.4.9[c]</t>
        </is>
      </c>
      <c r="F264" s="118" t="inlineStr">
        <is>
          <t>03.04.09.c</t>
        </is>
      </c>
      <c r="G264" s="119" t="inlineStr">
        <is>
          <t>CM.L2-3.4.9</t>
        </is>
      </c>
      <c r="H264" s="195" t="n"/>
      <c r="I264" s="196" t="n"/>
      <c r="J264" s="119" t="inlineStr">
        <is>
          <t>installation of software by users is monitored.</t>
        </is>
      </c>
      <c r="K264" s="197" t="n"/>
      <c r="M264" s="112" t="inlineStr">
        <is>
          <t>Implementation Begun</t>
        </is>
      </c>
      <c r="N264" s="124" t="n"/>
      <c r="O264" s="198" t="n"/>
      <c r="P264" s="625" t="n"/>
    </row>
    <row r="265" ht="45" customFormat="1" customHeight="1" s="81">
      <c r="A265" s="184" t="inlineStr">
        <is>
          <t>4</t>
        </is>
      </c>
      <c r="B265" s="185" t="inlineStr">
        <is>
          <t>4.09.0</t>
        </is>
      </c>
      <c r="C265" s="93" t="inlineStr">
        <is>
          <t>Hybrid</t>
        </is>
      </c>
      <c r="D265" s="94" t="inlineStr">
        <is>
          <t>Configuration Management</t>
        </is>
      </c>
      <c r="E265" s="95" t="inlineStr">
        <is>
          <t>3.4.7</t>
        </is>
      </c>
      <c r="F265" s="95" t="inlineStr">
        <is>
          <t>03.04.07.0</t>
        </is>
      </c>
      <c r="G265" s="96" t="inlineStr">
        <is>
          <t>CM.L2-3.4.7</t>
        </is>
      </c>
      <c r="H265" s="97" t="n">
        <v>5</v>
      </c>
      <c r="I265" s="94" t="inlineStr">
        <is>
          <t>Restrict, disable, or prevent the use of nonessential programs, functions, ports, protocols, and services.</t>
        </is>
      </c>
      <c r="J265" s="96" t="inlineStr">
        <is>
          <t>Determine if:</t>
        </is>
      </c>
      <c r="K265" s="98" t="inlineStr">
        <is>
          <t>[No Comment Provided]</t>
        </is>
      </c>
      <c r="L265" s="565" t="inlineStr">
        <is>
          <t xml:space="preserve">Overall Status - Pending policy/procedure review meeting and observation of controls in place. 
Updates required to documentation
Test required for validating controls in place
Examine - Policy updates may be required based on interviews/walkthroughs. 
Interview  Controls are currently being implemented. - 
Test - Review testing measures in place. </t>
        </is>
      </c>
      <c r="M265" s="99" t="inlineStr">
        <is>
          <t>Implementation Begun</t>
        </is>
      </c>
      <c r="N265" s="100" t="n"/>
      <c r="O265" s="101">
        <f t="array" ref="O265">IF(AND(M266="Fully Implemented",M267="Fully Implemented",M268="Fully Implemented",M269="Fully Implemented",M270="Fully Implemented",M271="Fully Implemented",M272="Fully Implemented",M273="Fully Implemented",M274="Fully Implemented",M275="Fully Implemented",M276="Fully Implemented",M277="Fully Implemented",M278="Fully Implemented",M279="Fully Implemented",M280="Fully Implemented"),0,-1*H265)</f>
        <v/>
      </c>
      <c r="P265" s="619" t="n"/>
      <c r="T265" s="102">
        <f t="array" ref="T265">IF(O265=0,H265,0)</f>
        <v/>
      </c>
    </row>
    <row r="266" ht="13.5" customFormat="1" customHeight="1" s="81">
      <c r="A266" s="187" t="inlineStr">
        <is>
          <t>4</t>
        </is>
      </c>
      <c r="B266" s="188" t="inlineStr">
        <is>
          <t>4.09.a</t>
        </is>
      </c>
      <c r="C266" s="105" t="inlineStr">
        <is>
          <t>DIY</t>
        </is>
      </c>
      <c r="D266" s="106" t="inlineStr">
        <is>
          <t>Configuration Management</t>
        </is>
      </c>
      <c r="E266" s="107" t="inlineStr">
        <is>
          <t>3.4.7[a]</t>
        </is>
      </c>
      <c r="F266" s="107" t="inlineStr">
        <is>
          <t>03.04.07.a</t>
        </is>
      </c>
      <c r="G266" s="108" t="inlineStr">
        <is>
          <t>CM.L2-3.4.7</t>
        </is>
      </c>
      <c r="H266" s="189" t="n"/>
      <c r="I266" s="190" t="n"/>
      <c r="J266" s="108" t="inlineStr">
        <is>
          <t>essential programs are defined.</t>
        </is>
      </c>
      <c r="K266" s="191" t="n"/>
      <c r="M266" s="112" t="inlineStr">
        <is>
          <t>Implementation Begun</t>
        </is>
      </c>
      <c r="O266" s="192" t="n"/>
      <c r="P266" s="625" t="n"/>
    </row>
    <row r="267" ht="13.5" customFormat="1" customHeight="1" s="81">
      <c r="A267" s="187" t="inlineStr">
        <is>
          <t>4</t>
        </is>
      </c>
      <c r="B267" s="188" t="inlineStr">
        <is>
          <t>4.09.b</t>
        </is>
      </c>
      <c r="C267" s="105" t="inlineStr">
        <is>
          <t>Outsource</t>
        </is>
      </c>
      <c r="D267" s="106" t="inlineStr">
        <is>
          <t>Configuration Management</t>
        </is>
      </c>
      <c r="E267" s="107" t="inlineStr">
        <is>
          <t>3.4.7[b]</t>
        </is>
      </c>
      <c r="F267" s="107" t="inlineStr">
        <is>
          <t>03.04.07.b</t>
        </is>
      </c>
      <c r="G267" s="108" t="inlineStr">
        <is>
          <t>CM.L2-3.4.7</t>
        </is>
      </c>
      <c r="H267" s="189" t="n"/>
      <c r="I267" s="190" t="n"/>
      <c r="J267" s="108" t="inlineStr">
        <is>
          <t>the use of nonessential programs is defined.</t>
        </is>
      </c>
      <c r="K267" s="191" t="n"/>
      <c r="M267" s="112" t="inlineStr">
        <is>
          <t>Implementation Begun</t>
        </is>
      </c>
      <c r="O267" s="192" t="n"/>
      <c r="P267" s="625" t="n"/>
    </row>
    <row r="268" ht="30" customFormat="1" customHeight="1" s="81">
      <c r="A268" s="187" t="inlineStr">
        <is>
          <t>4</t>
        </is>
      </c>
      <c r="B268" s="188" t="inlineStr">
        <is>
          <t>4.09.c</t>
        </is>
      </c>
      <c r="C268" s="105" t="inlineStr">
        <is>
          <t>Outsource</t>
        </is>
      </c>
      <c r="D268" s="106" t="inlineStr">
        <is>
          <t>Configuration Management</t>
        </is>
      </c>
      <c r="E268" s="107" t="inlineStr">
        <is>
          <t>3.4.7[c]</t>
        </is>
      </c>
      <c r="F268" s="107" t="inlineStr">
        <is>
          <t>03.04.07.c</t>
        </is>
      </c>
      <c r="G268" s="108" t="inlineStr">
        <is>
          <t>CM.L2-3.4.7</t>
        </is>
      </c>
      <c r="H268" s="189" t="n"/>
      <c r="I268" s="190" t="n"/>
      <c r="J268" s="108" t="inlineStr">
        <is>
          <t xml:space="preserve">the use of nonessential programs is restricted, disabled, or prevented as defined. </t>
        </is>
      </c>
      <c r="K268" s="191" t="n"/>
      <c r="M268" s="112" t="inlineStr">
        <is>
          <t>Implementation Begun</t>
        </is>
      </c>
      <c r="O268" s="192" t="n"/>
      <c r="P268" s="625" t="n"/>
    </row>
    <row r="269" ht="13.5" customFormat="1" customHeight="1" s="81">
      <c r="A269" s="187" t="inlineStr">
        <is>
          <t>4</t>
        </is>
      </c>
      <c r="B269" s="188" t="inlineStr">
        <is>
          <t>4.09.d</t>
        </is>
      </c>
      <c r="C269" s="105" t="inlineStr">
        <is>
          <t>Outsource</t>
        </is>
      </c>
      <c r="D269" s="106" t="inlineStr">
        <is>
          <t>Configuration Management</t>
        </is>
      </c>
      <c r="E269" s="107" t="inlineStr">
        <is>
          <t>3.4.7[d]</t>
        </is>
      </c>
      <c r="F269" s="107" t="inlineStr">
        <is>
          <t>03.04.07.d</t>
        </is>
      </c>
      <c r="G269" s="108" t="inlineStr">
        <is>
          <t>CM.L2-3.4.7</t>
        </is>
      </c>
      <c r="H269" s="189" t="n"/>
      <c r="I269" s="190" t="n"/>
      <c r="J269" s="108" t="inlineStr">
        <is>
          <t>essential functions are defined.</t>
        </is>
      </c>
      <c r="K269" s="191" t="n"/>
      <c r="M269" s="112" t="inlineStr">
        <is>
          <t>Implementation Begun</t>
        </is>
      </c>
      <c r="O269" s="192" t="n"/>
      <c r="P269" s="625" t="n"/>
    </row>
    <row r="270" ht="13.5" customFormat="1" customHeight="1" s="81">
      <c r="A270" s="187" t="inlineStr">
        <is>
          <t>4</t>
        </is>
      </c>
      <c r="B270" s="188" t="inlineStr">
        <is>
          <t>4.09.e</t>
        </is>
      </c>
      <c r="C270" s="105" t="inlineStr">
        <is>
          <t>Outsource</t>
        </is>
      </c>
      <c r="D270" s="106" t="inlineStr">
        <is>
          <t>Configuration Management</t>
        </is>
      </c>
      <c r="E270" s="107" t="inlineStr">
        <is>
          <t>3.4.7[e]</t>
        </is>
      </c>
      <c r="F270" s="107" t="inlineStr">
        <is>
          <t>03.04.07.e</t>
        </is>
      </c>
      <c r="G270" s="108" t="inlineStr">
        <is>
          <t>CM.L2-3.4.7</t>
        </is>
      </c>
      <c r="H270" s="189" t="n"/>
      <c r="I270" s="190" t="n"/>
      <c r="J270" s="108" t="inlineStr">
        <is>
          <t>the use of nonessential functions is defined.</t>
        </is>
      </c>
      <c r="K270" s="191" t="n"/>
      <c r="M270" s="112" t="inlineStr">
        <is>
          <t>Implementation Begun</t>
        </is>
      </c>
      <c r="O270" s="192" t="n"/>
      <c r="P270" s="625" t="n"/>
    </row>
    <row r="271" ht="30" customFormat="1" customHeight="1" s="81">
      <c r="A271" s="187" t="inlineStr">
        <is>
          <t>4</t>
        </is>
      </c>
      <c r="B271" s="188" t="inlineStr">
        <is>
          <t>4.09.f</t>
        </is>
      </c>
      <c r="C271" s="105" t="inlineStr">
        <is>
          <t>Outsource</t>
        </is>
      </c>
      <c r="D271" s="106" t="inlineStr">
        <is>
          <t>Configuration Management</t>
        </is>
      </c>
      <c r="E271" s="107" t="inlineStr">
        <is>
          <t>3.4.7[f]</t>
        </is>
      </c>
      <c r="F271" s="107" t="inlineStr">
        <is>
          <t>03.04.07.f</t>
        </is>
      </c>
      <c r="G271" s="108" t="inlineStr">
        <is>
          <t>CM.L2-3.4.7</t>
        </is>
      </c>
      <c r="H271" s="189" t="n"/>
      <c r="I271" s="190" t="n"/>
      <c r="J271" s="108" t="inlineStr">
        <is>
          <t xml:space="preserve">the use of nonessential functions is restricted, disabled, or prevented as defined. </t>
        </is>
      </c>
      <c r="K271" s="191" t="n"/>
      <c r="M271" s="112" t="inlineStr">
        <is>
          <t>Implementation Begun</t>
        </is>
      </c>
      <c r="O271" s="192" t="n"/>
      <c r="P271" s="625" t="n"/>
    </row>
    <row r="272" ht="13.5" customFormat="1" customHeight="1" s="81">
      <c r="A272" s="187" t="inlineStr">
        <is>
          <t>4</t>
        </is>
      </c>
      <c r="B272" s="188" t="inlineStr">
        <is>
          <t>4.09.g</t>
        </is>
      </c>
      <c r="C272" s="105" t="inlineStr">
        <is>
          <t>Outsource</t>
        </is>
      </c>
      <c r="D272" s="106" t="inlineStr">
        <is>
          <t>Configuration Management</t>
        </is>
      </c>
      <c r="E272" s="107" t="inlineStr">
        <is>
          <t>3.4.7[g]</t>
        </is>
      </c>
      <c r="F272" s="107" t="inlineStr">
        <is>
          <t>03.04.07.g</t>
        </is>
      </c>
      <c r="G272" s="108" t="inlineStr">
        <is>
          <t>CM.L2-3.4.7</t>
        </is>
      </c>
      <c r="H272" s="189" t="n"/>
      <c r="I272" s="190" t="n"/>
      <c r="J272" s="108" t="inlineStr">
        <is>
          <t>essential ports are defined.</t>
        </is>
      </c>
      <c r="K272" s="191" t="n"/>
      <c r="M272" s="112" t="inlineStr">
        <is>
          <t>Implementation Begun</t>
        </is>
      </c>
      <c r="O272" s="192" t="n"/>
      <c r="P272" s="625" t="n"/>
    </row>
    <row r="273" ht="13.5" customFormat="1" customHeight="1" s="81">
      <c r="A273" s="187" t="inlineStr">
        <is>
          <t>4</t>
        </is>
      </c>
      <c r="B273" s="188" t="inlineStr">
        <is>
          <t>4.09.h</t>
        </is>
      </c>
      <c r="C273" s="105" t="inlineStr">
        <is>
          <t>Outsource</t>
        </is>
      </c>
      <c r="D273" s="106" t="inlineStr">
        <is>
          <t>Configuration Management</t>
        </is>
      </c>
      <c r="E273" s="107" t="inlineStr">
        <is>
          <t>3.4.7[h]</t>
        </is>
      </c>
      <c r="F273" s="107" t="inlineStr">
        <is>
          <t>03.04.07.h</t>
        </is>
      </c>
      <c r="G273" s="108" t="inlineStr">
        <is>
          <t>CM.L2-3.4.7</t>
        </is>
      </c>
      <c r="H273" s="189" t="n"/>
      <c r="I273" s="190" t="n"/>
      <c r="J273" s="108" t="inlineStr">
        <is>
          <t>the use of nonessential ports is defined.</t>
        </is>
      </c>
      <c r="K273" s="191" t="n"/>
      <c r="M273" s="112" t="inlineStr">
        <is>
          <t>Implementation Begun</t>
        </is>
      </c>
      <c r="O273" s="192" t="n"/>
      <c r="P273" s="625" t="n"/>
    </row>
    <row r="274" ht="30" customFormat="1" customHeight="1" s="81">
      <c r="A274" s="187" t="inlineStr">
        <is>
          <t>4</t>
        </is>
      </c>
      <c r="B274" s="188" t="inlineStr">
        <is>
          <t>4.09.i</t>
        </is>
      </c>
      <c r="C274" s="105" t="inlineStr">
        <is>
          <t>Outsource</t>
        </is>
      </c>
      <c r="D274" s="106" t="inlineStr">
        <is>
          <t>Configuration Management</t>
        </is>
      </c>
      <c r="E274" s="107" t="inlineStr">
        <is>
          <t>3.4.7[i]</t>
        </is>
      </c>
      <c r="F274" s="107" t="inlineStr">
        <is>
          <t>03.04.07.i</t>
        </is>
      </c>
      <c r="G274" s="108" t="inlineStr">
        <is>
          <t>CM.L2-3.4.7</t>
        </is>
      </c>
      <c r="H274" s="189" t="n"/>
      <c r="I274" s="190" t="n"/>
      <c r="J274" s="108" t="inlineStr">
        <is>
          <t xml:space="preserve">the use of nonessential ports is restricted, disabled, or prevented as defined. </t>
        </is>
      </c>
      <c r="K274" s="191" t="n"/>
      <c r="M274" s="112" t="inlineStr">
        <is>
          <t>Implementation Begun</t>
        </is>
      </c>
      <c r="O274" s="192" t="n"/>
      <c r="P274" s="625" t="n"/>
    </row>
    <row r="275" ht="13.5" customFormat="1" customHeight="1" s="81">
      <c r="A275" s="187" t="inlineStr">
        <is>
          <t>4</t>
        </is>
      </c>
      <c r="B275" s="188" t="inlineStr">
        <is>
          <t>4.09.j</t>
        </is>
      </c>
      <c r="C275" s="105" t="inlineStr">
        <is>
          <t>Outsource</t>
        </is>
      </c>
      <c r="D275" s="106" t="inlineStr">
        <is>
          <t>Configuration Management</t>
        </is>
      </c>
      <c r="E275" s="107" t="inlineStr">
        <is>
          <t>3.4.7[j]</t>
        </is>
      </c>
      <c r="F275" s="107" t="inlineStr">
        <is>
          <t>03.04.07.j</t>
        </is>
      </c>
      <c r="G275" s="108" t="inlineStr">
        <is>
          <t>CM.L2-3.4.7</t>
        </is>
      </c>
      <c r="H275" s="189" t="n"/>
      <c r="I275" s="190" t="n"/>
      <c r="J275" s="108" t="inlineStr">
        <is>
          <t>essential protocols are defined.</t>
        </is>
      </c>
      <c r="K275" s="191" t="n"/>
      <c r="M275" s="112" t="inlineStr">
        <is>
          <t>Implementation Begun</t>
        </is>
      </c>
      <c r="O275" s="192" t="n"/>
      <c r="P275" s="625" t="n"/>
    </row>
    <row r="276" ht="13.5" customFormat="1" customHeight="1" s="81">
      <c r="A276" s="187" t="inlineStr">
        <is>
          <t>4</t>
        </is>
      </c>
      <c r="B276" s="188" t="inlineStr">
        <is>
          <t>4.09.k</t>
        </is>
      </c>
      <c r="C276" s="105" t="inlineStr">
        <is>
          <t>Outsource</t>
        </is>
      </c>
      <c r="D276" s="106" t="inlineStr">
        <is>
          <t>Configuration Management</t>
        </is>
      </c>
      <c r="E276" s="107" t="inlineStr">
        <is>
          <t>3.4.7[k]</t>
        </is>
      </c>
      <c r="F276" s="107" t="inlineStr">
        <is>
          <t>03.04.07.k</t>
        </is>
      </c>
      <c r="G276" s="108" t="inlineStr">
        <is>
          <t>CM.L2-3.4.7</t>
        </is>
      </c>
      <c r="H276" s="189" t="n"/>
      <c r="I276" s="190" t="n"/>
      <c r="J276" s="108" t="inlineStr">
        <is>
          <t>the use of nonessential protocols is defined.</t>
        </is>
      </c>
      <c r="K276" s="191" t="n"/>
      <c r="M276" s="112" t="inlineStr">
        <is>
          <t>Implementation Begun</t>
        </is>
      </c>
      <c r="O276" s="192" t="n"/>
      <c r="P276" s="625" t="n"/>
    </row>
    <row r="277" ht="30" customFormat="1" customHeight="1" s="81">
      <c r="A277" s="187" t="inlineStr">
        <is>
          <t>4</t>
        </is>
      </c>
      <c r="B277" s="188" t="inlineStr">
        <is>
          <t>4.09.l</t>
        </is>
      </c>
      <c r="C277" s="105" t="inlineStr">
        <is>
          <t>Outsource</t>
        </is>
      </c>
      <c r="D277" s="106" t="inlineStr">
        <is>
          <t>Configuration Management</t>
        </is>
      </c>
      <c r="E277" s="107" t="inlineStr">
        <is>
          <t>3.4.7[l]</t>
        </is>
      </c>
      <c r="F277" s="107" t="inlineStr">
        <is>
          <t>03.04.07.l</t>
        </is>
      </c>
      <c r="G277" s="108" t="inlineStr">
        <is>
          <t>CM.L2-3.4.7</t>
        </is>
      </c>
      <c r="H277" s="189" t="n"/>
      <c r="I277" s="190" t="n"/>
      <c r="J277" s="108" t="inlineStr">
        <is>
          <t xml:space="preserve">the use of nonessential protocols is restricted, disabled, or prevented as defined. </t>
        </is>
      </c>
      <c r="K277" s="191" t="n"/>
      <c r="M277" s="112" t="inlineStr">
        <is>
          <t>Implementation Begun</t>
        </is>
      </c>
      <c r="O277" s="192" t="n"/>
      <c r="P277" s="625" t="n"/>
    </row>
    <row r="278" ht="13.5" customFormat="1" customHeight="1" s="81">
      <c r="A278" s="187" t="inlineStr">
        <is>
          <t>4</t>
        </is>
      </c>
      <c r="B278" s="188" t="inlineStr">
        <is>
          <t>4.09.m</t>
        </is>
      </c>
      <c r="C278" s="105" t="inlineStr">
        <is>
          <t>Outsource</t>
        </is>
      </c>
      <c r="D278" s="106" t="inlineStr">
        <is>
          <t>Configuration Management</t>
        </is>
      </c>
      <c r="E278" s="107" t="inlineStr">
        <is>
          <t>3.4.7[m]</t>
        </is>
      </c>
      <c r="F278" s="107" t="inlineStr">
        <is>
          <t>03.04.07.m</t>
        </is>
      </c>
      <c r="G278" s="108" t="inlineStr">
        <is>
          <t>CM.L2-3.4.7</t>
        </is>
      </c>
      <c r="H278" s="189" t="n"/>
      <c r="I278" s="190" t="n"/>
      <c r="J278" s="108" t="inlineStr">
        <is>
          <t>essential services are defined.</t>
        </is>
      </c>
      <c r="K278" s="191" t="n"/>
      <c r="M278" s="112" t="inlineStr">
        <is>
          <t>Implementation Begun</t>
        </is>
      </c>
      <c r="O278" s="192" t="n"/>
      <c r="P278" s="625" t="n"/>
    </row>
    <row r="279" ht="13.5" customFormat="1" customHeight="1" s="81">
      <c r="A279" s="187" t="inlineStr">
        <is>
          <t>4</t>
        </is>
      </c>
      <c r="B279" s="188" t="inlineStr">
        <is>
          <t>4.09.n</t>
        </is>
      </c>
      <c r="C279" s="105" t="inlineStr">
        <is>
          <t>Outsource</t>
        </is>
      </c>
      <c r="D279" s="106" t="inlineStr">
        <is>
          <t>Configuration Management</t>
        </is>
      </c>
      <c r="E279" s="107" t="inlineStr">
        <is>
          <t>3.4.7[n]</t>
        </is>
      </c>
      <c r="F279" s="107" t="inlineStr">
        <is>
          <t>03.04.07.n</t>
        </is>
      </c>
      <c r="G279" s="108" t="inlineStr">
        <is>
          <t>CM.L2-3.4.7</t>
        </is>
      </c>
      <c r="H279" s="189" t="n"/>
      <c r="I279" s="190" t="n"/>
      <c r="J279" s="108" t="inlineStr">
        <is>
          <t>the use of nonessential services is defined.</t>
        </is>
      </c>
      <c r="K279" s="191" t="n"/>
      <c r="M279" s="112" t="inlineStr">
        <is>
          <t>Implementation Begun</t>
        </is>
      </c>
      <c r="O279" s="192" t="n"/>
      <c r="P279" s="625" t="n"/>
    </row>
    <row r="280" ht="30.75" customFormat="1" customHeight="1" s="81">
      <c r="A280" s="193" t="inlineStr">
        <is>
          <t>4</t>
        </is>
      </c>
      <c r="B280" s="194" t="inlineStr">
        <is>
          <t>4.09.o</t>
        </is>
      </c>
      <c r="C280" s="116" t="inlineStr">
        <is>
          <t>Outsource</t>
        </is>
      </c>
      <c r="D280" s="117" t="inlineStr">
        <is>
          <t>Configuration Management</t>
        </is>
      </c>
      <c r="E280" s="118" t="inlineStr">
        <is>
          <t>3.4.7[o]</t>
        </is>
      </c>
      <c r="F280" s="118" t="inlineStr">
        <is>
          <t>03.04.07.o</t>
        </is>
      </c>
      <c r="G280" s="119" t="inlineStr">
        <is>
          <t>CM.L2-3.4.7</t>
        </is>
      </c>
      <c r="H280" s="195" t="n"/>
      <c r="I280" s="196" t="n"/>
      <c r="J280" s="119" t="inlineStr">
        <is>
          <t xml:space="preserve">the use of nonessential services is restricted, disabled, or prevented as defined. </t>
        </is>
      </c>
      <c r="K280" s="197" t="n"/>
      <c r="M280" s="112" t="inlineStr">
        <is>
          <t>Implementation Begun</t>
        </is>
      </c>
      <c r="N280" s="124" t="n"/>
      <c r="O280" s="198" t="n"/>
      <c r="P280" s="625" t="n"/>
    </row>
    <row r="281" ht="45" customFormat="1" customHeight="1" s="81">
      <c r="A281" s="184" t="inlineStr">
        <is>
          <t>4</t>
        </is>
      </c>
      <c r="B281" s="185" t="inlineStr">
        <is>
          <t>4.1.0</t>
        </is>
      </c>
      <c r="C281" s="93" t="inlineStr">
        <is>
          <t>Hybrid</t>
        </is>
      </c>
      <c r="D281" s="94" t="inlineStr">
        <is>
          <t>System and Communications Protection</t>
        </is>
      </c>
      <c r="E281" s="95" t="inlineStr">
        <is>
          <t>3.13.12</t>
        </is>
      </c>
      <c r="F281" s="95" t="inlineStr">
        <is>
          <t>03.13.12.0</t>
        </is>
      </c>
      <c r="G281" s="96" t="inlineStr">
        <is>
          <t>SC.L2-3.13.12</t>
        </is>
      </c>
      <c r="H281" s="97" t="n">
        <v>1</v>
      </c>
      <c r="I281" s="94" t="inlineStr">
        <is>
          <t>Prohibit remote activation of collaborative computing devices and provide indication of devices in use to users present at the device.</t>
        </is>
      </c>
      <c r="J281" s="96" t="inlineStr">
        <is>
          <t>Determine if:</t>
        </is>
      </c>
      <c r="K281" s="98" t="inlineStr">
        <is>
          <t>[No Comment Provided]</t>
        </is>
      </c>
      <c r="L281" s="565" t="inlineStr">
        <is>
          <t xml:space="preserve">Overall Status - Pending policy/procedure review meeting and observation of controls in place. 
Updates required to documentation
Test required for validating controls in place
Examine - Policy updates may be required based on interviews/walkthroughs. 
Interview  Controls are currently being implemented. - 
Test - Review testing measures in place. </t>
        </is>
      </c>
      <c r="M281" s="99" t="inlineStr">
        <is>
          <t>Implementation Begun</t>
        </is>
      </c>
      <c r="N281" s="100" t="n"/>
      <c r="O281" s="101">
        <f t="array" ref="O281">IF(AND(OR(M282="Fully Implemented",M282="Not Permitted"),OR(M283="Fully Implemented",M283="Not Permitted"),OR(M284="Fully Implemented",M284="Not Permitted")),0,-1*H281)</f>
        <v/>
      </c>
      <c r="P281" s="619" t="n"/>
      <c r="T281" s="102">
        <f t="array" ref="T281">IF(O281=0,H281,0)</f>
        <v/>
      </c>
    </row>
    <row r="282" ht="30" customFormat="1" customHeight="1" s="81">
      <c r="A282" s="187" t="inlineStr">
        <is>
          <t>4</t>
        </is>
      </c>
      <c r="B282" s="188" t="inlineStr">
        <is>
          <t>4.10.a</t>
        </is>
      </c>
      <c r="C282" s="105" t="inlineStr">
        <is>
          <t>DIY</t>
        </is>
      </c>
      <c r="D282" s="106" t="inlineStr">
        <is>
          <t>System and Communications Protection</t>
        </is>
      </c>
      <c r="E282" s="107" t="inlineStr">
        <is>
          <t>3.13.12[a]</t>
        </is>
      </c>
      <c r="F282" s="107" t="inlineStr">
        <is>
          <t>03.13.12.a</t>
        </is>
      </c>
      <c r="G282" s="108" t="inlineStr">
        <is>
          <t>SC.L2-3.13.12</t>
        </is>
      </c>
      <c r="H282" s="189" t="n"/>
      <c r="I282" s="190" t="n"/>
      <c r="J282" s="108" t="inlineStr">
        <is>
          <t>collaborative computing devices are identified.</t>
        </is>
      </c>
      <c r="K282" s="191" t="n"/>
      <c r="M282" s="112" t="inlineStr">
        <is>
          <t>Implementation Begun</t>
        </is>
      </c>
      <c r="O282" s="192" t="n"/>
      <c r="P282" s="625" t="n"/>
    </row>
    <row r="283" ht="30" customFormat="1" customHeight="1" s="81">
      <c r="A283" s="187" t="inlineStr">
        <is>
          <t>4</t>
        </is>
      </c>
      <c r="B283" s="188" t="inlineStr">
        <is>
          <t>4.10.b</t>
        </is>
      </c>
      <c r="C283" s="105" t="inlineStr">
        <is>
          <t>DIY</t>
        </is>
      </c>
      <c r="D283" s="106" t="inlineStr">
        <is>
          <t>System and Communications Protection</t>
        </is>
      </c>
      <c r="E283" s="107" t="inlineStr">
        <is>
          <t>3.13.12[b]</t>
        </is>
      </c>
      <c r="F283" s="107" t="inlineStr">
        <is>
          <t>03.13.12.b</t>
        </is>
      </c>
      <c r="G283" s="108" t="inlineStr">
        <is>
          <t>SC.L2-3.13.12</t>
        </is>
      </c>
      <c r="H283" s="189" t="n"/>
      <c r="I283" s="190" t="n"/>
      <c r="J283" s="108" t="inlineStr">
        <is>
          <t>collaborative computing devices provide indication to users of devices in use.</t>
        </is>
      </c>
      <c r="K283" s="191" t="n"/>
      <c r="M283" s="112" t="inlineStr">
        <is>
          <t>Implementation Begun</t>
        </is>
      </c>
      <c r="O283" s="192" t="n"/>
      <c r="P283" s="625" t="n"/>
    </row>
    <row r="284" ht="30.75" customFormat="1" customHeight="1" s="81">
      <c r="A284" s="193" t="inlineStr">
        <is>
          <t>4</t>
        </is>
      </c>
      <c r="B284" s="194" t="inlineStr">
        <is>
          <t>4.10.c</t>
        </is>
      </c>
      <c r="C284" s="116" t="inlineStr">
        <is>
          <t>Outsource</t>
        </is>
      </c>
      <c r="D284" s="117" t="inlineStr">
        <is>
          <t>System and Communications Protection</t>
        </is>
      </c>
      <c r="E284" s="118" t="inlineStr">
        <is>
          <t>3.13.12[c]</t>
        </is>
      </c>
      <c r="F284" s="118" t="inlineStr">
        <is>
          <t>03.13.12.c</t>
        </is>
      </c>
      <c r="G284" s="119" t="inlineStr">
        <is>
          <t>SC.L2-3.13.12</t>
        </is>
      </c>
      <c r="H284" s="195" t="n"/>
      <c r="I284" s="196" t="n"/>
      <c r="J284" s="119" t="inlineStr">
        <is>
          <t xml:space="preserve">remote activation of collaborative computing devices is prohibited. </t>
        </is>
      </c>
      <c r="K284" s="197" t="n"/>
      <c r="M284" s="112" t="inlineStr">
        <is>
          <t>Implementation Begun</t>
        </is>
      </c>
      <c r="N284" s="124" t="n"/>
      <c r="O284" s="198" t="n"/>
      <c r="P284" s="625" t="n"/>
    </row>
    <row r="285" ht="45.75" customFormat="1" customHeight="1" s="81">
      <c r="A285" s="199" t="inlineStr">
        <is>
          <t>4</t>
        </is>
      </c>
      <c r="B285" s="200" t="inlineStr">
        <is>
          <t>4.11.0</t>
        </is>
      </c>
      <c r="C285" s="130" t="inlineStr">
        <is>
          <t>Outsource</t>
        </is>
      </c>
      <c r="D285" s="131" t="inlineStr">
        <is>
          <t>System and Communications Protection</t>
        </is>
      </c>
      <c r="E285" s="132" t="inlineStr">
        <is>
          <t>3.13.4</t>
        </is>
      </c>
      <c r="F285" s="132" t="inlineStr">
        <is>
          <t>03.13.04.0</t>
        </is>
      </c>
      <c r="G285" s="133" t="inlineStr">
        <is>
          <t>SC.L2-3.13.4</t>
        </is>
      </c>
      <c r="H285" s="134" t="n">
        <v>1</v>
      </c>
      <c r="I285" s="131" t="inlineStr">
        <is>
          <t xml:space="preserve">Prevent unauthorized and unintended information transfer via shared system resources. </t>
        </is>
      </c>
      <c r="J285" s="133" t="inlineStr">
        <is>
          <t>Determine if unauthorized and unintended information transfer via shared system resources is prevented.</t>
        </is>
      </c>
      <c r="K285" s="135" t="inlineStr">
        <is>
          <t>[No Comment Provided]</t>
        </is>
      </c>
      <c r="L285" s="565" t="inlineStr">
        <is>
          <t xml:space="preserve">Overall Status - Pending policy/procedure review meeting and observation of controls in place. 
Updates required to documentation
Test required for validating controls in place
Examine - Policy updates may be required based on interviews/walkthroughs. 
Interview  Controls are currently being implemented. - 
Test - Review testing measures in place. </t>
        </is>
      </c>
      <c r="M285" s="112" t="inlineStr">
        <is>
          <t>Implementation Begun</t>
        </is>
      </c>
      <c r="N285" s="136" t="n"/>
      <c r="O285" s="137">
        <f t="array" ref="O285">IF(M285&lt;&gt;"Fully Implemented",-1*H285,0)</f>
        <v/>
      </c>
      <c r="P285" s="619" t="n"/>
      <c r="T285" s="102">
        <f t="array" ref="T285">IF(O285=0,H285,0)</f>
        <v/>
      </c>
    </row>
    <row r="286" ht="45" customFormat="1" customHeight="1" s="81">
      <c r="A286" s="184" t="inlineStr">
        <is>
          <t>4</t>
        </is>
      </c>
      <c r="B286" s="185" t="inlineStr">
        <is>
          <t>4.12.0</t>
        </is>
      </c>
      <c r="C286" s="93" t="inlineStr">
        <is>
          <t>Outsource</t>
        </is>
      </c>
      <c r="D286" s="94" t="inlineStr">
        <is>
          <t>Audit and Accountability</t>
        </is>
      </c>
      <c r="E286" s="95" t="inlineStr">
        <is>
          <t>3.3.8</t>
        </is>
      </c>
      <c r="F286" s="95" t="inlineStr">
        <is>
          <t>03.03.08.0</t>
        </is>
      </c>
      <c r="G286" s="96" t="inlineStr">
        <is>
          <t>AU.L2-3.3.8</t>
        </is>
      </c>
      <c r="H286" s="97" t="n">
        <v>1</v>
      </c>
      <c r="I286" s="94" t="inlineStr">
        <is>
          <t>Protect audit information and audit logging tools from unauthorized access, modification, and deletion.</t>
        </is>
      </c>
      <c r="J286" s="96" t="inlineStr">
        <is>
          <t>Determine if:</t>
        </is>
      </c>
      <c r="K286" s="98" t="inlineStr">
        <is>
          <t>[No Comment Provided]</t>
        </is>
      </c>
      <c r="L286" s="565" t="inlineStr">
        <is>
          <t xml:space="preserve">Overall Status - Pending policy/procedure review meeting and observation of controls in place. 
Updates required to documentation
Test required for validating controls in place
Examine - Policy updates may be required based on interviews/walkthroughs. 
Interview  Controls are currently being implemented. - 
Test - Review testing measures in place. </t>
        </is>
      </c>
      <c r="M286" s="99" t="inlineStr">
        <is>
          <t>Implementation Begun</t>
        </is>
      </c>
      <c r="N286" s="100" t="n"/>
      <c r="O286" s="101">
        <f t="array" ref="O286">IF(AND(M287="Fully Implemented",M288="Fully Implemented",M289="Fully Implemented",M290="Fully Implemented",M291="Fully Implemented",M292="Fully Implemented"),0,-1*H286)</f>
        <v/>
      </c>
      <c r="P286" s="619" t="n"/>
      <c r="T286" s="102">
        <f t="array" ref="T286">IF(O286=0,H286,0)</f>
        <v/>
      </c>
    </row>
    <row r="287" ht="30" customFormat="1" customHeight="1" s="81">
      <c r="A287" s="187" t="inlineStr">
        <is>
          <t>4</t>
        </is>
      </c>
      <c r="B287" s="188" t="inlineStr">
        <is>
          <t>4.12.a</t>
        </is>
      </c>
      <c r="C287" s="105" t="inlineStr">
        <is>
          <t>Outsource</t>
        </is>
      </c>
      <c r="D287" s="106" t="inlineStr">
        <is>
          <t>Audit and Accountability</t>
        </is>
      </c>
      <c r="E287" s="107" t="inlineStr">
        <is>
          <t>3.3.8[a]</t>
        </is>
      </c>
      <c r="F287" s="107" t="inlineStr">
        <is>
          <t>03.03.08.a</t>
        </is>
      </c>
      <c r="G287" s="108" t="inlineStr">
        <is>
          <t>AU.L2-3.3.8</t>
        </is>
      </c>
      <c r="H287" s="189" t="n"/>
      <c r="I287" s="190" t="n"/>
      <c r="J287" s="108" t="inlineStr">
        <is>
          <t>audit information is protected from unauthorized access.</t>
        </is>
      </c>
      <c r="K287" s="191" t="n"/>
      <c r="M287" s="112" t="inlineStr">
        <is>
          <t>Implementation Begun</t>
        </is>
      </c>
      <c r="O287" s="192" t="n"/>
      <c r="P287" s="625" t="n"/>
    </row>
    <row r="288" ht="30" customFormat="1" customHeight="1" s="81">
      <c r="A288" s="187" t="inlineStr">
        <is>
          <t>4</t>
        </is>
      </c>
      <c r="B288" s="188" t="inlineStr">
        <is>
          <t>4.12.b</t>
        </is>
      </c>
      <c r="C288" s="105" t="inlineStr">
        <is>
          <t>Outsource</t>
        </is>
      </c>
      <c r="D288" s="106" t="inlineStr">
        <is>
          <t>Audit and Accountability</t>
        </is>
      </c>
      <c r="E288" s="107" t="inlineStr">
        <is>
          <t>3.3.8[b]</t>
        </is>
      </c>
      <c r="F288" s="107" t="inlineStr">
        <is>
          <t>03.03.08.b</t>
        </is>
      </c>
      <c r="G288" s="108" t="inlineStr">
        <is>
          <t>AU.L2-3.3.8</t>
        </is>
      </c>
      <c r="H288" s="189" t="n"/>
      <c r="I288" s="190" t="n"/>
      <c r="J288" s="108" t="inlineStr">
        <is>
          <t>audit information is protected from unauthorized modification.</t>
        </is>
      </c>
      <c r="K288" s="191" t="n"/>
      <c r="M288" s="112" t="inlineStr">
        <is>
          <t>Implementation Begun</t>
        </is>
      </c>
      <c r="O288" s="192" t="n"/>
      <c r="P288" s="625" t="n"/>
    </row>
    <row r="289" ht="30" customFormat="1" customHeight="1" s="81">
      <c r="A289" s="187" t="inlineStr">
        <is>
          <t>4</t>
        </is>
      </c>
      <c r="B289" s="188" t="inlineStr">
        <is>
          <t>4.12.c</t>
        </is>
      </c>
      <c r="C289" s="105" t="inlineStr">
        <is>
          <t>Outsource</t>
        </is>
      </c>
      <c r="D289" s="106" t="inlineStr">
        <is>
          <t>Audit and Accountability</t>
        </is>
      </c>
      <c r="E289" s="107" t="inlineStr">
        <is>
          <t>3.3.8[c]</t>
        </is>
      </c>
      <c r="F289" s="107" t="inlineStr">
        <is>
          <t>03.03.08.c</t>
        </is>
      </c>
      <c r="G289" s="108" t="inlineStr">
        <is>
          <t>AU.L2-3.3.8</t>
        </is>
      </c>
      <c r="H289" s="189" t="n"/>
      <c r="I289" s="190" t="n"/>
      <c r="J289" s="108" t="inlineStr">
        <is>
          <t>audit information is protected from unauthorized deletion.</t>
        </is>
      </c>
      <c r="K289" s="191" t="n"/>
      <c r="M289" s="112" t="inlineStr">
        <is>
          <t>Implementation Begun</t>
        </is>
      </c>
      <c r="O289" s="192" t="n"/>
      <c r="P289" s="625" t="n"/>
    </row>
    <row r="290" ht="30" customFormat="1" customHeight="1" s="81">
      <c r="A290" s="187" t="inlineStr">
        <is>
          <t>4</t>
        </is>
      </c>
      <c r="B290" s="188" t="inlineStr">
        <is>
          <t>4.12.d</t>
        </is>
      </c>
      <c r="C290" s="105" t="inlineStr">
        <is>
          <t>Outsource</t>
        </is>
      </c>
      <c r="D290" s="106" t="inlineStr">
        <is>
          <t>Audit and Accountability</t>
        </is>
      </c>
      <c r="E290" s="107" t="inlineStr">
        <is>
          <t>3.3.8[d]</t>
        </is>
      </c>
      <c r="F290" s="107" t="inlineStr">
        <is>
          <t>03.03.08.d</t>
        </is>
      </c>
      <c r="G290" s="108" t="inlineStr">
        <is>
          <t>AU.L2-3.3.8</t>
        </is>
      </c>
      <c r="H290" s="189" t="n"/>
      <c r="I290" s="190" t="n"/>
      <c r="J290" s="108" t="inlineStr">
        <is>
          <t>audit logging tools are protected from unauthorized access.</t>
        </is>
      </c>
      <c r="K290" s="191" t="n"/>
      <c r="M290" s="112" t="inlineStr">
        <is>
          <t>Implementation Begun</t>
        </is>
      </c>
      <c r="O290" s="192" t="n"/>
      <c r="P290" s="625" t="n"/>
    </row>
    <row r="291" ht="30" customFormat="1" customHeight="1" s="81">
      <c r="A291" s="187" t="inlineStr">
        <is>
          <t>4</t>
        </is>
      </c>
      <c r="B291" s="188" t="inlineStr">
        <is>
          <t>4.12.e</t>
        </is>
      </c>
      <c r="C291" s="105" t="inlineStr">
        <is>
          <t>Outsource</t>
        </is>
      </c>
      <c r="D291" s="106" t="inlineStr">
        <is>
          <t>Audit and Accountability</t>
        </is>
      </c>
      <c r="E291" s="107" t="inlineStr">
        <is>
          <t>3.3.8[e]</t>
        </is>
      </c>
      <c r="F291" s="107" t="inlineStr">
        <is>
          <t>03.03.08.e</t>
        </is>
      </c>
      <c r="G291" s="108" t="inlineStr">
        <is>
          <t>AU.L2-3.3.8</t>
        </is>
      </c>
      <c r="H291" s="189" t="n"/>
      <c r="I291" s="190" t="n"/>
      <c r="J291" s="108" t="inlineStr">
        <is>
          <t>audit logging tools are protected from unauthorized modification.</t>
        </is>
      </c>
      <c r="K291" s="191" t="n"/>
      <c r="M291" s="112" t="inlineStr">
        <is>
          <t>Implementation Begun</t>
        </is>
      </c>
      <c r="O291" s="192" t="n"/>
      <c r="P291" s="625" t="n"/>
    </row>
    <row r="292" ht="30.75" customFormat="1" customHeight="1" s="81">
      <c r="A292" s="193" t="inlineStr">
        <is>
          <t>4</t>
        </is>
      </c>
      <c r="B292" s="194" t="inlineStr">
        <is>
          <t>4.12.f</t>
        </is>
      </c>
      <c r="C292" s="116" t="inlineStr">
        <is>
          <t>Outsource</t>
        </is>
      </c>
      <c r="D292" s="117" t="inlineStr">
        <is>
          <t>Audit and Accountability</t>
        </is>
      </c>
      <c r="E292" s="118" t="inlineStr">
        <is>
          <t>3.3.8[f]</t>
        </is>
      </c>
      <c r="F292" s="118" t="inlineStr">
        <is>
          <t>03.03.08.f</t>
        </is>
      </c>
      <c r="G292" s="119" t="inlineStr">
        <is>
          <t>AU.L2-3.3.8</t>
        </is>
      </c>
      <c r="H292" s="195" t="n"/>
      <c r="I292" s="196" t="n"/>
      <c r="J292" s="119" t="inlineStr">
        <is>
          <t>audit logging tools are protected from unauthorized deletion.</t>
        </is>
      </c>
      <c r="K292" s="197" t="n"/>
      <c r="M292" s="112" t="inlineStr">
        <is>
          <t>Implementation Begun</t>
        </is>
      </c>
      <c r="N292" s="124" t="n"/>
      <c r="O292" s="198" t="n"/>
      <c r="P292" s="625" t="n"/>
    </row>
    <row r="293" ht="30" customFormat="1" customHeight="1" s="81">
      <c r="A293" s="184" t="inlineStr">
        <is>
          <t>4</t>
        </is>
      </c>
      <c r="B293" s="185" t="inlineStr">
        <is>
          <t>4.13.0</t>
        </is>
      </c>
      <c r="C293" s="93" t="inlineStr">
        <is>
          <t>DIY</t>
        </is>
      </c>
      <c r="D293" s="94" t="inlineStr">
        <is>
          <t>Audit and Accountability</t>
        </is>
      </c>
      <c r="E293" s="95" t="inlineStr">
        <is>
          <t>3.3.9</t>
        </is>
      </c>
      <c r="F293" s="95" t="inlineStr">
        <is>
          <t>03.03.09.0</t>
        </is>
      </c>
      <c r="G293" s="96" t="inlineStr">
        <is>
          <t>AU.L2-3.3.9</t>
        </is>
      </c>
      <c r="H293" s="97" t="n">
        <v>1</v>
      </c>
      <c r="I293" s="94" t="inlineStr">
        <is>
          <t>Limit management of audit logging functionality to a subset of privileged users.</t>
        </is>
      </c>
      <c r="J293" s="96" t="inlineStr">
        <is>
          <t>Determine if:</t>
        </is>
      </c>
      <c r="K293" s="98" t="inlineStr">
        <is>
          <t>[No Comment Provided]</t>
        </is>
      </c>
      <c r="L293" s="565" t="inlineStr">
        <is>
          <t xml:space="preserve">Overall Status - Pending policy/procedure review meeting and observation of controls in place. 
Updates required to documentation
Test required for validating controls in place
Examine - Policy updates may be required based on interviews/walkthroughs. 
Interview  Controls are currently being implemented. - 
Test - Review testing measures in place. </t>
        </is>
      </c>
      <c r="M293" s="99" t="inlineStr">
        <is>
          <t>Implementation Begun</t>
        </is>
      </c>
      <c r="N293" s="100" t="n"/>
      <c r="O293" s="101">
        <f t="array" ref="O293">IF(AND(M294="Fully Implemented",M295="Fully Implemented"),0,-1*H293)</f>
        <v/>
      </c>
      <c r="P293" s="619" t="n"/>
      <c r="T293" s="102">
        <f t="array" ref="T293">IF(O293=0,H293,0)</f>
        <v/>
      </c>
    </row>
    <row r="294" ht="30" customFormat="1" customHeight="1" s="81">
      <c r="A294" s="187" t="inlineStr">
        <is>
          <t>4</t>
        </is>
      </c>
      <c r="B294" s="188" t="inlineStr">
        <is>
          <t>4.13.a</t>
        </is>
      </c>
      <c r="C294" s="105" t="inlineStr">
        <is>
          <t>DIY</t>
        </is>
      </c>
      <c r="D294" s="106" t="inlineStr">
        <is>
          <t>Audit and Accountability</t>
        </is>
      </c>
      <c r="E294" s="107" t="inlineStr">
        <is>
          <t>3.3.9[a]</t>
        </is>
      </c>
      <c r="F294" s="107" t="inlineStr">
        <is>
          <t>03.03.09.a</t>
        </is>
      </c>
      <c r="G294" s="108" t="inlineStr">
        <is>
          <t>AU.L2-3.3.9</t>
        </is>
      </c>
      <c r="H294" s="189" t="n"/>
      <c r="I294" s="190" t="n"/>
      <c r="J294" s="108" t="inlineStr">
        <is>
          <t>a subset of privileged users granted access to manage audit logging functionality is defined.</t>
        </is>
      </c>
      <c r="K294" s="191" t="n"/>
      <c r="M294" s="112" t="inlineStr">
        <is>
          <t>Implementation Begun</t>
        </is>
      </c>
      <c r="O294" s="192" t="n"/>
      <c r="P294" s="625" t="n"/>
    </row>
    <row r="295" ht="30.75" customFormat="1" customHeight="1" s="81">
      <c r="A295" s="193" t="inlineStr">
        <is>
          <t>4</t>
        </is>
      </c>
      <c r="B295" s="194" t="inlineStr">
        <is>
          <t>4.13.b</t>
        </is>
      </c>
      <c r="C295" s="116" t="inlineStr">
        <is>
          <t>DIY</t>
        </is>
      </c>
      <c r="D295" s="117" t="inlineStr">
        <is>
          <t>Audit and Accountability</t>
        </is>
      </c>
      <c r="E295" s="118" t="inlineStr">
        <is>
          <t>3.3.9[b]</t>
        </is>
      </c>
      <c r="F295" s="118" t="inlineStr">
        <is>
          <t>03.03.09.b</t>
        </is>
      </c>
      <c r="G295" s="119" t="inlineStr">
        <is>
          <t>AU.L2-3.3.9</t>
        </is>
      </c>
      <c r="H295" s="195" t="n"/>
      <c r="I295" s="196" t="n"/>
      <c r="J295" s="119" t="inlineStr">
        <is>
          <t>management of audit logging functionality is limited to the defined subset of privileged users.</t>
        </is>
      </c>
      <c r="K295" s="197" t="n"/>
      <c r="M295" s="112" t="inlineStr">
        <is>
          <t>Implementation Begun</t>
        </is>
      </c>
      <c r="N295" s="124" t="n"/>
      <c r="O295" s="198" t="n"/>
      <c r="P295" s="625" t="n"/>
    </row>
    <row r="296" ht="75" customFormat="1" customHeight="1" s="81">
      <c r="A296" s="184" t="inlineStr">
        <is>
          <t>4</t>
        </is>
      </c>
      <c r="B296" s="185" t="inlineStr">
        <is>
          <t>4.14.0</t>
        </is>
      </c>
      <c r="C296" s="93" t="inlineStr">
        <is>
          <t>Outsource</t>
        </is>
      </c>
      <c r="D296" s="94" t="inlineStr">
        <is>
          <t>Configuration Management</t>
        </is>
      </c>
      <c r="E296" s="95" t="inlineStr">
        <is>
          <t>3.4.1</t>
        </is>
      </c>
      <c r="F296" s="95" t="inlineStr">
        <is>
          <t>03.04.01.0</t>
        </is>
      </c>
      <c r="G296" s="96" t="inlineStr">
        <is>
          <t>CM.L2-3.4.1</t>
        </is>
      </c>
      <c r="H296" s="97" t="n">
        <v>5</v>
      </c>
      <c r="I296" s="94" t="inlineStr">
        <is>
          <t>Establish and maintain baseline configurations and inventories of organizational systems (including hardware, software, firmware, and documentation) throughout the respective system development life cycles.</t>
        </is>
      </c>
      <c r="J296" s="96" t="inlineStr">
        <is>
          <t>Determine if:</t>
        </is>
      </c>
      <c r="K296" s="98" t="inlineStr">
        <is>
          <t>[No Comment Provided]</t>
        </is>
      </c>
      <c r="L296" s="565" t="inlineStr">
        <is>
          <t xml:space="preserve">Overall Status - Pending policy/procedure review meeting and observation of controls in place. 
Updates required to documentation
Test required for validating controls in place
Examine - Policy updates may be required based on interviews/walkthroughs. 
Interview  Controls are currently being implemented. - 
Test - Review testing measures in place. </t>
        </is>
      </c>
      <c r="M296" s="99" t="inlineStr">
        <is>
          <t>Implementation Begun</t>
        </is>
      </c>
      <c r="N296" s="100" t="n"/>
      <c r="O296" s="101">
        <f t="array" ref="O296">IF(AND(M297="Fully Implemented",M298="Fully Implemented",M299="Fully Implemented",M300="Fully Implemented",M301="Fully Implemented",M302="Fully Implemented"),0,-1*H296)</f>
        <v/>
      </c>
      <c r="P296" s="619" t="n"/>
      <c r="T296" s="102">
        <f t="array" ref="T296">IF(O296=0,H296,0)</f>
        <v/>
      </c>
    </row>
    <row r="297" ht="13.5" customFormat="1" customHeight="1" s="81">
      <c r="A297" s="187" t="inlineStr">
        <is>
          <t>4</t>
        </is>
      </c>
      <c r="B297" s="188" t="inlineStr">
        <is>
          <t>4.14.a</t>
        </is>
      </c>
      <c r="C297" s="105" t="inlineStr">
        <is>
          <t>Outsource</t>
        </is>
      </c>
      <c r="D297" s="106" t="inlineStr">
        <is>
          <t>Configuration Management</t>
        </is>
      </c>
      <c r="E297" s="107" t="inlineStr">
        <is>
          <t>3.4.1[a]</t>
        </is>
      </c>
      <c r="F297" s="107" t="inlineStr">
        <is>
          <t>03.04.01.a</t>
        </is>
      </c>
      <c r="G297" s="108" t="inlineStr">
        <is>
          <t>CM.L2-3.4.1</t>
        </is>
      </c>
      <c r="H297" s="189" t="n"/>
      <c r="I297" s="190" t="n"/>
      <c r="J297" s="108" t="inlineStr">
        <is>
          <t xml:space="preserve">a baseline configuration is established.  </t>
        </is>
      </c>
      <c r="K297" s="191" t="n"/>
      <c r="M297" s="112" t="inlineStr">
        <is>
          <t>Implementation Begun</t>
        </is>
      </c>
      <c r="O297" s="192" t="n"/>
      <c r="P297" s="625" t="n"/>
    </row>
    <row r="298" ht="30" customFormat="1" customHeight="1" s="81">
      <c r="A298" s="187" t="inlineStr">
        <is>
          <t>4</t>
        </is>
      </c>
      <c r="B298" s="188" t="inlineStr">
        <is>
          <t>4.14.b</t>
        </is>
      </c>
      <c r="C298" s="105" t="inlineStr">
        <is>
          <t>Outsource</t>
        </is>
      </c>
      <c r="D298" s="106" t="inlineStr">
        <is>
          <t>Configuration Management</t>
        </is>
      </c>
      <c r="E298" s="107" t="inlineStr">
        <is>
          <t>3.4.1[b]</t>
        </is>
      </c>
      <c r="F298" s="107" t="inlineStr">
        <is>
          <t>03.04.01.b</t>
        </is>
      </c>
      <c r="G298" s="108" t="inlineStr">
        <is>
          <t>CM.L2-3.4.1</t>
        </is>
      </c>
      <c r="H298" s="189" t="n"/>
      <c r="I298" s="190" t="n"/>
      <c r="J298" s="108" t="inlineStr">
        <is>
          <t>the baseline configuration includes hardware, software, firmware, and documentation.</t>
        </is>
      </c>
      <c r="K298" s="191" t="n"/>
      <c r="M298" s="112" t="inlineStr">
        <is>
          <t>Implementation Begun</t>
        </is>
      </c>
      <c r="O298" s="192" t="n"/>
      <c r="P298" s="625" t="n"/>
    </row>
    <row r="299" ht="45" customFormat="1" customHeight="1" s="81">
      <c r="A299" s="187" t="inlineStr">
        <is>
          <t>4</t>
        </is>
      </c>
      <c r="B299" s="188" t="inlineStr">
        <is>
          <t>4.14.c</t>
        </is>
      </c>
      <c r="C299" s="105" t="inlineStr">
        <is>
          <t>Outsource</t>
        </is>
      </c>
      <c r="D299" s="106" t="inlineStr">
        <is>
          <t>Configuration Management</t>
        </is>
      </c>
      <c r="E299" s="107" t="inlineStr">
        <is>
          <t>3.4.1[c]</t>
        </is>
      </c>
      <c r="F299" s="107" t="inlineStr">
        <is>
          <t>03.04.01.c</t>
        </is>
      </c>
      <c r="G299" s="108" t="inlineStr">
        <is>
          <t>CM.L2-3.4.1</t>
        </is>
      </c>
      <c r="H299" s="189" t="n"/>
      <c r="I299" s="190" t="n"/>
      <c r="J299" s="108" t="inlineStr">
        <is>
          <t>the baseline configuration is maintained (reviewed and updated) throughout the system development life cycle.</t>
        </is>
      </c>
      <c r="K299" s="191" t="n"/>
      <c r="M299" s="112" t="inlineStr">
        <is>
          <t>Implementation Begun</t>
        </is>
      </c>
      <c r="O299" s="192" t="n"/>
      <c r="P299" s="625" t="n"/>
    </row>
    <row r="300" ht="13.5" customFormat="1" customHeight="1" s="81">
      <c r="A300" s="187" t="inlineStr">
        <is>
          <t>4</t>
        </is>
      </c>
      <c r="B300" s="188" t="inlineStr">
        <is>
          <t>4.14.d</t>
        </is>
      </c>
      <c r="C300" s="105" t="inlineStr">
        <is>
          <t>Outsource</t>
        </is>
      </c>
      <c r="D300" s="106" t="inlineStr">
        <is>
          <t>Configuration Management</t>
        </is>
      </c>
      <c r="E300" s="107" t="inlineStr">
        <is>
          <t>3.4.1[d]</t>
        </is>
      </c>
      <c r="F300" s="107" t="inlineStr">
        <is>
          <t>03.04.01.d</t>
        </is>
      </c>
      <c r="G300" s="108" t="inlineStr">
        <is>
          <t>CM.L2-3.4.1</t>
        </is>
      </c>
      <c r="H300" s="189" t="n"/>
      <c r="I300" s="190" t="n"/>
      <c r="J300" s="108" t="inlineStr">
        <is>
          <t xml:space="preserve">a system inventory is established.  </t>
        </is>
      </c>
      <c r="K300" s="191" t="n"/>
      <c r="M300" s="112" t="inlineStr">
        <is>
          <t>Implementation Begun</t>
        </is>
      </c>
      <c r="O300" s="192" t="n"/>
      <c r="P300" s="625" t="n"/>
    </row>
    <row r="301" ht="30" customFormat="1" customHeight="1" s="81">
      <c r="A301" s="187" t="inlineStr">
        <is>
          <t>4</t>
        </is>
      </c>
      <c r="B301" s="188" t="inlineStr">
        <is>
          <t>4.14.e</t>
        </is>
      </c>
      <c r="C301" s="105" t="inlineStr">
        <is>
          <t>Outsource</t>
        </is>
      </c>
      <c r="D301" s="106" t="inlineStr">
        <is>
          <t>Configuration Management</t>
        </is>
      </c>
      <c r="E301" s="107" t="inlineStr">
        <is>
          <t>3.4.1[e]</t>
        </is>
      </c>
      <c r="F301" s="107" t="inlineStr">
        <is>
          <t>03.04.01.e</t>
        </is>
      </c>
      <c r="G301" s="108" t="inlineStr">
        <is>
          <t>CM.L2-3.4.1</t>
        </is>
      </c>
      <c r="H301" s="189" t="n"/>
      <c r="I301" s="190" t="n"/>
      <c r="J301" s="108" t="inlineStr">
        <is>
          <t>the system inventory includes hardware, software, firmware, and documentation.</t>
        </is>
      </c>
      <c r="K301" s="191" t="n"/>
      <c r="M301" s="112" t="inlineStr">
        <is>
          <t>Implementation Begun</t>
        </is>
      </c>
      <c r="O301" s="192" t="n"/>
      <c r="P301" s="625" t="n"/>
    </row>
    <row r="302" ht="30.75" customFormat="1" customHeight="1" s="81">
      <c r="A302" s="193" t="inlineStr">
        <is>
          <t>4</t>
        </is>
      </c>
      <c r="B302" s="194" t="inlineStr">
        <is>
          <t>4.14.f</t>
        </is>
      </c>
      <c r="C302" s="116" t="inlineStr">
        <is>
          <t>Outsource</t>
        </is>
      </c>
      <c r="D302" s="117" t="inlineStr">
        <is>
          <t>Configuration Management</t>
        </is>
      </c>
      <c r="E302" s="118" t="inlineStr">
        <is>
          <t>3.4.1[f]</t>
        </is>
      </c>
      <c r="F302" s="118" t="inlineStr">
        <is>
          <t>03.04.01.f</t>
        </is>
      </c>
      <c r="G302" s="119" t="inlineStr">
        <is>
          <t>CM.L2-3.4.1</t>
        </is>
      </c>
      <c r="H302" s="195" t="n"/>
      <c r="I302" s="196" t="n"/>
      <c r="J302" s="119" t="inlineStr">
        <is>
          <t>the inventory is maintained (reviewed and updated) throughout the system development life cycle.</t>
        </is>
      </c>
      <c r="K302" s="197" t="n"/>
      <c r="M302" s="112" t="inlineStr">
        <is>
          <t>Implementation Begun</t>
        </is>
      </c>
      <c r="N302" s="124" t="n"/>
      <c r="O302" s="198" t="n"/>
      <c r="P302" s="625" t="n"/>
    </row>
    <row r="303" ht="45" customFormat="1" customHeight="1" s="81">
      <c r="A303" s="184" t="inlineStr">
        <is>
          <t>4</t>
        </is>
      </c>
      <c r="B303" s="185" t="inlineStr">
        <is>
          <t>4.15.0</t>
        </is>
      </c>
      <c r="C303" s="93" t="inlineStr">
        <is>
          <t>Outsource</t>
        </is>
      </c>
      <c r="D303" s="94" t="inlineStr">
        <is>
          <t>Configuration Management</t>
        </is>
      </c>
      <c r="E303" s="95" t="inlineStr">
        <is>
          <t>3.4.2</t>
        </is>
      </c>
      <c r="F303" s="95" t="inlineStr">
        <is>
          <t>03.04.02.0</t>
        </is>
      </c>
      <c r="G303" s="96" t="inlineStr">
        <is>
          <t>CM.L2-3.4.2</t>
        </is>
      </c>
      <c r="H303" s="97" t="n">
        <v>5</v>
      </c>
      <c r="I303" s="94" t="inlineStr">
        <is>
          <t>Establish and enforce security configuration settings for information technology products employed in organizational systems.</t>
        </is>
      </c>
      <c r="J303" s="96" t="inlineStr">
        <is>
          <t>Determine if:</t>
        </is>
      </c>
      <c r="K303" s="98" t="inlineStr">
        <is>
          <t>[No Comment Provided]</t>
        </is>
      </c>
      <c r="L303" s="565" t="inlineStr">
        <is>
          <t xml:space="preserve">Overall Status - Pending policy/procedure review meeting and observation of controls in place. 
Updates required to documentation
Test required for validating controls in place
Examine - Policy updates may be required based on interviews/walkthroughs. 
Interview  Controls are currently being implemented. - 
Test - Review testing measures in place. </t>
        </is>
      </c>
      <c r="M303" s="99" t="inlineStr">
        <is>
          <t>Implementation Begun</t>
        </is>
      </c>
      <c r="N303" s="100" t="n"/>
      <c r="O303" s="101">
        <f t="array" ref="O303">IF(AND(M304="Fully Implemented",M305="Fully Implemented"),0,-1*H303)</f>
        <v/>
      </c>
      <c r="P303" s="619" t="n"/>
      <c r="T303" s="102">
        <f t="array" ref="T303">IF(O303=0,H303,0)</f>
        <v/>
      </c>
    </row>
    <row r="304" ht="60" customFormat="1" customHeight="1" s="81">
      <c r="A304" s="187" t="inlineStr">
        <is>
          <t>4</t>
        </is>
      </c>
      <c r="B304" s="188" t="inlineStr">
        <is>
          <t>4.15.a</t>
        </is>
      </c>
      <c r="C304" s="105" t="inlineStr">
        <is>
          <t>Outsource</t>
        </is>
      </c>
      <c r="D304" s="106" t="inlineStr">
        <is>
          <t>Configuration Management</t>
        </is>
      </c>
      <c r="E304" s="107" t="inlineStr">
        <is>
          <t>3.4.2[a]</t>
        </is>
      </c>
      <c r="F304" s="107" t="inlineStr">
        <is>
          <t>03.04.02.a</t>
        </is>
      </c>
      <c r="G304" s="108" t="inlineStr">
        <is>
          <t>CM.L2-3.4.2</t>
        </is>
      </c>
      <c r="H304" s="189" t="n"/>
      <c r="I304" s="190" t="n"/>
      <c r="J304" s="108" t="inlineStr">
        <is>
          <t>security configuration settings for information technology products employed in the system are established and included in the baseline configuration.</t>
        </is>
      </c>
      <c r="K304" s="191" t="n"/>
      <c r="M304" s="112" t="inlineStr">
        <is>
          <t>Implementation Begun</t>
        </is>
      </c>
      <c r="O304" s="192" t="n"/>
      <c r="P304" s="625" t="n"/>
    </row>
    <row r="305" ht="45.75" customFormat="1" customHeight="1" s="81">
      <c r="A305" s="193" t="inlineStr">
        <is>
          <t>4</t>
        </is>
      </c>
      <c r="B305" s="194" t="inlineStr">
        <is>
          <t>4.15.b</t>
        </is>
      </c>
      <c r="C305" s="116" t="inlineStr">
        <is>
          <t>Outsource</t>
        </is>
      </c>
      <c r="D305" s="117" t="inlineStr">
        <is>
          <t>Configuration Management</t>
        </is>
      </c>
      <c r="E305" s="118" t="inlineStr">
        <is>
          <t>3.4.2[b]</t>
        </is>
      </c>
      <c r="F305" s="118" t="inlineStr">
        <is>
          <t>03.04.02.b</t>
        </is>
      </c>
      <c r="G305" s="119" t="inlineStr">
        <is>
          <t>CM.L2-3.4.2</t>
        </is>
      </c>
      <c r="H305" s="195" t="n"/>
      <c r="I305" s="196" t="n"/>
      <c r="J305" s="119" t="inlineStr">
        <is>
          <t>security configuration settings for information technology products employed in the system are enforced.</t>
        </is>
      </c>
      <c r="K305" s="197" t="n"/>
      <c r="M305" s="112" t="inlineStr">
        <is>
          <t>Implementation Begun</t>
        </is>
      </c>
      <c r="N305" s="124" t="n"/>
      <c r="O305" s="198" t="n"/>
      <c r="P305" s="625" t="n"/>
    </row>
    <row r="306" ht="30.75" customFormat="1" customHeight="1" s="81">
      <c r="A306" s="199" t="inlineStr">
        <is>
          <t>4</t>
        </is>
      </c>
      <c r="B306" s="200" t="inlineStr">
        <is>
          <t>4.16.0</t>
        </is>
      </c>
      <c r="C306" s="130" t="inlineStr">
        <is>
          <t>DIY</t>
        </is>
      </c>
      <c r="D306" s="131" t="inlineStr">
        <is>
          <t>Identification and Authentication</t>
        </is>
      </c>
      <c r="E306" s="132" t="inlineStr">
        <is>
          <t>3.5.11</t>
        </is>
      </c>
      <c r="F306" s="132" t="inlineStr">
        <is>
          <t>03.05.11.0</t>
        </is>
      </c>
      <c r="G306" s="133" t="inlineStr">
        <is>
          <t>IA.L2-3.5.11</t>
        </is>
      </c>
      <c r="H306" s="134" t="n">
        <v>1</v>
      </c>
      <c r="I306" s="131" t="inlineStr">
        <is>
          <t>Obscure feedback of authentication information.</t>
        </is>
      </c>
      <c r="J306" s="133" t="inlineStr">
        <is>
          <t>Determine if authentication information is obscured during the authentication process.</t>
        </is>
      </c>
      <c r="K306" s="135" t="inlineStr">
        <is>
          <t>[No Comment Provided]</t>
        </is>
      </c>
      <c r="L306" s="565" t="inlineStr">
        <is>
          <t xml:space="preserve">Overall Status - Pending policy/procedure review meeting and observation of controls in place. 
Updates required to documentation
Test required for validating controls in place
Examine - Policy updates may be required based on interviews/walkthroughs. 
Interview  Controls are currently being implemented. - 
Test - Review testing measures in place. </t>
        </is>
      </c>
      <c r="M306" s="112" t="inlineStr">
        <is>
          <t>Implementation Begun</t>
        </is>
      </c>
      <c r="N306" s="136" t="n"/>
      <c r="O306" s="137">
        <f t="array" ref="O306">IF(M306&lt;&gt;"Fully Implemented",-1*H306,0)</f>
        <v/>
      </c>
      <c r="P306" s="619" t="n"/>
      <c r="T306" s="102">
        <f t="array" ref="T306">IF(O306=0,H306,0)</f>
        <v/>
      </c>
    </row>
    <row r="307" ht="30" customFormat="1" customHeight="1" s="81">
      <c r="A307" s="184" t="inlineStr">
        <is>
          <t>4</t>
        </is>
      </c>
      <c r="B307" s="185" t="inlineStr">
        <is>
          <t>4.17.a</t>
        </is>
      </c>
      <c r="C307" s="93" t="inlineStr">
        <is>
          <t>DIY</t>
        </is>
      </c>
      <c r="D307" s="94" t="inlineStr">
        <is>
          <t>Access Control</t>
        </is>
      </c>
      <c r="E307" s="95" t="inlineStr">
        <is>
          <t>3.1.21[a]</t>
        </is>
      </c>
      <c r="F307" s="95" t="inlineStr">
        <is>
          <t>03.01.21.a</t>
        </is>
      </c>
      <c r="G307" s="96" t="inlineStr">
        <is>
          <t>AC.L2-3.1.21</t>
        </is>
      </c>
      <c r="H307" s="596" t="n"/>
      <c r="I307" s="600" t="n"/>
      <c r="J307" s="96" t="inlineStr">
        <is>
          <t>use of organizational portable storage devices containing CUI on external systems is identified and documented.</t>
        </is>
      </c>
      <c r="K307" s="186" t="n"/>
      <c r="L307" s="565" t="n"/>
      <c r="M307" s="605" t="inlineStr">
        <is>
          <t>Implementation Begun</t>
        </is>
      </c>
      <c r="N307" s="606" t="n"/>
      <c r="O307" s="617" t="n"/>
      <c r="P307" s="625" t="n"/>
    </row>
    <row r="308" ht="45" customFormat="1" customHeight="1" s="81">
      <c r="A308" s="187" t="inlineStr">
        <is>
          <t>4</t>
        </is>
      </c>
      <c r="B308" s="188" t="inlineStr">
        <is>
          <t>4.17.b</t>
        </is>
      </c>
      <c r="C308" s="105" t="inlineStr">
        <is>
          <t>DIY</t>
        </is>
      </c>
      <c r="D308" s="106" t="inlineStr">
        <is>
          <t>Access Control</t>
        </is>
      </c>
      <c r="E308" s="107" t="inlineStr">
        <is>
          <t>3.1.21[b]</t>
        </is>
      </c>
      <c r="F308" s="107" t="inlineStr">
        <is>
          <t>03.01.21.b</t>
        </is>
      </c>
      <c r="G308" s="108" t="inlineStr">
        <is>
          <t>AC.L2-3.1.21</t>
        </is>
      </c>
      <c r="H308" s="189" t="n"/>
      <c r="I308" s="190" t="n"/>
      <c r="J308" s="108" t="inlineStr">
        <is>
          <t>limits on the use of organizational portable storage devices containing CUI on external systems are defined.</t>
        </is>
      </c>
      <c r="K308" s="191" t="n"/>
      <c r="L308" s="565" t="n"/>
      <c r="M308" s="112" t="inlineStr">
        <is>
          <t>Implementation Begun</t>
        </is>
      </c>
      <c r="O308" s="192" t="n"/>
      <c r="P308" s="625" t="n"/>
    </row>
    <row r="309" ht="45" customFormat="1" customHeight="1" s="81">
      <c r="A309" s="187" t="inlineStr">
        <is>
          <t>4</t>
        </is>
      </c>
      <c r="B309" s="188" t="inlineStr">
        <is>
          <t>4.17.c</t>
        </is>
      </c>
      <c r="C309" s="105" t="inlineStr">
        <is>
          <t>DIY</t>
        </is>
      </c>
      <c r="D309" s="106" t="inlineStr">
        <is>
          <t>Access Control</t>
        </is>
      </c>
      <c r="E309" s="107" t="inlineStr">
        <is>
          <t>3.1.21[c]</t>
        </is>
      </c>
      <c r="F309" s="107" t="inlineStr">
        <is>
          <t>03.01.21.c</t>
        </is>
      </c>
      <c r="G309" s="108" t="inlineStr">
        <is>
          <t>AC.L2-3.1.21</t>
        </is>
      </c>
      <c r="H309" s="189" t="n"/>
      <c r="I309" s="190" t="n"/>
      <c r="J309" s="108" t="inlineStr">
        <is>
          <t>use of organizational portable storage devices containing CUI on external systems is limited as defined.</t>
        </is>
      </c>
      <c r="K309" s="191" t="n"/>
      <c r="L309" s="565" t="n"/>
      <c r="M309" s="112" t="inlineStr">
        <is>
          <t>Implementation Begun</t>
        </is>
      </c>
      <c r="N309" s="607" t="n"/>
      <c r="O309" s="192" t="n"/>
      <c r="P309" s="625" t="n"/>
    </row>
    <row r="310" ht="45.75" customFormat="1" customHeight="1" s="81">
      <c r="A310" s="209" t="inlineStr">
        <is>
          <t>5</t>
        </is>
      </c>
      <c r="B310" s="210" t="inlineStr">
        <is>
          <t>5.13.0</t>
        </is>
      </c>
      <c r="C310" s="116" t="inlineStr">
        <is>
          <t>Hybrid</t>
        </is>
      </c>
      <c r="D310" s="117" t="inlineStr">
        <is>
          <t>Access Control</t>
        </is>
      </c>
      <c r="E310" s="118" t="inlineStr">
        <is>
          <t>3.1.3</t>
        </is>
      </c>
      <c r="F310" s="118" t="inlineStr">
        <is>
          <t>03.01.03.0</t>
        </is>
      </c>
      <c r="G310" s="119" t="inlineStr">
        <is>
          <t>AC.L2-3.1.3</t>
        </is>
      </c>
      <c r="H310" s="594" t="n">
        <v>1</v>
      </c>
      <c r="I310" s="117" t="inlineStr">
        <is>
          <t>Control the flow of CUI in accordance with approved authorizations.</t>
        </is>
      </c>
      <c r="J310" s="119" t="inlineStr">
        <is>
          <t>Determine if:</t>
        </is>
      </c>
      <c r="K310" s="603" t="inlineStr">
        <is>
          <t>[No Comment Provided]</t>
        </is>
      </c>
      <c r="L310" s="565" t="inlineStr">
        <is>
          <t>CUI flow is controlled at multiple layers. Microsoft Purview sensitivity labels and DLP policies in M365 GCCH prevent unauthorized CUI transmission. Cloudflare Gateway HTTP policies inspect and block outbound traffic to non-approved destinations on all managed endpoints. Azure GCCH NSGs enforce network-level flow controls between resource groups. Cloudflare CASB identifies unsanctioned SaaS usage that could expose CUI.</t>
        </is>
      </c>
      <c r="M310" s="111" t="inlineStr">
        <is>
          <t>Implementation Begun</t>
        </is>
      </c>
      <c r="N310" s="611" t="n"/>
      <c r="O310" s="615">
        <f t="array" ref="O310">IF(AND(M311="Fully Implemented",M312="Fully Implemented",M313="Fully Implemented",M314="Fully Implemented",M315="Fully Implemented"),0,-1*H310)</f>
        <v/>
      </c>
      <c r="P310" s="619" t="n"/>
      <c r="T310" s="102">
        <f t="array" ref="T310">IF(O310=0,H310,0)</f>
        <v/>
      </c>
    </row>
    <row r="311" ht="30.75" customFormat="1" customHeight="1" s="81">
      <c r="A311" s="199" t="inlineStr">
        <is>
          <t>4</t>
        </is>
      </c>
      <c r="B311" s="200" t="inlineStr">
        <is>
          <t>4.18.0</t>
        </is>
      </c>
      <c r="C311" s="130" t="inlineStr">
        <is>
          <t>DIY</t>
        </is>
      </c>
      <c r="D311" s="131" t="inlineStr">
        <is>
          <t>Media Protection</t>
        </is>
      </c>
      <c r="E311" s="132" t="inlineStr">
        <is>
          <t>3.8.7</t>
        </is>
      </c>
      <c r="F311" s="132" t="inlineStr">
        <is>
          <t>03.08.07.0</t>
        </is>
      </c>
      <c r="G311" s="133" t="inlineStr">
        <is>
          <t>MP.L2-3.8.7</t>
        </is>
      </c>
      <c r="H311" s="134" t="n">
        <v>5</v>
      </c>
      <c r="I311" s="131" t="inlineStr">
        <is>
          <t>Control the use of removable media on system components.</t>
        </is>
      </c>
      <c r="J311" s="133" t="inlineStr">
        <is>
          <t>Determine if the use of removable media on system components containing CUI is controlled.</t>
        </is>
      </c>
      <c r="K311" s="135" t="inlineStr">
        <is>
          <t>[No Comment Provided]</t>
        </is>
      </c>
      <c r="L311" s="565" t="inlineStr">
        <is>
          <t xml:space="preserve">Overall Status - Pending policy/procedure review meeting and observation of controls in place. 
Updates required to documentation
Test required for validating controls in place
Examine - Policy updates may be required based on interviews/walkthroughs. 
Interview  Controls are currently being implemented. - 
Test - Review testing measures in place. </t>
        </is>
      </c>
      <c r="M311" s="112" t="inlineStr">
        <is>
          <t>Implementation Begun</t>
        </is>
      </c>
      <c r="N311" s="136" t="n"/>
      <c r="O311" s="137">
        <f t="array" ref="O311">IF(M311&lt;&gt;"Fully Implemented",-1*H311,0)</f>
        <v/>
      </c>
      <c r="P311" s="619" t="n"/>
      <c r="T311" s="102">
        <f t="array" ref="T311">IF(O311=0,H311,0)</f>
        <v/>
      </c>
    </row>
    <row r="312" ht="45.75" customFormat="1" customHeight="1" s="81">
      <c r="A312" s="199" t="inlineStr">
        <is>
          <t>4</t>
        </is>
      </c>
      <c r="B312" s="200" t="inlineStr">
        <is>
          <t>4.19.0</t>
        </is>
      </c>
      <c r="C312" s="130" t="inlineStr">
        <is>
          <t>DIY</t>
        </is>
      </c>
      <c r="D312" s="131" t="inlineStr">
        <is>
          <t>Media Protection</t>
        </is>
      </c>
      <c r="E312" s="132" t="inlineStr">
        <is>
          <t>3.8.8</t>
        </is>
      </c>
      <c r="F312" s="132" t="inlineStr">
        <is>
          <t>03.08.08.0</t>
        </is>
      </c>
      <c r="G312" s="133" t="inlineStr">
        <is>
          <t>MP.L2-3.8.8</t>
        </is>
      </c>
      <c r="H312" s="134" t="n">
        <v>3</v>
      </c>
      <c r="I312" s="131" t="inlineStr">
        <is>
          <t>Prohibit the use of portable storage devices when such devices have no identifiable owner.</t>
        </is>
      </c>
      <c r="J312" s="133" t="inlineStr">
        <is>
          <t>Determine if the use of portable storage devices is prohibited when such devices have no identifiable owner.</t>
        </is>
      </c>
      <c r="K312" s="135" t="inlineStr">
        <is>
          <t>[No Comment Provided]</t>
        </is>
      </c>
      <c r="L312" s="565" t="inlineStr">
        <is>
          <t xml:space="preserve">Overall Status - Pending policy/procedure review meeting and observation of controls in place. 
Updates required to documentation
Test required for validating controls in place
Examine - Policy updates may be required based on interviews/walkthroughs. 
Interview  Controls are currently being implemented. - 
Test - Review testing measures in place. </t>
        </is>
      </c>
      <c r="M312" s="112" t="inlineStr">
        <is>
          <t>Implementation Begun</t>
        </is>
      </c>
      <c r="N312" s="136" t="n"/>
      <c r="O312" s="137">
        <f t="array" ref="O312">IF(M312&lt;&gt;"Fully Implemented",-1*H312,0)</f>
        <v/>
      </c>
      <c r="P312" s="619" t="n"/>
      <c r="T312" s="102">
        <f t="array" ref="T312">IF(O312=0,H312,0)</f>
        <v/>
      </c>
    </row>
    <row r="313" ht="60.75" customFormat="1" customHeight="1" s="81">
      <c r="A313" s="199" t="inlineStr">
        <is>
          <t>4</t>
        </is>
      </c>
      <c r="B313" s="200" t="inlineStr">
        <is>
          <t>4.2.0</t>
        </is>
      </c>
      <c r="C313" s="130" t="inlineStr">
        <is>
          <t>DIY</t>
        </is>
      </c>
      <c r="D313" s="131" t="inlineStr">
        <is>
          <t>Maintenance</t>
        </is>
      </c>
      <c r="E313" s="132" t="inlineStr">
        <is>
          <t>3.7.4</t>
        </is>
      </c>
      <c r="F313" s="132" t="inlineStr">
        <is>
          <t>03.07.04.0</t>
        </is>
      </c>
      <c r="G313" s="133" t="inlineStr">
        <is>
          <t>MA.L2-3.7.4</t>
        </is>
      </c>
      <c r="H313" s="134" t="n">
        <v>3</v>
      </c>
      <c r="I313" s="131" t="inlineStr">
        <is>
          <t>Check media containing diagnostic and test programs for malicious code before the media are used in organizational systems</t>
        </is>
      </c>
      <c r="J313" s="133" t="inlineStr">
        <is>
          <t>Determine if media containing diagnostic and test programs are checked for malicious code before being used in organizational systems that process, store, or transmit CUI.</t>
        </is>
      </c>
      <c r="K313" s="135" t="inlineStr">
        <is>
          <t>[No Comment Provided]</t>
        </is>
      </c>
      <c r="L313" s="565" t="inlineStr">
        <is>
          <t xml:space="preserve">Overall Status - Pending policy/procedure review meeting and observation of controls in place. 
Updates required to documentation
Test required for validating controls in place
Examine - Policy updates may be required based on interviews/walkthroughs. 
Interview  Controls are currently being implemented. - 
Test - Review testing measures in place. </t>
        </is>
      </c>
      <c r="M313" s="112" t="inlineStr">
        <is>
          <t>Implementation Begun</t>
        </is>
      </c>
      <c r="N313" s="136" t="n"/>
      <c r="O313" s="137">
        <f t="array" ref="O313">IF(M313&lt;&gt;"Fully Implemented",-1*H313,0)</f>
        <v/>
      </c>
      <c r="P313" s="619" t="n"/>
      <c r="T313" s="102">
        <f t="array" ref="T313">IF(O313=0,H313,0)</f>
        <v/>
      </c>
    </row>
    <row r="314" ht="25.5" customFormat="1" customHeight="1" s="81">
      <c r="A314" s="199" t="inlineStr">
        <is>
          <t>4</t>
        </is>
      </c>
      <c r="B314" s="200" t="inlineStr">
        <is>
          <t>4.21.0</t>
        </is>
      </c>
      <c r="C314" s="130" t="inlineStr">
        <is>
          <t>Outsource</t>
        </is>
      </c>
      <c r="D314" s="131" t="inlineStr">
        <is>
          <t>Media Protection</t>
        </is>
      </c>
      <c r="E314" s="132" t="inlineStr">
        <is>
          <t>3.8.2</t>
        </is>
      </c>
      <c r="F314" s="132" t="inlineStr">
        <is>
          <t>03.08.02.0</t>
        </is>
      </c>
      <c r="G314" s="133" t="inlineStr">
        <is>
          <t>MP.L2-3.8.2</t>
        </is>
      </c>
      <c r="H314" s="134" t="n">
        <v>3</v>
      </c>
      <c r="I314" s="131" t="inlineStr">
        <is>
          <t>Limit access to CUI on system media to authorized users.</t>
        </is>
      </c>
      <c r="J314" s="133" t="inlineStr">
        <is>
          <t>Determine if access to CUI on system media is limited to authorized users.</t>
        </is>
      </c>
      <c r="K314" s="163" t="inlineStr">
        <is>
          <t>Exposure limited to CUI on media</t>
        </is>
      </c>
      <c r="M314" s="112" t="inlineStr">
        <is>
          <t>Implementation Begun</t>
        </is>
      </c>
      <c r="N314" s="136" t="n"/>
      <c r="O314" s="137">
        <f t="array" ref="O314">IF(M314&lt;&gt;"Fully Implemented",-1*H314,0)</f>
        <v/>
      </c>
      <c r="P314" s="619" t="n"/>
      <c r="T314" s="102">
        <f t="array" ref="T314">IF(O314=0,H314,0)</f>
        <v/>
      </c>
    </row>
    <row r="315" ht="30" customFormat="1" customHeight="1" s="81">
      <c r="A315" s="201" t="inlineStr">
        <is>
          <t>5</t>
        </is>
      </c>
      <c r="B315" s="202" t="inlineStr">
        <is>
          <t>5.13.a</t>
        </is>
      </c>
      <c r="C315" s="93" t="inlineStr">
        <is>
          <t>DIY</t>
        </is>
      </c>
      <c r="D315" s="94" t="inlineStr">
        <is>
          <t>Access Control</t>
        </is>
      </c>
      <c r="E315" s="95" t="inlineStr">
        <is>
          <t>3.1.3[a]</t>
        </is>
      </c>
      <c r="F315" s="95" t="inlineStr">
        <is>
          <t>03.01.03.a</t>
        </is>
      </c>
      <c r="G315" s="96" t="inlineStr">
        <is>
          <t>AC.L2-3.1.3</t>
        </is>
      </c>
      <c r="H315" s="592" t="n"/>
      <c r="I315" s="597" t="n"/>
      <c r="J315" s="96" t="inlineStr">
        <is>
          <t>information flow control policies are defined.</t>
        </is>
      </c>
      <c r="K315" s="602" t="n"/>
      <c r="L315" s="565" t="n"/>
      <c r="M315" s="605" t="inlineStr">
        <is>
          <t>Implementation Begun</t>
        </is>
      </c>
      <c r="N315" s="606" t="n"/>
      <c r="O315" s="613" t="n"/>
      <c r="P315" s="623" t="n"/>
    </row>
    <row r="316" ht="30" customFormat="1" customHeight="1" s="81">
      <c r="A316" s="203" t="inlineStr">
        <is>
          <t>5</t>
        </is>
      </c>
      <c r="B316" s="204" t="inlineStr">
        <is>
          <t>5.13.b</t>
        </is>
      </c>
      <c r="C316" s="105" t="inlineStr">
        <is>
          <t>Outsource</t>
        </is>
      </c>
      <c r="D316" s="106" t="inlineStr">
        <is>
          <t>Access Control</t>
        </is>
      </c>
      <c r="E316" s="107" t="inlineStr">
        <is>
          <t>3.1.3[b]</t>
        </is>
      </c>
      <c r="F316" s="107" t="inlineStr">
        <is>
          <t>03.01.03.b</t>
        </is>
      </c>
      <c r="G316" s="108" t="inlineStr">
        <is>
          <t>AC.L2-3.1.3</t>
        </is>
      </c>
      <c r="H316" s="205" t="n"/>
      <c r="I316" s="206" t="n"/>
      <c r="J316" s="108" t="inlineStr">
        <is>
          <t>methods and enforcement mechanisms for controlling the flow of CUI are defined.</t>
        </is>
      </c>
      <c r="K316" s="207" t="n"/>
      <c r="L316" s="565" t="n"/>
      <c r="M316" s="112" t="inlineStr">
        <is>
          <t>Implementation Begun</t>
        </is>
      </c>
      <c r="O316" s="208" t="n"/>
      <c r="P316" s="623" t="n"/>
    </row>
    <row r="317" ht="30.75" customFormat="1" customHeight="1" s="81">
      <c r="A317" s="209" t="inlineStr">
        <is>
          <t>5</t>
        </is>
      </c>
      <c r="B317" s="210" t="inlineStr">
        <is>
          <t>5.13.c</t>
        </is>
      </c>
      <c r="C317" s="116" t="inlineStr">
        <is>
          <t>DIY</t>
        </is>
      </c>
      <c r="D317" s="117" t="inlineStr">
        <is>
          <t>Access Control</t>
        </is>
      </c>
      <c r="E317" s="118" t="inlineStr">
        <is>
          <t>3.1.3[c]</t>
        </is>
      </c>
      <c r="F317" s="118" t="inlineStr">
        <is>
          <t>03.01.03.c</t>
        </is>
      </c>
      <c r="G317" s="119" t="inlineStr">
        <is>
          <t>AC.L2-3.1.3</t>
        </is>
      </c>
      <c r="H317" s="211" t="n"/>
      <c r="I317" s="212" t="n"/>
      <c r="J317" s="119" t="inlineStr">
        <is>
          <t xml:space="preserve">	designated sources and destinations (e.g., networks, individuals, and devices) for CUI within systems and between interconnected systems are identified.</t>
        </is>
      </c>
      <c r="K317" s="213" t="n"/>
      <c r="L317" s="565" t="n"/>
      <c r="M317" s="112" t="inlineStr">
        <is>
          <t>Implementation Begun</t>
        </is>
      </c>
      <c r="N317" s="608" t="n"/>
      <c r="O317" s="214" t="n"/>
      <c r="P317" s="623" t="n"/>
    </row>
    <row r="318" ht="45" customFormat="1" customHeight="1" s="81">
      <c r="A318" s="184" t="inlineStr">
        <is>
          <t>4</t>
        </is>
      </c>
      <c r="B318" s="185" t="inlineStr">
        <is>
          <t>4.23.0</t>
        </is>
      </c>
      <c r="C318" s="93" t="inlineStr">
        <is>
          <t>DIY</t>
        </is>
      </c>
      <c r="D318" s="94" t="inlineStr">
        <is>
          <t>Media Protection</t>
        </is>
      </c>
      <c r="E318" s="95" t="inlineStr">
        <is>
          <t>3.8.1</t>
        </is>
      </c>
      <c r="F318" s="95" t="inlineStr">
        <is>
          <t>03.08.01.0</t>
        </is>
      </c>
      <c r="G318" s="96" t="inlineStr">
        <is>
          <t>MP.L2-3.8.1</t>
        </is>
      </c>
      <c r="H318" s="97" t="n">
        <v>3</v>
      </c>
      <c r="I318" s="94" t="inlineStr">
        <is>
          <t>Protect (i.e., physically control and securely store) system media containing CUI, both paper and digital.</t>
        </is>
      </c>
      <c r="J318" s="96" t="inlineStr">
        <is>
          <t>Determine if:</t>
        </is>
      </c>
      <c r="K318" s="138" t="inlineStr">
        <is>
          <t>Exposure limited to CUI on media</t>
        </is>
      </c>
      <c r="M318" s="186">
        <f t="array" ref="M318">IF(AND(M319="Fully Implemented",M320="Fully Implemented",M321="Fully Implemented",M322="Fully Implemented"),"Fully Implemented","")</f>
        <v/>
      </c>
      <c r="N318" s="100" t="n"/>
      <c r="O318" s="101">
        <f t="array" ref="O318">IF(AND(M319="Fully Implemented",M320="Fully Implemented",M321="Fully Implemented",M322="Fully Implemented"),0,-1*H318)</f>
        <v/>
      </c>
      <c r="P318" s="619" t="n"/>
      <c r="T318" s="102">
        <f t="array" ref="T318">IF(O318=0,H318,0)</f>
        <v/>
      </c>
    </row>
    <row r="319" ht="13.5" customFormat="1" customHeight="1" s="81">
      <c r="A319" s="187" t="inlineStr">
        <is>
          <t>4</t>
        </is>
      </c>
      <c r="B319" s="188" t="inlineStr">
        <is>
          <t>4.23.a</t>
        </is>
      </c>
      <c r="C319" s="105" t="inlineStr">
        <is>
          <t>DIY</t>
        </is>
      </c>
      <c r="D319" s="106" t="inlineStr">
        <is>
          <t>Media Protection</t>
        </is>
      </c>
      <c r="E319" s="107" t="inlineStr">
        <is>
          <t>3.8.1[a]</t>
        </is>
      </c>
      <c r="F319" s="107" t="inlineStr">
        <is>
          <t>03.08.01.a</t>
        </is>
      </c>
      <c r="G319" s="108" t="inlineStr">
        <is>
          <t>MP.L2-3.8.1</t>
        </is>
      </c>
      <c r="H319" s="189" t="n"/>
      <c r="I319" s="190" t="n"/>
      <c r="J319" s="108" t="inlineStr">
        <is>
          <t>paper media containing CUI is physically controlled.</t>
        </is>
      </c>
      <c r="K319" s="191" t="n"/>
      <c r="M319" s="112" t="inlineStr">
        <is>
          <t>Implementation Begun</t>
        </is>
      </c>
      <c r="O319" s="192" t="n"/>
      <c r="P319" s="625" t="n"/>
    </row>
    <row r="320" ht="13.5" customFormat="1" customHeight="1" s="81">
      <c r="A320" s="187" t="inlineStr">
        <is>
          <t>4</t>
        </is>
      </c>
      <c r="B320" s="188" t="inlineStr">
        <is>
          <t>4.23.b</t>
        </is>
      </c>
      <c r="C320" s="105" t="inlineStr">
        <is>
          <t>DIY</t>
        </is>
      </c>
      <c r="D320" s="106" t="inlineStr">
        <is>
          <t>Media Protection</t>
        </is>
      </c>
      <c r="E320" s="107" t="inlineStr">
        <is>
          <t>3.8.1[b]</t>
        </is>
      </c>
      <c r="F320" s="107" t="inlineStr">
        <is>
          <t>03.08.01.b</t>
        </is>
      </c>
      <c r="G320" s="108" t="inlineStr">
        <is>
          <t>MP.L2-3.8.1</t>
        </is>
      </c>
      <c r="H320" s="189" t="n"/>
      <c r="I320" s="190" t="n"/>
      <c r="J320" s="108" t="inlineStr">
        <is>
          <t>digital media containing CUI is physically controlled.</t>
        </is>
      </c>
      <c r="K320" s="191" t="n"/>
      <c r="M320" s="112" t="inlineStr">
        <is>
          <t>Implementation Begun</t>
        </is>
      </c>
      <c r="O320" s="192" t="n"/>
      <c r="P320" s="625" t="n"/>
    </row>
    <row r="321" ht="13.5" customFormat="1" customHeight="1" s="81">
      <c r="A321" s="187" t="inlineStr">
        <is>
          <t>4</t>
        </is>
      </c>
      <c r="B321" s="188" t="inlineStr">
        <is>
          <t>4.23.c</t>
        </is>
      </c>
      <c r="C321" s="105" t="inlineStr">
        <is>
          <t>DIY</t>
        </is>
      </c>
      <c r="D321" s="106" t="inlineStr">
        <is>
          <t>Media Protection</t>
        </is>
      </c>
      <c r="E321" s="107" t="inlineStr">
        <is>
          <t>3.8.1[c]</t>
        </is>
      </c>
      <c r="F321" s="107" t="inlineStr">
        <is>
          <t>03.08.01.c</t>
        </is>
      </c>
      <c r="G321" s="108" t="inlineStr">
        <is>
          <t>MP.L2-3.8.1</t>
        </is>
      </c>
      <c r="H321" s="189" t="n"/>
      <c r="I321" s="190" t="n"/>
      <c r="J321" s="108" t="inlineStr">
        <is>
          <t>paper media containing CUI is securely stored.</t>
        </is>
      </c>
      <c r="K321" s="191" t="n"/>
      <c r="M321" s="112" t="inlineStr">
        <is>
          <t>Implementation Begun</t>
        </is>
      </c>
      <c r="O321" s="192" t="n"/>
      <c r="P321" s="625" t="n"/>
    </row>
    <row r="322" ht="15.75" customFormat="1" customHeight="1" s="81">
      <c r="A322" s="193" t="inlineStr">
        <is>
          <t>4</t>
        </is>
      </c>
      <c r="B322" s="194" t="inlineStr">
        <is>
          <t>4.23.d</t>
        </is>
      </c>
      <c r="C322" s="116" t="inlineStr">
        <is>
          <t>DIY</t>
        </is>
      </c>
      <c r="D322" s="117" t="inlineStr">
        <is>
          <t>Media Protection</t>
        </is>
      </c>
      <c r="E322" s="118" t="inlineStr">
        <is>
          <t>3.8.1[d]</t>
        </is>
      </c>
      <c r="F322" s="118" t="inlineStr">
        <is>
          <t>03.08.01.d</t>
        </is>
      </c>
      <c r="G322" s="119" t="inlineStr">
        <is>
          <t>MP.L2-3.8.1</t>
        </is>
      </c>
      <c r="H322" s="195" t="n"/>
      <c r="I322" s="196" t="n"/>
      <c r="J322" s="119" t="inlineStr">
        <is>
          <t>digital media containing CUI is securely stored.</t>
        </is>
      </c>
      <c r="K322" s="197" t="n"/>
      <c r="M322" s="112" t="inlineStr">
        <is>
          <t>Implementation Begun</t>
        </is>
      </c>
      <c r="N322" s="124" t="n"/>
      <c r="O322" s="198" t="n"/>
      <c r="P322" s="625" t="n"/>
    </row>
    <row r="323" ht="45" customFormat="1" customHeight="1" s="81">
      <c r="A323" s="201" t="inlineStr">
        <is>
          <t>5</t>
        </is>
      </c>
      <c r="B323" s="202" t="inlineStr">
        <is>
          <t>5.01.0</t>
        </is>
      </c>
      <c r="C323" s="93" t="inlineStr">
        <is>
          <t>Outsource</t>
        </is>
      </c>
      <c r="D323" s="94" t="inlineStr">
        <is>
          <t>System and Communications Protection</t>
        </is>
      </c>
      <c r="E323" s="95" t="inlineStr">
        <is>
          <t>3.13.6</t>
        </is>
      </c>
      <c r="F323" s="95" t="inlineStr">
        <is>
          <t>03.13.06.0</t>
        </is>
      </c>
      <c r="G323" s="96" t="inlineStr">
        <is>
          <t>SC.L2-3.13.6</t>
        </is>
      </c>
      <c r="H323" s="97" t="n">
        <v>5</v>
      </c>
      <c r="I323" s="94" t="inlineStr">
        <is>
          <t>Deny network communications traffic by default and allow network communications traffic by exception (i.e., deny all, permit by exception).</t>
        </is>
      </c>
      <c r="J323" s="96" t="inlineStr">
        <is>
          <t>Determine if:</t>
        </is>
      </c>
      <c r="K323" s="98" t="inlineStr">
        <is>
          <t>[No Comment Provided]</t>
        </is>
      </c>
      <c r="L323" s="565" t="inlineStr">
        <is>
          <t xml:space="preserve">Overall Status - Pending policy/procedure review meeting and observation of controls in place. 
Updates required to documentation
Test required for validating controls in place
Examine - Policy updates may be required based on interviews/walkthroughs. 
Interview  Controls are currently being implemented. - 
Test - Review testing measures in place. </t>
        </is>
      </c>
      <c r="M323" s="99" t="inlineStr">
        <is>
          <t>Implementation Begun</t>
        </is>
      </c>
      <c r="N323" s="100" t="n"/>
      <c r="O323" s="101">
        <f t="array" ref="O323">IF(AND(M324="Fully Implemented",M325="Fully Implemented"),0,-1*H323)</f>
        <v/>
      </c>
      <c r="P323" s="619" t="n"/>
      <c r="T323" s="102">
        <f t="array" ref="T323">IF(O323=0,H323,0)</f>
        <v/>
      </c>
      <c r="U323" s="102">
        <f t="array" ref="U323">SUM(T323:T409)</f>
        <v/>
      </c>
      <c r="V323" s="102">
        <f t="array" ref="V323">IF(V233&lt;&gt;100,0,IF(U323=SUM(H323:H409),100,U323))</f>
        <v/>
      </c>
    </row>
    <row r="324" ht="30" customFormat="1" customHeight="1" s="81">
      <c r="A324" s="203" t="inlineStr">
        <is>
          <t>5</t>
        </is>
      </c>
      <c r="B324" s="204" t="inlineStr">
        <is>
          <t>5.01.a</t>
        </is>
      </c>
      <c r="C324" s="105" t="inlineStr">
        <is>
          <t>Outsource</t>
        </is>
      </c>
      <c r="D324" s="106" t="inlineStr">
        <is>
          <t>System and Communications Protection</t>
        </is>
      </c>
      <c r="E324" s="107" t="inlineStr">
        <is>
          <t>3.13.6[a]</t>
        </is>
      </c>
      <c r="F324" s="107" t="inlineStr">
        <is>
          <t>03.13.06.a</t>
        </is>
      </c>
      <c r="G324" s="108" t="inlineStr">
        <is>
          <t>SC.L2-3.13.6</t>
        </is>
      </c>
      <c r="H324" s="205" t="n"/>
      <c r="I324" s="206" t="n"/>
      <c r="J324" s="108" t="inlineStr">
        <is>
          <t>network communications traffic is denied by default.</t>
        </is>
      </c>
      <c r="K324" s="207" t="n"/>
      <c r="M324" s="112" t="inlineStr">
        <is>
          <t>Implementation Begun</t>
        </is>
      </c>
      <c r="O324" s="208" t="n"/>
      <c r="P324" s="623" t="n"/>
    </row>
    <row r="325" ht="30.75" customFormat="1" customHeight="1" s="81">
      <c r="A325" s="209" t="inlineStr">
        <is>
          <t>5</t>
        </is>
      </c>
      <c r="B325" s="210" t="inlineStr">
        <is>
          <t>5.01.b</t>
        </is>
      </c>
      <c r="C325" s="116" t="inlineStr">
        <is>
          <t>Outsource</t>
        </is>
      </c>
      <c r="D325" s="117" t="inlineStr">
        <is>
          <t>System and Communications Protection</t>
        </is>
      </c>
      <c r="E325" s="118" t="inlineStr">
        <is>
          <t>3.13.6[b]</t>
        </is>
      </c>
      <c r="F325" s="118" t="inlineStr">
        <is>
          <t>03.13.06.b</t>
        </is>
      </c>
      <c r="G325" s="119" t="inlineStr">
        <is>
          <t>SC.L2-3.13.6</t>
        </is>
      </c>
      <c r="H325" s="211" t="n"/>
      <c r="I325" s="212" t="n"/>
      <c r="J325" s="119" t="inlineStr">
        <is>
          <t>network communications traffic is allowed by exception.</t>
        </is>
      </c>
      <c r="K325" s="213" t="n"/>
      <c r="M325" s="112" t="inlineStr">
        <is>
          <t>Implementation Begun</t>
        </is>
      </c>
      <c r="N325" s="124" t="n"/>
      <c r="O325" s="214" t="n"/>
      <c r="P325" s="623" t="n"/>
    </row>
    <row r="326" ht="75.75" customFormat="1" customHeight="1" s="81">
      <c r="A326" s="215" t="inlineStr">
        <is>
          <t>5</t>
        </is>
      </c>
      <c r="B326" s="216" t="inlineStr">
        <is>
          <t>5.02.0</t>
        </is>
      </c>
      <c r="C326" s="130" t="inlineStr">
        <is>
          <t>Outsource</t>
        </is>
      </c>
      <c r="D326" s="131" t="inlineStr">
        <is>
          <t>System and Communications Protection</t>
        </is>
      </c>
      <c r="E326" s="132" t="inlineStr">
        <is>
          <t>3.13.7</t>
        </is>
      </c>
      <c r="F326" s="132" t="inlineStr">
        <is>
          <t>03.13.07.0</t>
        </is>
      </c>
      <c r="G326" s="133" t="inlineStr">
        <is>
          <t>SC.L2-3.13.7</t>
        </is>
      </c>
      <c r="H326" s="134" t="n">
        <v>1</v>
      </c>
      <c r="I326" s="131" t="inlineStr">
        <is>
          <t xml:space="preserve">Prevent remote devices from simultaneously establishing non-remote connections with organizational systems and communicating via some other connection to resources in external networks (i.e., split tunneling). </t>
        </is>
      </c>
      <c r="J326" s="133" t="inlineStr">
        <is>
          <t>Determine if remote devices are prevented from simultaneously establishing non-remote connections with the system and communicating via some other connection to resources in external networks (i.e., split tunneling).</t>
        </is>
      </c>
      <c r="K326" s="135" t="inlineStr">
        <is>
          <t>[No Comment Provided]</t>
        </is>
      </c>
      <c r="L326" s="565" t="inlineStr">
        <is>
          <t xml:space="preserve">Overall Status - Pending policy/procedure review meeting and observation of controls in place. 
Updates required to documentation
Test required for validating controls in place
Examine - Policy updates may be required based on interviews/walkthroughs. 
Interview  Controls are currently being implemented. - 
Test - Review testing measures in place. </t>
        </is>
      </c>
      <c r="M326" s="112" t="inlineStr">
        <is>
          <t>Implementation Begun</t>
        </is>
      </c>
      <c r="N326" s="136" t="n"/>
      <c r="O326" s="137">
        <f t="array" ref="O326">IF(M326&lt;&gt;"Fully Implemented",-1*H326,0)</f>
        <v/>
      </c>
      <c r="P326" s="619" t="n"/>
      <c r="T326" s="102">
        <f t="array" ref="T326">IF(O326=0,H326,0)</f>
        <v/>
      </c>
    </row>
    <row r="327" ht="45" customFormat="1" customHeight="1" s="81">
      <c r="A327" s="201" t="inlineStr">
        <is>
          <t>5</t>
        </is>
      </c>
      <c r="B327" s="202" t="inlineStr">
        <is>
          <t>5.13.d</t>
        </is>
      </c>
      <c r="C327" s="93" t="inlineStr">
        <is>
          <t>Outsource</t>
        </is>
      </c>
      <c r="D327" s="94" t="inlineStr">
        <is>
          <t>Access Control</t>
        </is>
      </c>
      <c r="E327" s="95" t="inlineStr">
        <is>
          <t>3.1.3[d]</t>
        </is>
      </c>
      <c r="F327" s="95" t="inlineStr">
        <is>
          <t>03.01.03.d</t>
        </is>
      </c>
      <c r="G327" s="96" t="inlineStr">
        <is>
          <t>AC.L2-3.1.3</t>
        </is>
      </c>
      <c r="H327" s="592" t="n"/>
      <c r="I327" s="597" t="n"/>
      <c r="J327" s="96" t="inlineStr">
        <is>
          <t xml:space="preserve">	authorizations for controlling the flow of CUI are defined.</t>
        </is>
      </c>
      <c r="K327" s="602" t="n"/>
      <c r="L327" s="565" t="n"/>
      <c r="M327" s="605" t="inlineStr">
        <is>
          <t>Implementation Begun</t>
        </is>
      </c>
      <c r="N327" s="606" t="n"/>
      <c r="O327" s="613" t="n"/>
      <c r="P327" s="623" t="n"/>
    </row>
    <row r="328" ht="13.5" customFormat="1" customHeight="1" s="81">
      <c r="A328" s="203" t="inlineStr">
        <is>
          <t>5</t>
        </is>
      </c>
      <c r="B328" s="204" t="inlineStr">
        <is>
          <t>5.13.e</t>
        </is>
      </c>
      <c r="C328" s="105" t="inlineStr">
        <is>
          <t>Outsource</t>
        </is>
      </c>
      <c r="D328" s="106" t="inlineStr">
        <is>
          <t>Access Control</t>
        </is>
      </c>
      <c r="E328" s="107" t="inlineStr">
        <is>
          <t>3.1.3[e]</t>
        </is>
      </c>
      <c r="F328" s="107" t="inlineStr">
        <is>
          <t>03.01.03.e</t>
        </is>
      </c>
      <c r="G328" s="108" t="inlineStr">
        <is>
          <t>AC.L2-3.1.3</t>
        </is>
      </c>
      <c r="H328" s="205" t="n"/>
      <c r="I328" s="206" t="n"/>
      <c r="J328" s="108" t="inlineStr">
        <is>
          <t xml:space="preserve">
	approved authorizations for controlling the flow of CUI are enforced.</t>
        </is>
      </c>
      <c r="K328" s="207" t="n"/>
      <c r="L328" s="565" t="n"/>
      <c r="M328" s="112" t="inlineStr">
        <is>
          <t>Implementation Begun</t>
        </is>
      </c>
      <c r="N328" s="607" t="n"/>
      <c r="O328" s="208" t="n"/>
      <c r="P328" s="623" t="n"/>
    </row>
    <row r="329" ht="91.5" customFormat="1" customHeight="1" s="81">
      <c r="A329" s="166" t="inlineStr">
        <is>
          <t>3</t>
        </is>
      </c>
      <c r="B329" s="167" t="inlineStr">
        <is>
          <t>3.16.0</t>
        </is>
      </c>
      <c r="C329" s="105" t="inlineStr">
        <is>
          <t>DIY</t>
        </is>
      </c>
      <c r="D329" s="106" t="inlineStr">
        <is>
          <t>Access Control</t>
        </is>
      </c>
      <c r="E329" s="107" t="inlineStr">
        <is>
          <t>3.1.4</t>
        </is>
      </c>
      <c r="F329" s="107" t="inlineStr">
        <is>
          <t>03.01.04.0</t>
        </is>
      </c>
      <c r="G329" s="108" t="inlineStr">
        <is>
          <t>AC.L2-3.1.4</t>
        </is>
      </c>
      <c r="H329" s="591" t="n">
        <v>1</v>
      </c>
      <c r="I329" s="106" t="inlineStr">
        <is>
          <t>Separate the duties of individuals to reduce the risk of malevolent activity without collusion.</t>
        </is>
      </c>
      <c r="J329" s="108" t="inlineStr">
        <is>
          <t>Determine if:</t>
        </is>
      </c>
      <c r="K329" s="601" t="inlineStr">
        <is>
          <t>[No Comment Provided]</t>
        </is>
      </c>
      <c r="L329" s="565" t="inlineStr">
        <is>
          <t>Separation of duties is enforced per the Separation of Duties Policy. Azure AD PIM in M365 GCCH requires JIT role activation for privileged roles. Okta admin roles are separated between Super Admin, Application Admin, and Help Desk roles. No single user controls both identity provisioning and application assignment.</t>
        </is>
      </c>
      <c r="M329" s="111" t="inlineStr">
        <is>
          <t>Implementation Begun</t>
        </is>
      </c>
      <c r="N329" s="609" t="n"/>
      <c r="O329" s="612">
        <f t="array" ref="O329">IF(AND(OR(M330="Fully Implemented",M330="Not Permitted"),OR(M331="Fully Implemented",M331="Not Permitted"),OR(M332="Fully Implemented",M332="Not Permitted")),0,-1*H329)</f>
        <v/>
      </c>
      <c r="P329" s="619" t="n"/>
      <c r="T329" s="102">
        <f t="array" ref="T329">IF(O329=0,H329,0)</f>
        <v/>
      </c>
    </row>
    <row r="330" ht="30" customFormat="1" customHeight="1" s="81">
      <c r="A330" s="166" t="inlineStr">
        <is>
          <t>3</t>
        </is>
      </c>
      <c r="B330" s="167" t="inlineStr">
        <is>
          <t>3.16.a</t>
        </is>
      </c>
      <c r="C330" s="105" t="inlineStr">
        <is>
          <t>DIY</t>
        </is>
      </c>
      <c r="D330" s="106" t="inlineStr">
        <is>
          <t>Access Control</t>
        </is>
      </c>
      <c r="E330" s="107" t="inlineStr">
        <is>
          <t>3.1.4[a]</t>
        </is>
      </c>
      <c r="F330" s="107" t="inlineStr">
        <is>
          <t>03.01.04.a</t>
        </is>
      </c>
      <c r="G330" s="108" t="inlineStr">
        <is>
          <t>AC.L2-3.1.4</t>
        </is>
      </c>
      <c r="H330" s="168" t="n"/>
      <c r="I330" s="169" t="n"/>
      <c r="J330" s="108" t="inlineStr">
        <is>
          <t>the duties of individuals requiring separation to reduce the risk of malevolent activity are defined.</t>
        </is>
      </c>
      <c r="K330" s="170" t="n"/>
      <c r="L330" s="565" t="n"/>
      <c r="M330" s="112" t="inlineStr">
        <is>
          <t>Implementation Begun</t>
        </is>
      </c>
      <c r="O330" s="179" t="n"/>
      <c r="P330" s="622" t="n"/>
    </row>
    <row r="331" ht="30.75" customFormat="1" customHeight="1" s="81">
      <c r="A331" s="172" t="inlineStr">
        <is>
          <t>3</t>
        </is>
      </c>
      <c r="B331" s="173" t="inlineStr">
        <is>
          <t>3.16.b</t>
        </is>
      </c>
      <c r="C331" s="116" t="inlineStr">
        <is>
          <t>DIY</t>
        </is>
      </c>
      <c r="D331" s="117" t="inlineStr">
        <is>
          <t>Access Control</t>
        </is>
      </c>
      <c r="E331" s="118" t="inlineStr">
        <is>
          <t>3.1.4[b]</t>
        </is>
      </c>
      <c r="F331" s="118" t="inlineStr">
        <is>
          <t>03.01.04.b</t>
        </is>
      </c>
      <c r="G331" s="119" t="inlineStr">
        <is>
          <t>AC.L2-3.1.4</t>
        </is>
      </c>
      <c r="H331" s="174" t="n"/>
      <c r="I331" s="175" t="n"/>
      <c r="J331" s="119" t="inlineStr">
        <is>
          <t>organization-defined duties of individuals requiring separation are separated.</t>
        </is>
      </c>
      <c r="K331" s="176" t="n"/>
      <c r="L331" s="565" t="n"/>
      <c r="M331" s="112" t="inlineStr">
        <is>
          <t>Implementation Begun</t>
        </is>
      </c>
      <c r="N331" s="608" t="n"/>
      <c r="O331" s="180" t="n"/>
      <c r="P331" s="622" t="n"/>
    </row>
    <row r="332" ht="45" customFormat="1" customHeight="1" s="81">
      <c r="A332" s="201" t="inlineStr">
        <is>
          <t>5</t>
        </is>
      </c>
      <c r="B332" s="202" t="inlineStr">
        <is>
          <t>5.04.0</t>
        </is>
      </c>
      <c r="C332" s="93" t="inlineStr">
        <is>
          <t>DIY</t>
        </is>
      </c>
      <c r="D332" s="94" t="inlineStr">
        <is>
          <t>Configuration Management</t>
        </is>
      </c>
      <c r="E332" s="95" t="inlineStr">
        <is>
          <t>3.4.5</t>
        </is>
      </c>
      <c r="F332" s="95" t="inlineStr">
        <is>
          <t>03.04.05.0</t>
        </is>
      </c>
      <c r="G332" s="96" t="inlineStr">
        <is>
          <t>CM.L2-3.4.5</t>
        </is>
      </c>
      <c r="H332" s="97" t="n">
        <v>5</v>
      </c>
      <c r="I332" s="94" t="inlineStr">
        <is>
          <t>Define, document, approve, and enforce physical and logical access restrictions associated with changes to organizational systems.</t>
        </is>
      </c>
      <c r="J332" s="96" t="inlineStr">
        <is>
          <t>Determine if:</t>
        </is>
      </c>
      <c r="K332" s="98" t="inlineStr">
        <is>
          <t>[No Comment Provided]</t>
        </is>
      </c>
      <c r="L332" s="565" t="inlineStr">
        <is>
          <t xml:space="preserve">Overall Status - Pending policy/procedure review meeting and observation of controls in place. 
Updates required to documentation
Test required for validating controls in place
Examine - Policy updates may be required based on interviews/walkthroughs. 
Interview  Controls are currently being implemented. - 
Test - Review testing measures in place. </t>
        </is>
      </c>
      <c r="M332" s="99" t="inlineStr">
        <is>
          <t>Implementation Begun</t>
        </is>
      </c>
      <c r="N332" s="100" t="n"/>
      <c r="O332" s="101">
        <f t="array" ref="O332">IF(AND(M333="Fully Implemented",M334="Fully Implemented",M335="Fully Implemented",M336="Fully Implemented",M337="Fully Implemented",M338="Fully Implemented",M339="Fully Implemented",M340="Fully Implemented"),0,-1*H332)</f>
        <v/>
      </c>
      <c r="P332" s="619" t="n"/>
      <c r="T332" s="102">
        <f t="array" ref="T332">IF(O332=0,H332,0)</f>
        <v/>
      </c>
    </row>
    <row r="333" ht="30" customFormat="1" customHeight="1" s="81">
      <c r="A333" s="203" t="inlineStr">
        <is>
          <t>5</t>
        </is>
      </c>
      <c r="B333" s="204" t="inlineStr">
        <is>
          <t>5.04.a</t>
        </is>
      </c>
      <c r="C333" s="105" t="inlineStr">
        <is>
          <t>DIY</t>
        </is>
      </c>
      <c r="D333" s="106" t="inlineStr">
        <is>
          <t>Configuration Management</t>
        </is>
      </c>
      <c r="E333" s="107" t="inlineStr">
        <is>
          <t>3.4.5[a]</t>
        </is>
      </c>
      <c r="F333" s="107" t="inlineStr">
        <is>
          <t>03.04.05.a</t>
        </is>
      </c>
      <c r="G333" s="108" t="inlineStr">
        <is>
          <t>CM.L2-3.4.5</t>
        </is>
      </c>
      <c r="H333" s="205" t="n"/>
      <c r="I333" s="206" t="n"/>
      <c r="J333" s="108" t="inlineStr">
        <is>
          <t>physical access restrictions associated with changes to the system are defined.</t>
        </is>
      </c>
      <c r="K333" s="207" t="n"/>
      <c r="M333" s="112" t="inlineStr">
        <is>
          <t>Implementation Begun</t>
        </is>
      </c>
      <c r="O333" s="208" t="n"/>
      <c r="P333" s="623" t="n"/>
    </row>
    <row r="334" ht="30" customFormat="1" customHeight="1" s="81">
      <c r="A334" s="203" t="inlineStr">
        <is>
          <t>5</t>
        </is>
      </c>
      <c r="B334" s="204" t="inlineStr">
        <is>
          <t>5.04.b</t>
        </is>
      </c>
      <c r="C334" s="105" t="inlineStr">
        <is>
          <t>DIY</t>
        </is>
      </c>
      <c r="D334" s="106" t="inlineStr">
        <is>
          <t>Configuration Management</t>
        </is>
      </c>
      <c r="E334" s="107" t="inlineStr">
        <is>
          <t>3.4.5[b]</t>
        </is>
      </c>
      <c r="F334" s="107" t="inlineStr">
        <is>
          <t>03.04.05.b</t>
        </is>
      </c>
      <c r="G334" s="108" t="inlineStr">
        <is>
          <t>CM.L2-3.4.5</t>
        </is>
      </c>
      <c r="H334" s="205" t="n"/>
      <c r="I334" s="206" t="n"/>
      <c r="J334" s="108" t="inlineStr">
        <is>
          <t>physical access restrictions associated with changes to the system are documented.</t>
        </is>
      </c>
      <c r="K334" s="207" t="n"/>
      <c r="M334" s="112" t="inlineStr">
        <is>
          <t>Implementation Begun</t>
        </is>
      </c>
      <c r="O334" s="208" t="n"/>
      <c r="P334" s="623" t="n"/>
    </row>
    <row r="335" ht="30" customFormat="1" customHeight="1" s="81">
      <c r="A335" s="203" t="inlineStr">
        <is>
          <t>5</t>
        </is>
      </c>
      <c r="B335" s="204" t="inlineStr">
        <is>
          <t>5.04.c</t>
        </is>
      </c>
      <c r="C335" s="105" t="inlineStr">
        <is>
          <t>DIY</t>
        </is>
      </c>
      <c r="D335" s="106" t="inlineStr">
        <is>
          <t>Configuration Management</t>
        </is>
      </c>
      <c r="E335" s="107" t="inlineStr">
        <is>
          <t>3.4.5[c]</t>
        </is>
      </c>
      <c r="F335" s="107" t="inlineStr">
        <is>
          <t>03.04.05.c</t>
        </is>
      </c>
      <c r="G335" s="108" t="inlineStr">
        <is>
          <t>CM.L2-3.4.5</t>
        </is>
      </c>
      <c r="H335" s="205" t="n"/>
      <c r="I335" s="206" t="n"/>
      <c r="J335" s="108" t="inlineStr">
        <is>
          <t>physical access restrictions associated with changes to the system are approved.</t>
        </is>
      </c>
      <c r="K335" s="207" t="n"/>
      <c r="M335" s="112" t="inlineStr">
        <is>
          <t>Implementation Begun</t>
        </is>
      </c>
      <c r="O335" s="208" t="n"/>
      <c r="P335" s="623" t="n"/>
    </row>
    <row r="336" ht="30" customFormat="1" customHeight="1" s="81">
      <c r="A336" s="203" t="inlineStr">
        <is>
          <t>5</t>
        </is>
      </c>
      <c r="B336" s="204" t="inlineStr">
        <is>
          <t>5.04.d</t>
        </is>
      </c>
      <c r="C336" s="105" t="inlineStr">
        <is>
          <t>DIY</t>
        </is>
      </c>
      <c r="D336" s="106" t="inlineStr">
        <is>
          <t>Configuration Management</t>
        </is>
      </c>
      <c r="E336" s="107" t="inlineStr">
        <is>
          <t>3.4.5[d]</t>
        </is>
      </c>
      <c r="F336" s="107" t="inlineStr">
        <is>
          <t>03.04.05.d</t>
        </is>
      </c>
      <c r="G336" s="108" t="inlineStr">
        <is>
          <t>CM.L2-3.4.5</t>
        </is>
      </c>
      <c r="H336" s="205" t="n"/>
      <c r="I336" s="206" t="n"/>
      <c r="J336" s="108" t="inlineStr">
        <is>
          <t>physical access restrictions associated with changes to the system are enforced.</t>
        </is>
      </c>
      <c r="K336" s="207" t="n"/>
      <c r="M336" s="112" t="inlineStr">
        <is>
          <t>Implementation Begun</t>
        </is>
      </c>
      <c r="O336" s="208" t="n"/>
      <c r="P336" s="623" t="n"/>
    </row>
    <row r="337" ht="30" customFormat="1" customHeight="1" s="81">
      <c r="A337" s="203" t="inlineStr">
        <is>
          <t>5</t>
        </is>
      </c>
      <c r="B337" s="204" t="inlineStr">
        <is>
          <t>5.04.e</t>
        </is>
      </c>
      <c r="C337" s="105" t="inlineStr">
        <is>
          <t>DIY</t>
        </is>
      </c>
      <c r="D337" s="106" t="inlineStr">
        <is>
          <t>Configuration Management</t>
        </is>
      </c>
      <c r="E337" s="107" t="inlineStr">
        <is>
          <t>3.4.5[e]</t>
        </is>
      </c>
      <c r="F337" s="107" t="inlineStr">
        <is>
          <t>03.04.05.e</t>
        </is>
      </c>
      <c r="G337" s="108" t="inlineStr">
        <is>
          <t>CM.L2-3.4.5</t>
        </is>
      </c>
      <c r="H337" s="205" t="n"/>
      <c r="I337" s="206" t="n"/>
      <c r="J337" s="108" t="inlineStr">
        <is>
          <t>logical access restrictions associated with changes to the system are defined.</t>
        </is>
      </c>
      <c r="K337" s="207" t="n"/>
      <c r="M337" s="112" t="inlineStr">
        <is>
          <t>Implementation Begun</t>
        </is>
      </c>
      <c r="O337" s="208" t="n"/>
      <c r="P337" s="623" t="n"/>
    </row>
    <row r="338" ht="30" customFormat="1" customHeight="1" s="81">
      <c r="A338" s="203" t="inlineStr">
        <is>
          <t>5</t>
        </is>
      </c>
      <c r="B338" s="204" t="inlineStr">
        <is>
          <t>5.04.f</t>
        </is>
      </c>
      <c r="C338" s="105" t="inlineStr">
        <is>
          <t>DIY</t>
        </is>
      </c>
      <c r="D338" s="106" t="inlineStr">
        <is>
          <t>Configuration Management</t>
        </is>
      </c>
      <c r="E338" s="107" t="inlineStr">
        <is>
          <t>3.4.5[f]</t>
        </is>
      </c>
      <c r="F338" s="107" t="inlineStr">
        <is>
          <t>03.04.05.f</t>
        </is>
      </c>
      <c r="G338" s="108" t="inlineStr">
        <is>
          <t>CM.L2-3.4.5</t>
        </is>
      </c>
      <c r="H338" s="205" t="n"/>
      <c r="I338" s="206" t="n"/>
      <c r="J338" s="108" t="inlineStr">
        <is>
          <t>logical access restrictions associated with changes to the system are documented.</t>
        </is>
      </c>
      <c r="K338" s="207" t="n"/>
      <c r="M338" s="112" t="inlineStr">
        <is>
          <t>Implementation Begun</t>
        </is>
      </c>
      <c r="O338" s="208" t="n"/>
      <c r="P338" s="623" t="n"/>
    </row>
    <row r="339" ht="30" customFormat="1" customHeight="1" s="81">
      <c r="A339" s="203" t="inlineStr">
        <is>
          <t>5</t>
        </is>
      </c>
      <c r="B339" s="204" t="inlineStr">
        <is>
          <t>5.04.g</t>
        </is>
      </c>
      <c r="C339" s="105" t="inlineStr">
        <is>
          <t>DIY</t>
        </is>
      </c>
      <c r="D339" s="106" t="inlineStr">
        <is>
          <t>Configuration Management</t>
        </is>
      </c>
      <c r="E339" s="107" t="inlineStr">
        <is>
          <t>3.4.5[g]</t>
        </is>
      </c>
      <c r="F339" s="107" t="inlineStr">
        <is>
          <t>03.04.05.g</t>
        </is>
      </c>
      <c r="G339" s="108" t="inlineStr">
        <is>
          <t>CM.L2-3.4.5</t>
        </is>
      </c>
      <c r="H339" s="205" t="n"/>
      <c r="I339" s="206" t="n"/>
      <c r="J339" s="108" t="inlineStr">
        <is>
          <t>logical access restrictions associated with changes to the system are approved.</t>
        </is>
      </c>
      <c r="K339" s="207" t="n"/>
      <c r="M339" s="112" t="inlineStr">
        <is>
          <t>Implementation Begun</t>
        </is>
      </c>
      <c r="O339" s="208" t="n"/>
      <c r="P339" s="623" t="n"/>
    </row>
    <row r="340" ht="30.75" customFormat="1" customHeight="1" s="81">
      <c r="A340" s="209" t="inlineStr">
        <is>
          <t>5</t>
        </is>
      </c>
      <c r="B340" s="210" t="inlineStr">
        <is>
          <t>5.04.h</t>
        </is>
      </c>
      <c r="C340" s="116" t="inlineStr">
        <is>
          <t>DIY</t>
        </is>
      </c>
      <c r="D340" s="117" t="inlineStr">
        <is>
          <t>Configuration Management</t>
        </is>
      </c>
      <c r="E340" s="118" t="inlineStr">
        <is>
          <t>3.4.5[h]</t>
        </is>
      </c>
      <c r="F340" s="118" t="inlineStr">
        <is>
          <t>03.04.05.h</t>
        </is>
      </c>
      <c r="G340" s="119" t="inlineStr">
        <is>
          <t>CM.L2-3.4.5</t>
        </is>
      </c>
      <c r="H340" s="211" t="n"/>
      <c r="I340" s="212" t="n"/>
      <c r="J340" s="119" t="inlineStr">
        <is>
          <t>logical access restrictions associated with changes to the system are enforced.</t>
        </is>
      </c>
      <c r="K340" s="213" t="n"/>
      <c r="M340" s="112" t="inlineStr">
        <is>
          <t>Implementation Begun</t>
        </is>
      </c>
      <c r="N340" s="124" t="n"/>
      <c r="O340" s="214" t="n"/>
      <c r="P340" s="623" t="n"/>
    </row>
    <row r="341" ht="45" customFormat="1" customHeight="1" s="81">
      <c r="A341" s="201" t="inlineStr">
        <is>
          <t>5</t>
        </is>
      </c>
      <c r="B341" s="202" t="inlineStr">
        <is>
          <t>5.05.0</t>
        </is>
      </c>
      <c r="C341" s="93" t="inlineStr">
        <is>
          <t>Outsource</t>
        </is>
      </c>
      <c r="D341" s="94" t="inlineStr">
        <is>
          <t>Configuration Management</t>
        </is>
      </c>
      <c r="E341" s="95" t="inlineStr">
        <is>
          <t>3.4.6</t>
        </is>
      </c>
      <c r="F341" s="95" t="inlineStr">
        <is>
          <t>03.04.06.0</t>
        </is>
      </c>
      <c r="G341" s="96" t="inlineStr">
        <is>
          <t>CM.L2-3.4.6</t>
        </is>
      </c>
      <c r="H341" s="97" t="n">
        <v>5</v>
      </c>
      <c r="I341" s="94" t="inlineStr">
        <is>
          <t>Employ the principle of least functionality by configuring organizational systems to provide only essential capabilities.</t>
        </is>
      </c>
      <c r="J341" s="96" t="inlineStr">
        <is>
          <t>Determine if:</t>
        </is>
      </c>
      <c r="K341" s="98" t="inlineStr">
        <is>
          <t>[No Comment Provided]</t>
        </is>
      </c>
      <c r="L341" s="565" t="inlineStr">
        <is>
          <t xml:space="preserve">Overall Status - Pending policy/procedure review meeting and observation of controls in place. 
Updates required to documentation
Test required for validating controls in place
Examine - Policy updates may be required based on interviews/walkthroughs. 
Interview  Controls are currently being implemented. - 
Test - Review testing measures in place. </t>
        </is>
      </c>
      <c r="M341" s="99" t="inlineStr">
        <is>
          <t>Implementation Begun</t>
        </is>
      </c>
      <c r="N341" s="100" t="n"/>
      <c r="O341" s="101">
        <f t="array" ref="O341">IF(AND(M342="Fully Implemented",M343="Fully Implemented"),0,-1*H341)</f>
        <v/>
      </c>
      <c r="P341" s="619" t="n"/>
      <c r="T341" s="102">
        <f t="array" ref="T341">IF(O341=0,H341,0)</f>
        <v/>
      </c>
    </row>
    <row r="342" ht="30" customFormat="1" customHeight="1" s="81">
      <c r="A342" s="203" t="inlineStr">
        <is>
          <t>5</t>
        </is>
      </c>
      <c r="B342" s="204" t="inlineStr">
        <is>
          <t>5.05.a</t>
        </is>
      </c>
      <c r="C342" s="105" t="inlineStr">
        <is>
          <t>Outsource</t>
        </is>
      </c>
      <c r="D342" s="106" t="inlineStr">
        <is>
          <t>Configuration Management</t>
        </is>
      </c>
      <c r="E342" s="107" t="inlineStr">
        <is>
          <t>3.4.6[a]</t>
        </is>
      </c>
      <c r="F342" s="107" t="inlineStr">
        <is>
          <t>03.04.06.a</t>
        </is>
      </c>
      <c r="G342" s="108" t="inlineStr">
        <is>
          <t>CM.L2-3.4.6</t>
        </is>
      </c>
      <c r="H342" s="205" t="n"/>
      <c r="I342" s="206" t="n"/>
      <c r="J342" s="108" t="inlineStr">
        <is>
          <t>essential system capabilities are defined based on the principle of least functionality.</t>
        </is>
      </c>
      <c r="K342" s="207" t="n"/>
      <c r="M342" s="112" t="inlineStr">
        <is>
          <t>Implementation Begun</t>
        </is>
      </c>
      <c r="O342" s="208" t="n"/>
      <c r="P342" s="623" t="n"/>
    </row>
    <row r="343" ht="30.75" customFormat="1" customHeight="1" s="81">
      <c r="A343" s="209" t="inlineStr">
        <is>
          <t>5</t>
        </is>
      </c>
      <c r="B343" s="210" t="inlineStr">
        <is>
          <t>5.05.b</t>
        </is>
      </c>
      <c r="C343" s="116" t="inlineStr">
        <is>
          <t>Outsource</t>
        </is>
      </c>
      <c r="D343" s="117" t="inlineStr">
        <is>
          <t>Configuration Management</t>
        </is>
      </c>
      <c r="E343" s="118" t="inlineStr">
        <is>
          <t>3.4.6[b]</t>
        </is>
      </c>
      <c r="F343" s="118" t="inlineStr">
        <is>
          <t>03.04.06.b</t>
        </is>
      </c>
      <c r="G343" s="119" t="inlineStr">
        <is>
          <t>CM.L2-3.4.6</t>
        </is>
      </c>
      <c r="H343" s="211" t="n"/>
      <c r="I343" s="212" t="n"/>
      <c r="J343" s="119" t="inlineStr">
        <is>
          <t>the system is configured to provide only the defined essential capabilities.</t>
        </is>
      </c>
      <c r="K343" s="213" t="n"/>
      <c r="M343" s="112" t="inlineStr">
        <is>
          <t>Implementation Begun</t>
        </is>
      </c>
      <c r="N343" s="124" t="n"/>
      <c r="O343" s="214" t="n"/>
      <c r="P343" s="623" t="n"/>
    </row>
    <row r="344" ht="30" customFormat="1" customHeight="1" s="81">
      <c r="A344" s="201" t="inlineStr">
        <is>
          <t>5</t>
        </is>
      </c>
      <c r="B344" s="202" t="inlineStr">
        <is>
          <t>5.06.0</t>
        </is>
      </c>
      <c r="C344" s="93" t="inlineStr">
        <is>
          <t>Outsource</t>
        </is>
      </c>
      <c r="D344" s="94" t="inlineStr">
        <is>
          <t>Configuration Management</t>
        </is>
      </c>
      <c r="E344" s="95" t="inlineStr">
        <is>
          <t>3.4.3</t>
        </is>
      </c>
      <c r="F344" s="95" t="inlineStr">
        <is>
          <t>03.04.03.0</t>
        </is>
      </c>
      <c r="G344" s="96" t="inlineStr">
        <is>
          <t>CM.L2-3.4.3</t>
        </is>
      </c>
      <c r="H344" s="97" t="n">
        <v>1</v>
      </c>
      <c r="I344" s="94" t="inlineStr">
        <is>
          <t>Track, review, approve or disapprove, and log changes to organizational systems.</t>
        </is>
      </c>
      <c r="J344" s="96" t="inlineStr">
        <is>
          <t>Determine if:</t>
        </is>
      </c>
      <c r="K344" s="98" t="inlineStr">
        <is>
          <t>[No Comment Provided]</t>
        </is>
      </c>
      <c r="L344" s="565" t="inlineStr">
        <is>
          <t xml:space="preserve">Overall Status - Pending policy/procedure review meeting and observation of controls in place. 
Updates required to documentation
Test required for validating controls in place
Examine - Policy updates may be required based on interviews/walkthroughs. 
Interview  Controls are currently being implemented. - 
Test - Review testing measures in place. </t>
        </is>
      </c>
      <c r="M344" s="99" t="inlineStr">
        <is>
          <t>Implementation Begun</t>
        </is>
      </c>
      <c r="N344" s="100" t="n"/>
      <c r="O344" s="101">
        <f t="array" ref="O344">IF(AND(M345="Fully Implemented",M346="Fully Implemented",M347="Fully Implemented",M348="Fully Implemented"),0,-1*H344)</f>
        <v/>
      </c>
      <c r="P344" s="619" t="n"/>
      <c r="T344" s="102">
        <f t="array" ref="T344">IF(O344=0,H344,0)</f>
        <v/>
      </c>
    </row>
    <row r="345" ht="13.5" customFormat="1" customHeight="1" s="81">
      <c r="A345" s="203" t="inlineStr">
        <is>
          <t>5</t>
        </is>
      </c>
      <c r="B345" s="204" t="inlineStr">
        <is>
          <t>5.06.a</t>
        </is>
      </c>
      <c r="C345" s="105" t="inlineStr">
        <is>
          <t>Outsource</t>
        </is>
      </c>
      <c r="D345" s="106" t="inlineStr">
        <is>
          <t>Configuration Management</t>
        </is>
      </c>
      <c r="E345" s="107" t="inlineStr">
        <is>
          <t>3.4.3[a]</t>
        </is>
      </c>
      <c r="F345" s="107" t="inlineStr">
        <is>
          <t>03.04.03.a</t>
        </is>
      </c>
      <c r="G345" s="108" t="inlineStr">
        <is>
          <t>CM.L2-3.4.3</t>
        </is>
      </c>
      <c r="H345" s="205" t="n"/>
      <c r="I345" s="206" t="n"/>
      <c r="J345" s="108" t="inlineStr">
        <is>
          <t>changes to the system are tracked.</t>
        </is>
      </c>
      <c r="K345" s="207" t="n"/>
      <c r="M345" s="112" t="inlineStr">
        <is>
          <t>Implementation Begun</t>
        </is>
      </c>
      <c r="O345" s="208" t="n"/>
      <c r="P345" s="623" t="n"/>
    </row>
    <row r="346" ht="13.5" customFormat="1" customHeight="1" s="81">
      <c r="A346" s="203" t="inlineStr">
        <is>
          <t>5</t>
        </is>
      </c>
      <c r="B346" s="204" t="inlineStr">
        <is>
          <t>5.06.b</t>
        </is>
      </c>
      <c r="C346" s="105" t="inlineStr">
        <is>
          <t>Outsource</t>
        </is>
      </c>
      <c r="D346" s="106" t="inlineStr">
        <is>
          <t>Configuration Management</t>
        </is>
      </c>
      <c r="E346" s="107" t="inlineStr">
        <is>
          <t>3.4.3[b]</t>
        </is>
      </c>
      <c r="F346" s="107" t="inlineStr">
        <is>
          <t>03.04.03.b</t>
        </is>
      </c>
      <c r="G346" s="108" t="inlineStr">
        <is>
          <t>CM.L2-3.4.3</t>
        </is>
      </c>
      <c r="H346" s="205" t="n"/>
      <c r="I346" s="206" t="n"/>
      <c r="J346" s="108" t="inlineStr">
        <is>
          <t>changes to the system are reviewed.</t>
        </is>
      </c>
      <c r="K346" s="207" t="n"/>
      <c r="M346" s="112" t="inlineStr">
        <is>
          <t>Implementation Begun</t>
        </is>
      </c>
      <c r="O346" s="208" t="n"/>
      <c r="P346" s="623" t="n"/>
    </row>
    <row r="347" ht="13.5" customFormat="1" customHeight="1" s="81">
      <c r="A347" s="203" t="inlineStr">
        <is>
          <t>5</t>
        </is>
      </c>
      <c r="B347" s="204" t="inlineStr">
        <is>
          <t>5.06.c</t>
        </is>
      </c>
      <c r="C347" s="105" t="inlineStr">
        <is>
          <t>Outsource</t>
        </is>
      </c>
      <c r="D347" s="106" t="inlineStr">
        <is>
          <t>Configuration Management</t>
        </is>
      </c>
      <c r="E347" s="107" t="inlineStr">
        <is>
          <t>3.4.3[c]</t>
        </is>
      </c>
      <c r="F347" s="107" t="inlineStr">
        <is>
          <t>03.04.03.c</t>
        </is>
      </c>
      <c r="G347" s="108" t="inlineStr">
        <is>
          <t>CM.L2-3.4.3</t>
        </is>
      </c>
      <c r="H347" s="205" t="n"/>
      <c r="I347" s="206" t="n"/>
      <c r="J347" s="108" t="inlineStr">
        <is>
          <t>changes to the system are approved or disapproved.</t>
        </is>
      </c>
      <c r="K347" s="207" t="n"/>
      <c r="M347" s="112" t="inlineStr">
        <is>
          <t>Implementation Begun</t>
        </is>
      </c>
      <c r="O347" s="208" t="n"/>
      <c r="P347" s="623" t="n"/>
    </row>
    <row r="348" ht="15.75" customFormat="1" customHeight="1" s="81">
      <c r="A348" s="209" t="inlineStr">
        <is>
          <t>5</t>
        </is>
      </c>
      <c r="B348" s="210" t="inlineStr">
        <is>
          <t>5.06.d</t>
        </is>
      </c>
      <c r="C348" s="116" t="inlineStr">
        <is>
          <t>Outsource</t>
        </is>
      </c>
      <c r="D348" s="117" t="inlineStr">
        <is>
          <t>Configuration Management</t>
        </is>
      </c>
      <c r="E348" s="118" t="inlineStr">
        <is>
          <t>3.4.3[d]</t>
        </is>
      </c>
      <c r="F348" s="118" t="inlineStr">
        <is>
          <t>03.04.03.d</t>
        </is>
      </c>
      <c r="G348" s="119" t="inlineStr">
        <is>
          <t>CM.L2-3.4.3</t>
        </is>
      </c>
      <c r="H348" s="211" t="n"/>
      <c r="I348" s="212" t="n"/>
      <c r="J348" s="119" t="inlineStr">
        <is>
          <t>changes to the system are logged.</t>
        </is>
      </c>
      <c r="K348" s="213" t="n"/>
      <c r="M348" s="112" t="inlineStr">
        <is>
          <t>Implementation Begun</t>
        </is>
      </c>
      <c r="N348" s="124" t="n"/>
      <c r="O348" s="214" t="n"/>
      <c r="P348" s="623" t="n"/>
    </row>
    <row r="349" ht="45.75" customFormat="1" customHeight="1" s="81">
      <c r="A349" s="215" t="inlineStr">
        <is>
          <t>5</t>
        </is>
      </c>
      <c r="B349" s="216" t="inlineStr">
        <is>
          <t>5.07.0</t>
        </is>
      </c>
      <c r="C349" s="130" t="inlineStr">
        <is>
          <t>Outsource</t>
        </is>
      </c>
      <c r="D349" s="131" t="inlineStr">
        <is>
          <t>Configuration Management</t>
        </is>
      </c>
      <c r="E349" s="132" t="inlineStr">
        <is>
          <t>3.4.4</t>
        </is>
      </c>
      <c r="F349" s="132" t="inlineStr">
        <is>
          <t>03.04.04.0</t>
        </is>
      </c>
      <c r="G349" s="133" t="inlineStr">
        <is>
          <t>CM.L2-3.4.4</t>
        </is>
      </c>
      <c r="H349" s="134" t="n">
        <v>1</v>
      </c>
      <c r="I349" s="131" t="inlineStr">
        <is>
          <t>Analyze the security impact of changes prior to implementation.</t>
        </is>
      </c>
      <c r="J349" s="133" t="inlineStr">
        <is>
          <t>Determine if the security impact of changes to each organizational system is analyzed prior to implementation.</t>
        </is>
      </c>
      <c r="K349" s="135" t="inlineStr">
        <is>
          <t>[No Comment Provided]</t>
        </is>
      </c>
      <c r="L349" s="565" t="inlineStr">
        <is>
          <t xml:space="preserve">Overall Status - Pending policy/procedure review meeting and observation of controls in place. 
Updates required to documentation
Test required for validating controls in place
Examine - Policy updates may be required based on interviews/walkthroughs. 
Interview  Controls are currently being implemented. - 
Test - Review testing measures in place. </t>
        </is>
      </c>
      <c r="M349" s="112" t="inlineStr">
        <is>
          <t>Implementation Begun</t>
        </is>
      </c>
      <c r="N349" s="136" t="n"/>
      <c r="O349" s="137">
        <f t="array" ref="O349">IF(M349&lt;&gt;"Fully Implemented",-1*H349,0)</f>
        <v/>
      </c>
      <c r="P349" s="619" t="n"/>
      <c r="T349" s="102">
        <f t="array" ref="T349">IF(O349=0,H349,0)</f>
        <v/>
      </c>
    </row>
    <row r="350" ht="45.75" customFormat="1" customHeight="1" s="81">
      <c r="A350" s="215" t="inlineStr">
        <is>
          <t>5</t>
        </is>
      </c>
      <c r="B350" s="216" t="inlineStr">
        <is>
          <t>5.08.0</t>
        </is>
      </c>
      <c r="C350" s="130" t="inlineStr">
        <is>
          <t>Outsource</t>
        </is>
      </c>
      <c r="D350" s="131" t="inlineStr">
        <is>
          <t>Security Assessment</t>
        </is>
      </c>
      <c r="E350" s="132" t="inlineStr">
        <is>
          <t>3.12.3</t>
        </is>
      </c>
      <c r="F350" s="132" t="inlineStr">
        <is>
          <t>03.12.03.0</t>
        </is>
      </c>
      <c r="G350" s="133" t="inlineStr">
        <is>
          <t>CA.L2-3.12.3</t>
        </is>
      </c>
      <c r="H350" s="134" t="n">
        <v>5</v>
      </c>
      <c r="I350" s="131" t="inlineStr">
        <is>
          <t xml:space="preserve">Monitor security controls on an ongoing basis to ensure the continued effectiveness of the controls. </t>
        </is>
      </c>
      <c r="J350" s="133" t="inlineStr">
        <is>
          <t>Determine if security controls are monitored on an ongoing basis to ensure the continued effectiveness of those controls.</t>
        </is>
      </c>
      <c r="K350" s="135" t="inlineStr">
        <is>
          <t>[No Comment Provided]</t>
        </is>
      </c>
      <c r="L350" s="565" t="inlineStr">
        <is>
          <t xml:space="preserve">Overall Status - Pending policy/procedure review meeting and observation of controls in place. 
Updates required to documentation
Test required for validating controls in place
Examine - Policy updates may be required based on interviews/walkthroughs. 
Interview  Controls are currently being implemented. - 
Test - Review testing measures in place. </t>
        </is>
      </c>
      <c r="M350" s="112" t="inlineStr">
        <is>
          <t>Implementation Begun</t>
        </is>
      </c>
      <c r="N350" s="136" t="n"/>
      <c r="O350" s="137">
        <f t="array" ref="O350">IF(M350&lt;&gt;"Fully Implemented",-1*H350,0)</f>
        <v/>
      </c>
      <c r="P350" s="619" t="n"/>
      <c r="T350" s="102">
        <f t="array" ref="T350">IF(O350=0,H350,0)</f>
        <v/>
      </c>
    </row>
    <row r="351" ht="30" customFormat="1" customHeight="1" s="81">
      <c r="A351" s="201" t="inlineStr">
        <is>
          <t>5</t>
        </is>
      </c>
      <c r="B351" s="202" t="inlineStr">
        <is>
          <t>5.09.0</t>
        </is>
      </c>
      <c r="C351" s="93" t="inlineStr">
        <is>
          <t>DIY</t>
        </is>
      </c>
      <c r="D351" s="94" t="inlineStr">
        <is>
          <t>Media Protection</t>
        </is>
      </c>
      <c r="E351" s="95" t="inlineStr">
        <is>
          <t>3.8.4</t>
        </is>
      </c>
      <c r="F351" s="95" t="inlineStr">
        <is>
          <t>03.08.04.0</t>
        </is>
      </c>
      <c r="G351" s="96" t="inlineStr">
        <is>
          <t>MP.L2-3.8.4</t>
        </is>
      </c>
      <c r="H351" s="97" t="n">
        <v>1</v>
      </c>
      <c r="I351" s="94" t="inlineStr">
        <is>
          <t>Mark media with necessary CUI markings and distribution limitations.</t>
        </is>
      </c>
      <c r="J351" s="96" t="inlineStr">
        <is>
          <t>Determine if:</t>
        </is>
      </c>
      <c r="K351" s="98" t="inlineStr">
        <is>
          <t>[No Comment Provided]</t>
        </is>
      </c>
      <c r="L351" s="502" t="inlineStr">
        <is>
          <t>Overall Status Meets - Pending policy/procedure review meeting and observation of controls in place. 
Updates required to documentation
Test required for validating controls in place
Examine - Policy updates required. 
Interview  Controls are currently being implemented. - 
Test - Review testing measures in place. 
DOC-012 Canopy A&amp;D - 3.8 - System Media Protection Policy.docx
DOC-023 Certificate of Destruction-Sanitization.pdf</t>
        </is>
      </c>
      <c r="M351" s="99" t="inlineStr">
        <is>
          <t>Implementation Begun</t>
        </is>
      </c>
      <c r="N351" s="100" t="n"/>
      <c r="O351" s="101">
        <f t="array" ref="O351">IF(AND(M352="Fully Implemented",M353="Fully Implemented"),0,-1*H351)</f>
        <v/>
      </c>
      <c r="P351" s="619" t="n"/>
      <c r="T351" s="102">
        <f t="array" ref="T351">IF(O351=0,H351,0)</f>
        <v/>
      </c>
    </row>
    <row r="352" ht="30" customFormat="1" customHeight="1" s="81">
      <c r="A352" s="203" t="inlineStr">
        <is>
          <t>5</t>
        </is>
      </c>
      <c r="B352" s="204" t="inlineStr">
        <is>
          <t>5.09.a</t>
        </is>
      </c>
      <c r="C352" s="105" t="inlineStr">
        <is>
          <t>DIY</t>
        </is>
      </c>
      <c r="D352" s="106" t="inlineStr">
        <is>
          <t>Media Protection</t>
        </is>
      </c>
      <c r="E352" s="107" t="inlineStr">
        <is>
          <t>3.8.4[a]</t>
        </is>
      </c>
      <c r="F352" s="107" t="inlineStr">
        <is>
          <t>03.08.04.a</t>
        </is>
      </c>
      <c r="G352" s="108" t="inlineStr">
        <is>
          <t>MP.L2-3.8.4</t>
        </is>
      </c>
      <c r="H352" s="205" t="n"/>
      <c r="I352" s="206" t="n"/>
      <c r="J352" s="108" t="inlineStr">
        <is>
          <t>media containing CUI is marked with applicable CUI markings.</t>
        </is>
      </c>
      <c r="K352" s="207" t="n"/>
      <c r="M352" s="112" t="inlineStr">
        <is>
          <t>Implementation Begun</t>
        </is>
      </c>
      <c r="O352" s="208" t="n"/>
      <c r="P352" s="623" t="n"/>
    </row>
    <row r="353" ht="30.75" customFormat="1" customHeight="1" s="81">
      <c r="A353" s="209" t="inlineStr">
        <is>
          <t>5</t>
        </is>
      </c>
      <c r="B353" s="210" t="inlineStr">
        <is>
          <t>5.09.b</t>
        </is>
      </c>
      <c r="C353" s="116" t="inlineStr">
        <is>
          <t>DIY</t>
        </is>
      </c>
      <c r="D353" s="117" t="inlineStr">
        <is>
          <t>Media Protection</t>
        </is>
      </c>
      <c r="E353" s="118" t="inlineStr">
        <is>
          <t>3.8.4[b]</t>
        </is>
      </c>
      <c r="F353" s="118" t="inlineStr">
        <is>
          <t>03.08.04.b</t>
        </is>
      </c>
      <c r="G353" s="119" t="inlineStr">
        <is>
          <t>MP.L2-3.8.4</t>
        </is>
      </c>
      <c r="H353" s="211" t="n"/>
      <c r="I353" s="212" t="n"/>
      <c r="J353" s="119" t="inlineStr">
        <is>
          <t>media containing CUI is marked with distribution limitations.</t>
        </is>
      </c>
      <c r="K353" s="213" t="n"/>
      <c r="M353" s="112" t="inlineStr">
        <is>
          <t>Implementation Begun</t>
        </is>
      </c>
      <c r="N353" s="124" t="n"/>
      <c r="O353" s="214" t="n"/>
      <c r="P353" s="623" t="n"/>
    </row>
    <row r="354" ht="30" customFormat="1" customHeight="1" s="81">
      <c r="A354" s="164" t="inlineStr">
        <is>
          <t>3</t>
        </is>
      </c>
      <c r="B354" s="165" t="inlineStr">
        <is>
          <t>3.16.c</t>
        </is>
      </c>
      <c r="C354" s="93" t="inlineStr">
        <is>
          <t>DIY</t>
        </is>
      </c>
      <c r="D354" s="94" t="inlineStr">
        <is>
          <t>Access Control</t>
        </is>
      </c>
      <c r="E354" s="95" t="inlineStr">
        <is>
          <t>3.1.4[c]</t>
        </is>
      </c>
      <c r="F354" s="95" t="inlineStr">
        <is>
          <t>03.01.04.c</t>
        </is>
      </c>
      <c r="G354" s="96" t="inlineStr">
        <is>
          <t>AC.L2-3.1.4</t>
        </is>
      </c>
      <c r="H354" s="593" t="n"/>
      <c r="I354" s="598" t="n"/>
      <c r="J354" s="96" t="inlineStr">
        <is>
          <t>separate accounts for individuals whose duties and accesses must be separated to reduce the risk of malevolent activity or collusion are established</t>
        </is>
      </c>
      <c r="K354" s="178" t="n"/>
      <c r="L354" s="565" t="n"/>
      <c r="M354" s="605" t="inlineStr">
        <is>
          <t>Implementation Begun</t>
        </is>
      </c>
      <c r="N354" s="100" t="n"/>
      <c r="O354" s="614" t="n"/>
      <c r="P354" s="622" t="n"/>
    </row>
    <row r="355" ht="121.5" customFormat="1" customHeight="1" s="81">
      <c r="A355" s="166" t="inlineStr">
        <is>
          <t>3</t>
        </is>
      </c>
      <c r="B355" s="167" t="inlineStr">
        <is>
          <t>3.17.0</t>
        </is>
      </c>
      <c r="C355" s="105" t="inlineStr">
        <is>
          <t>Outsource</t>
        </is>
      </c>
      <c r="D355" s="106" t="inlineStr">
        <is>
          <t>Access Control</t>
        </is>
      </c>
      <c r="E355" s="107" t="inlineStr">
        <is>
          <t>3.1.5</t>
        </is>
      </c>
      <c r="F355" s="107" t="inlineStr">
        <is>
          <t>03.01.05.0</t>
        </is>
      </c>
      <c r="G355" s="108" t="inlineStr">
        <is>
          <t>AC.L2-3.1.5</t>
        </is>
      </c>
      <c r="H355" s="591" t="n">
        <v>3</v>
      </c>
      <c r="I355" s="106" t="inlineStr">
        <is>
          <t>Employ the principle of least privilege, including for specific security functions and privileged accounts.</t>
        </is>
      </c>
      <c r="J355" s="108" t="inlineStr">
        <is>
          <t>Determine if:</t>
        </is>
      </c>
      <c r="K355" s="601" t="inlineStr">
        <is>
          <t>[No Comment Provided]</t>
        </is>
      </c>
      <c r="L355" s="565" t="inlineStr">
        <is>
          <t>Least privilege is enforced at every layer. Azure RBAC scopes resource access to minimum required roles. Azure AD PIM requires approval workflows for elevated role activation. Okta group assignments follow least-privilege role definitions. Cloudflare Access issues per-application grants — users receive no implicit network-level access beyond what is explicitly authorized.</t>
        </is>
      </c>
      <c r="M355" s="111" t="inlineStr">
        <is>
          <t>Implementation Begun</t>
        </is>
      </c>
      <c r="N355" s="609" t="n"/>
      <c r="O355" s="612">
        <f t="array" ref="O355">IF(AND(M356="Fully Implemented",M357="Fully Implemented",M358="Fully Implemented",M359="Fully Implemented"),0,-1*H355)</f>
        <v/>
      </c>
      <c r="P355" s="619" t="n"/>
      <c r="T355" s="102">
        <f t="array" ref="T355">IF(O355=0,H355,0)</f>
        <v/>
      </c>
    </row>
    <row r="356" ht="15.75" customFormat="1" customHeight="1" s="81">
      <c r="A356" s="172" t="inlineStr">
        <is>
          <t>3</t>
        </is>
      </c>
      <c r="B356" s="173" t="inlineStr">
        <is>
          <t>3.17.a</t>
        </is>
      </c>
      <c r="C356" s="116" t="inlineStr">
        <is>
          <t>Outsource</t>
        </is>
      </c>
      <c r="D356" s="117" t="inlineStr">
        <is>
          <t>Access Control</t>
        </is>
      </c>
      <c r="E356" s="118" t="inlineStr">
        <is>
          <t>3.1.5[a]</t>
        </is>
      </c>
      <c r="F356" s="118" t="inlineStr">
        <is>
          <t>03.01.05.a</t>
        </is>
      </c>
      <c r="G356" s="119" t="inlineStr">
        <is>
          <t>AC.L2-3.1.5</t>
        </is>
      </c>
      <c r="H356" s="174" t="n"/>
      <c r="I356" s="175" t="n"/>
      <c r="J356" s="119" t="inlineStr">
        <is>
          <t>privileged accounts are identified.</t>
        </is>
      </c>
      <c r="K356" s="176" t="n"/>
      <c r="L356" s="565" t="n"/>
      <c r="M356" s="112" t="inlineStr">
        <is>
          <t>Implementation Begun</t>
        </is>
      </c>
      <c r="N356" s="608" t="n"/>
      <c r="O356" s="180" t="n"/>
      <c r="P356" s="622" t="n"/>
    </row>
    <row r="357" ht="30.75" customFormat="1" customHeight="1" s="81">
      <c r="A357" s="215" t="inlineStr">
        <is>
          <t>5</t>
        </is>
      </c>
      <c r="B357" s="216" t="inlineStr">
        <is>
          <t>5.11.0</t>
        </is>
      </c>
      <c r="C357" s="130" t="inlineStr">
        <is>
          <t>DIY</t>
        </is>
      </c>
      <c r="D357" s="131" t="inlineStr">
        <is>
          <t>System and Communications Protection</t>
        </is>
      </c>
      <c r="E357" s="132" t="inlineStr">
        <is>
          <t>3.13.16</t>
        </is>
      </c>
      <c r="F357" s="132" t="inlineStr">
        <is>
          <t>03.13.16.0</t>
        </is>
      </c>
      <c r="G357" s="133" t="inlineStr">
        <is>
          <t>SC.L2-3.13.16</t>
        </is>
      </c>
      <c r="H357" s="134" t="n">
        <v>1</v>
      </c>
      <c r="I357" s="131" t="inlineStr">
        <is>
          <t xml:space="preserve">Protect the confidentiality of CUI at rest. </t>
        </is>
      </c>
      <c r="J357" s="133" t="inlineStr">
        <is>
          <t>Determine if the confidentiality of CUI at rest is protected.</t>
        </is>
      </c>
      <c r="K357" s="135" t="inlineStr">
        <is>
          <t>[No Comment Provided]</t>
        </is>
      </c>
      <c r="L357" s="565" t="inlineStr">
        <is>
          <t xml:space="preserve">Overall Status - Pending policy/procedure review meeting and observation of controls in place. 
Updates required to documentation
Test required for validating controls in place
Examine - Policy updates may be required based on interviews/walkthroughs. 
Interview  Controls are currently being implemented. - 
Test - Review testing measures in place. </t>
        </is>
      </c>
      <c r="M357" s="112" t="inlineStr">
        <is>
          <t>Implementation Begun</t>
        </is>
      </c>
      <c r="N357" s="142" t="n"/>
      <c r="O357" s="137">
        <f t="array" ref="O357">IF(M357&lt;&gt;"Fully Implemented",-1*H357,0)</f>
        <v/>
      </c>
      <c r="P357" s="619" t="n"/>
      <c r="T357" s="102">
        <f t="array" ref="T357">IF(O357=0,H357,0)</f>
        <v/>
      </c>
    </row>
    <row r="358" ht="30.75" customFormat="1" customHeight="1" s="81">
      <c r="A358" s="215" t="inlineStr">
        <is>
          <t>5</t>
        </is>
      </c>
      <c r="B358" s="216" t="inlineStr">
        <is>
          <t>5.12.0</t>
        </is>
      </c>
      <c r="C358" s="130" t="inlineStr">
        <is>
          <t>DIY</t>
        </is>
      </c>
      <c r="D358" s="131" t="inlineStr">
        <is>
          <t>Media Protection</t>
        </is>
      </c>
      <c r="E358" s="132" t="inlineStr">
        <is>
          <t>3.8.9</t>
        </is>
      </c>
      <c r="F358" s="132" t="inlineStr">
        <is>
          <t>03.08.09.0</t>
        </is>
      </c>
      <c r="G358" s="133" t="inlineStr">
        <is>
          <t>MP.L2-3.8.9</t>
        </is>
      </c>
      <c r="H358" s="134" t="n">
        <v>1</v>
      </c>
      <c r="I358" s="131" t="inlineStr">
        <is>
          <t>Protect the confidentiality of backup CUI at storage locations.</t>
        </is>
      </c>
      <c r="J358" s="133" t="inlineStr">
        <is>
          <t>Determine if the confidentiality of backup CUI is protected at storage locations.</t>
        </is>
      </c>
      <c r="K358" s="135" t="inlineStr">
        <is>
          <t>[No Comment Provided]</t>
        </is>
      </c>
      <c r="L358" s="502" t="inlineStr">
        <is>
          <t>Overall Status Meets - Pending policy/procedure review meeting and observation of controls in place. 
Updates required to documentation
Test required for validating controls in place
Examine - Policy updates required. 
Interview  Controls are currently being implemented. - 
Test - Review testing measures in place. 
DOC-012 Canopy A&amp;D - 3.8 - System Media Protection Policy.docx
DOC-023 Certificate of Destruction-Sanitization.pdf</t>
        </is>
      </c>
      <c r="M358" s="112" t="inlineStr">
        <is>
          <t>Implementation Begun</t>
        </is>
      </c>
      <c r="N358" s="136" t="n"/>
      <c r="O358" s="137">
        <f t="array" ref="O358">IF(M358&lt;&gt;"Fully Implemented",-1*H358,0)</f>
        <v/>
      </c>
      <c r="P358" s="619" t="n"/>
      <c r="T358" s="102">
        <f t="array" ref="T358">IF(O358=0,H358,0)</f>
        <v/>
      </c>
    </row>
    <row r="359" ht="30" customFormat="1" customHeight="1" s="81">
      <c r="A359" s="164" t="inlineStr">
        <is>
          <t>3</t>
        </is>
      </c>
      <c r="B359" s="165" t="inlineStr">
        <is>
          <t>3.17.b</t>
        </is>
      </c>
      <c r="C359" s="93" t="inlineStr">
        <is>
          <t>Outsource</t>
        </is>
      </c>
      <c r="D359" s="94" t="inlineStr">
        <is>
          <t>Access Control</t>
        </is>
      </c>
      <c r="E359" s="95" t="inlineStr">
        <is>
          <t>3.1.5[b]</t>
        </is>
      </c>
      <c r="F359" s="95" t="inlineStr">
        <is>
          <t>03.01.05.b</t>
        </is>
      </c>
      <c r="G359" s="96" t="inlineStr">
        <is>
          <t>AC.L2-3.1.5</t>
        </is>
      </c>
      <c r="H359" s="593" t="n"/>
      <c r="I359" s="598" t="n"/>
      <c r="J359" s="96" t="inlineStr">
        <is>
          <t>access to privileged accounts is authorized in accordance with the principle of least privilege.</t>
        </is>
      </c>
      <c r="K359" s="178" t="n"/>
      <c r="L359" s="565" t="n"/>
      <c r="M359" s="605" t="inlineStr">
        <is>
          <t>Implementation Begun</t>
        </is>
      </c>
      <c r="N359" s="606" t="n"/>
      <c r="O359" s="614" t="n"/>
      <c r="P359" s="622" t="n"/>
    </row>
    <row r="360" ht="13.5" customFormat="1" customHeight="1" s="81">
      <c r="A360" s="166" t="inlineStr">
        <is>
          <t>3</t>
        </is>
      </c>
      <c r="B360" s="167" t="inlineStr">
        <is>
          <t>3.17.c</t>
        </is>
      </c>
      <c r="C360" s="105" t="inlineStr">
        <is>
          <t>Outsource</t>
        </is>
      </c>
      <c r="D360" s="106" t="inlineStr">
        <is>
          <t>Access Control</t>
        </is>
      </c>
      <c r="E360" s="107" t="inlineStr">
        <is>
          <t>3.1.5[c]</t>
        </is>
      </c>
      <c r="F360" s="107" t="inlineStr">
        <is>
          <t>03.01.05.c</t>
        </is>
      </c>
      <c r="G360" s="108" t="inlineStr">
        <is>
          <t>AC.L2-3.1.5</t>
        </is>
      </c>
      <c r="H360" s="168" t="n"/>
      <c r="I360" s="169" t="n"/>
      <c r="J360" s="108" t="inlineStr">
        <is>
          <t>security functions are identified.</t>
        </is>
      </c>
      <c r="K360" s="170" t="n"/>
      <c r="L360" s="565" t="n"/>
      <c r="M360" s="112" t="inlineStr">
        <is>
          <t>Implementation Begun</t>
        </is>
      </c>
      <c r="O360" s="179" t="n"/>
      <c r="P360" s="622" t="n"/>
    </row>
    <row r="361" ht="30" customFormat="1" customHeight="1" s="81">
      <c r="A361" s="166" t="inlineStr">
        <is>
          <t>3</t>
        </is>
      </c>
      <c r="B361" s="167" t="inlineStr">
        <is>
          <t>3.17.d</t>
        </is>
      </c>
      <c r="C361" s="105" t="inlineStr">
        <is>
          <t>Outsource</t>
        </is>
      </c>
      <c r="D361" s="106" t="inlineStr">
        <is>
          <t>Access Control</t>
        </is>
      </c>
      <c r="E361" s="107" t="inlineStr">
        <is>
          <t>3.1.5[d]</t>
        </is>
      </c>
      <c r="F361" s="107" t="inlineStr">
        <is>
          <t>03.01.05.d</t>
        </is>
      </c>
      <c r="G361" s="108" t="inlineStr">
        <is>
          <t>AC.L2-3.1.5</t>
        </is>
      </c>
      <c r="H361" s="168" t="n"/>
      <c r="I361" s="169" t="n"/>
      <c r="J361" s="108" t="inlineStr">
        <is>
          <t>access to security functions is authorized in accordance with the principle of least privilege.</t>
        </is>
      </c>
      <c r="K361" s="170" t="n"/>
      <c r="L361" s="565" t="n"/>
      <c r="M361" s="112" t="inlineStr">
        <is>
          <t>Implementation Begun</t>
        </is>
      </c>
      <c r="N361" s="607" t="n"/>
      <c r="O361" s="179" t="n"/>
      <c r="P361" s="622" t="n"/>
    </row>
    <row r="362" ht="45" customFormat="1" customHeight="1" s="81">
      <c r="A362" s="148" t="inlineStr">
        <is>
          <t>2</t>
        </is>
      </c>
      <c r="B362" s="149" t="inlineStr">
        <is>
          <t>2.09.0</t>
        </is>
      </c>
      <c r="C362" s="105" t="inlineStr">
        <is>
          <t>Outsource</t>
        </is>
      </c>
      <c r="D362" s="106" t="inlineStr">
        <is>
          <t>Access Control</t>
        </is>
      </c>
      <c r="E362" s="107" t="inlineStr">
        <is>
          <t>3.1.6</t>
        </is>
      </c>
      <c r="F362" s="107" t="inlineStr">
        <is>
          <t>03.01.06.0</t>
        </is>
      </c>
      <c r="G362" s="108" t="inlineStr">
        <is>
          <t>AC.L2-3.1.6</t>
        </is>
      </c>
      <c r="H362" s="591" t="n">
        <v>1</v>
      </c>
      <c r="I362" s="106" t="inlineStr">
        <is>
          <t>Use non-privileged accounts or roles when accessing nonsecurity functions.</t>
        </is>
      </c>
      <c r="J362" s="108" t="inlineStr">
        <is>
          <t>Determine if:</t>
        </is>
      </c>
      <c r="K362" s="601" t="inlineStr">
        <is>
          <t>[No Comment Provided]</t>
        </is>
      </c>
      <c r="L362" s="565" t="inlineStr">
        <is>
          <t>Privileged users maintain dedicated admin accounts used exclusively for administrative tasks. Standard work activities are performed from non-privileged accounts. Okta maintains separate admin account profiles distinct from standard user identities. Azure AD admin accounts are cloud-only and not licensed for M365 productivity services.</t>
        </is>
      </c>
      <c r="M362" s="111" t="inlineStr">
        <is>
          <t>Implementation Begun</t>
        </is>
      </c>
      <c r="N362" s="609" t="n"/>
      <c r="O362" s="612">
        <f t="array" ref="O362">IF(AND(M363="Fully Implemented",M364="Fully Implemented"),0,-1*H362)</f>
        <v/>
      </c>
      <c r="P362" s="619" t="n"/>
      <c r="T362" s="102">
        <f t="array" ref="T362">IF(O362=0,H362,0)</f>
        <v/>
      </c>
    </row>
    <row r="363" ht="30" customFormat="1" customHeight="1" s="81">
      <c r="A363" s="148" t="inlineStr">
        <is>
          <t>2</t>
        </is>
      </c>
      <c r="B363" s="149" t="inlineStr">
        <is>
          <t>2.09.a</t>
        </is>
      </c>
      <c r="C363" s="105" t="inlineStr">
        <is>
          <t>Outsource</t>
        </is>
      </c>
      <c r="D363" s="106" t="inlineStr">
        <is>
          <t>Access Control</t>
        </is>
      </c>
      <c r="E363" s="107" t="inlineStr">
        <is>
          <t>3.1.6[a]</t>
        </is>
      </c>
      <c r="F363" s="107" t="inlineStr">
        <is>
          <t>03.01.06.a</t>
        </is>
      </c>
      <c r="G363" s="108" t="inlineStr">
        <is>
          <t>AC.L2-3.1.6</t>
        </is>
      </c>
      <c r="H363" s="150" t="n"/>
      <c r="I363" s="151" t="n"/>
      <c r="J363" s="108" t="inlineStr">
        <is>
          <t>nonsecurity functions are identified.</t>
        </is>
      </c>
      <c r="K363" s="152" t="n"/>
      <c r="L363" s="565" t="n"/>
      <c r="M363" s="112" t="inlineStr">
        <is>
          <t>Implementation Begun</t>
        </is>
      </c>
      <c r="O363" s="153" t="n"/>
      <c r="P363" s="621" t="n"/>
    </row>
    <row r="364" ht="45.75" customFormat="1" customHeight="1" s="81">
      <c r="A364" s="154" t="inlineStr">
        <is>
          <t>2</t>
        </is>
      </c>
      <c r="B364" s="155" t="inlineStr">
        <is>
          <t>2.09.b</t>
        </is>
      </c>
      <c r="C364" s="116" t="inlineStr">
        <is>
          <t>Outsource</t>
        </is>
      </c>
      <c r="D364" s="117" t="inlineStr">
        <is>
          <t>Access Control</t>
        </is>
      </c>
      <c r="E364" s="118" t="inlineStr">
        <is>
          <t>3.1.6[b]</t>
        </is>
      </c>
      <c r="F364" s="118" t="inlineStr">
        <is>
          <t>03.01.06.b</t>
        </is>
      </c>
      <c r="G364" s="119" t="inlineStr">
        <is>
          <t>AC.L2-3.1.6</t>
        </is>
      </c>
      <c r="H364" s="156" t="n"/>
      <c r="I364" s="160" t="n"/>
      <c r="J364" s="119" t="inlineStr">
        <is>
          <t>users are required to use non-privileged accounts or roles when accessing nonsecurity functions.</t>
        </is>
      </c>
      <c r="K364" s="158" t="n"/>
      <c r="L364" s="565" t="n"/>
      <c r="M364" s="112" t="inlineStr">
        <is>
          <t>Implementation Begun</t>
        </is>
      </c>
      <c r="N364" s="124" t="n"/>
      <c r="O364" s="159" t="n"/>
      <c r="P364" s="621" t="n"/>
    </row>
    <row r="365" ht="56.1" customFormat="1" customHeight="1" s="81">
      <c r="A365" s="201" t="inlineStr">
        <is>
          <t>5</t>
        </is>
      </c>
      <c r="B365" s="202" t="inlineStr">
        <is>
          <t>5.14.0</t>
        </is>
      </c>
      <c r="C365" s="93" t="inlineStr">
        <is>
          <t>DIY</t>
        </is>
      </c>
      <c r="D365" s="94" t="inlineStr">
        <is>
          <t>Media Protection</t>
        </is>
      </c>
      <c r="E365" s="95" t="inlineStr">
        <is>
          <t>3.8.5</t>
        </is>
      </c>
      <c r="F365" s="95" t="inlineStr">
        <is>
          <t>03.08.05.0</t>
        </is>
      </c>
      <c r="G365" s="96" t="inlineStr">
        <is>
          <t>MP.L2-3.8.5</t>
        </is>
      </c>
      <c r="H365" s="97" t="n">
        <v>1</v>
      </c>
      <c r="I365" s="94" t="inlineStr">
        <is>
          <t>Control access to media containing CUI and maintain accountability for media during transport outside of controlled areas.</t>
        </is>
      </c>
      <c r="J365" s="96" t="inlineStr">
        <is>
          <t>Determine if:</t>
        </is>
      </c>
      <c r="K365" s="98" t="inlineStr">
        <is>
          <t>[No Comment Provided]</t>
        </is>
      </c>
      <c r="L365" s="502" t="inlineStr">
        <is>
          <t>Overall Status Meets - Pending policy/procedure review meeting and observation of controls in place. 
Updates required to documentation
Test required for validating controls in place
Examine - Policy updates required. 
Interview  Controls are currently being implemented. - 
Test - Review testing measures in place. 
DOC-012 Canopy A&amp;D - 3.8 - System Media Protection Policy.docx
DOC-023 Certificate of Destruction-Sanitization.pdf</t>
        </is>
      </c>
      <c r="M365" s="99" t="inlineStr">
        <is>
          <t>Implementation Begun</t>
        </is>
      </c>
      <c r="N365" s="100" t="n"/>
      <c r="O365" s="101">
        <f t="array" ref="O365">IF(AND(M366="Fully Implemented",M367="Fully Implemented"),0,-1*H365)</f>
        <v/>
      </c>
      <c r="P365" s="619" t="n"/>
      <c r="T365" s="102">
        <f t="array" ref="T365">IF(O365=0,H365,0)</f>
        <v/>
      </c>
    </row>
    <row r="366" ht="13.5" customFormat="1" customHeight="1" s="81">
      <c r="A366" s="203" t="inlineStr">
        <is>
          <t>5</t>
        </is>
      </c>
      <c r="B366" s="204" t="inlineStr">
        <is>
          <t>5.14.a</t>
        </is>
      </c>
      <c r="C366" s="105" t="inlineStr">
        <is>
          <t>DIY</t>
        </is>
      </c>
      <c r="D366" s="106" t="inlineStr">
        <is>
          <t>Media Protection</t>
        </is>
      </c>
      <c r="E366" s="107" t="inlineStr">
        <is>
          <t>3.8.5[a]</t>
        </is>
      </c>
      <c r="F366" s="107" t="inlineStr">
        <is>
          <t>03.08.05.a</t>
        </is>
      </c>
      <c r="G366" s="108" t="inlineStr">
        <is>
          <t>MP.L2-3.8.5</t>
        </is>
      </c>
      <c r="H366" s="205" t="n"/>
      <c r="I366" s="206" t="n"/>
      <c r="J366" s="108" t="inlineStr">
        <is>
          <t>access to media containing CUI is controlled.</t>
        </is>
      </c>
      <c r="K366" s="207" t="n"/>
      <c r="M366" s="112" t="inlineStr">
        <is>
          <t>Implementation Begun</t>
        </is>
      </c>
      <c r="O366" s="208" t="n"/>
      <c r="P366" s="623" t="n"/>
    </row>
    <row r="367" ht="29.1" customFormat="1" customHeight="1" s="81">
      <c r="A367" s="209" t="inlineStr">
        <is>
          <t>5</t>
        </is>
      </c>
      <c r="B367" s="210" t="inlineStr">
        <is>
          <t>5.14.b</t>
        </is>
      </c>
      <c r="C367" s="116" t="inlineStr">
        <is>
          <t>DIY</t>
        </is>
      </c>
      <c r="D367" s="117" t="inlineStr">
        <is>
          <t>Media Protection</t>
        </is>
      </c>
      <c r="E367" s="118" t="inlineStr">
        <is>
          <t>3.8.5[b]</t>
        </is>
      </c>
      <c r="F367" s="118" t="inlineStr">
        <is>
          <t>03.08.05.b</t>
        </is>
      </c>
      <c r="G367" s="119" t="inlineStr">
        <is>
          <t>MP.L2-3.8.5</t>
        </is>
      </c>
      <c r="H367" s="211" t="n"/>
      <c r="I367" s="212" t="n"/>
      <c r="J367" s="119" t="inlineStr">
        <is>
          <t>accountability for media containing CUI is maintained during transport outside of controlled areas.</t>
        </is>
      </c>
      <c r="K367" s="213" t="n"/>
      <c r="M367" s="112" t="inlineStr">
        <is>
          <t>Implementation Begun</t>
        </is>
      </c>
      <c r="N367" s="124" t="n"/>
      <c r="O367" s="214" t="n"/>
      <c r="P367" s="623" t="n"/>
    </row>
    <row r="368" ht="60" customFormat="1" customHeight="1" s="81">
      <c r="A368" s="201" t="inlineStr">
        <is>
          <t>5</t>
        </is>
      </c>
      <c r="B368" s="202" t="inlineStr">
        <is>
          <t>5.15.0</t>
        </is>
      </c>
      <c r="C368" s="93" t="inlineStr">
        <is>
          <t>Hybrid</t>
        </is>
      </c>
      <c r="D368" s="94" t="inlineStr">
        <is>
          <t>System and Communications Protection</t>
        </is>
      </c>
      <c r="E368" s="95" t="inlineStr">
        <is>
          <t>3.13.8</t>
        </is>
      </c>
      <c r="F368" s="95" t="inlineStr">
        <is>
          <t>03.13.08.0</t>
        </is>
      </c>
      <c r="G368" s="96" t="inlineStr">
        <is>
          <t>SC.L2-3.13.8</t>
        </is>
      </c>
      <c r="H368" s="97" t="n">
        <v>3</v>
      </c>
      <c r="I368" s="94" t="inlineStr">
        <is>
          <t>Implement cryptographic mechanisms to prevent unauthorized disclosure of CUI during transmission unless otherwise protected by alternative physical safeguards.</t>
        </is>
      </c>
      <c r="J368" s="96" t="inlineStr">
        <is>
          <t>Determine if:</t>
        </is>
      </c>
      <c r="K368" s="98" t="inlineStr">
        <is>
          <t>[No Comment Provided]</t>
        </is>
      </c>
      <c r="L368" s="565" t="inlineStr">
        <is>
          <t xml:space="preserve">Overall Status - Pending policy/procedure review meeting and observation of controls in place. 
Updates required to documentation
Test required for validating controls in place
Examine - Policy updates may be required based on interviews/walkthroughs. 
Interview  Controls are currently being implemented. - 
Test - Review testing measures in place. </t>
        </is>
      </c>
      <c r="M368" s="99" t="inlineStr">
        <is>
          <t>Implementation Begun</t>
        </is>
      </c>
      <c r="N368" s="100" t="n"/>
      <c r="O368" s="101">
        <f t="array" ref="O368">IF(AND(OR(M369="Fully Implemented",M369="Not Permitted"),OR(M370="Fully Implemented",M370="Not Permitted"),OR(M371="Fully Implemented",M371="Not Permitted")),0,-1*H368)</f>
        <v/>
      </c>
      <c r="P368" s="619" t="n"/>
      <c r="T368" s="102">
        <f t="array" ref="T368">IF(O368=0,H368,0)</f>
        <v/>
      </c>
    </row>
    <row r="369" ht="30" customFormat="1" customHeight="1" s="81">
      <c r="A369" s="203" t="inlineStr">
        <is>
          <t>5</t>
        </is>
      </c>
      <c r="B369" s="204" t="inlineStr">
        <is>
          <t>5.15.a</t>
        </is>
      </c>
      <c r="C369" s="105" t="inlineStr">
        <is>
          <t>Outsource</t>
        </is>
      </c>
      <c r="D369" s="106" t="inlineStr">
        <is>
          <t>System and Communications Protection</t>
        </is>
      </c>
      <c r="E369" s="107" t="inlineStr">
        <is>
          <t>3.13.8[a]</t>
        </is>
      </c>
      <c r="F369" s="107" t="inlineStr">
        <is>
          <t>03.13.08.a</t>
        </is>
      </c>
      <c r="G369" s="108" t="inlineStr">
        <is>
          <t>SC.L2-3.13.8</t>
        </is>
      </c>
      <c r="H369" s="205" t="n"/>
      <c r="I369" s="206" t="n"/>
      <c r="J369" s="108" t="inlineStr">
        <is>
          <t>cryptographic mechanisms intended to prevent unauthorized disclosure of CUI are identified.</t>
        </is>
      </c>
      <c r="K369" s="207" t="n"/>
      <c r="M369" s="112" t="inlineStr">
        <is>
          <t>Implementation Begun</t>
        </is>
      </c>
      <c r="O369" s="208" t="n"/>
      <c r="P369" s="623" t="n"/>
    </row>
    <row r="370" ht="30" customFormat="1" customHeight="1" s="81">
      <c r="A370" s="203" t="inlineStr">
        <is>
          <t>5</t>
        </is>
      </c>
      <c r="B370" s="204" t="inlineStr">
        <is>
          <t>5.15.b</t>
        </is>
      </c>
      <c r="C370" s="105" t="inlineStr">
        <is>
          <t>DIY</t>
        </is>
      </c>
      <c r="D370" s="106" t="inlineStr">
        <is>
          <t>System and Communications Protection</t>
        </is>
      </c>
      <c r="E370" s="107" t="inlineStr">
        <is>
          <t>3.13.8[b]</t>
        </is>
      </c>
      <c r="F370" s="107" t="inlineStr">
        <is>
          <t>03.13.08.b</t>
        </is>
      </c>
      <c r="G370" s="108" t="inlineStr">
        <is>
          <t>SC.L2-3.13.8</t>
        </is>
      </c>
      <c r="H370" s="205" t="n"/>
      <c r="I370" s="206" t="n"/>
      <c r="J370" s="108" t="inlineStr">
        <is>
          <t>alternative physical safeguards intended to prevent unauthorized disclosure of CUI are identified.</t>
        </is>
      </c>
      <c r="K370" s="207" t="n"/>
      <c r="M370" s="112" t="inlineStr">
        <is>
          <t>Implementation Begun</t>
        </is>
      </c>
      <c r="O370" s="208" t="n"/>
      <c r="P370" s="623" t="n"/>
    </row>
    <row r="371" ht="45.75" customFormat="1" customHeight="1" s="81">
      <c r="A371" s="209" t="inlineStr">
        <is>
          <t>5</t>
        </is>
      </c>
      <c r="B371" s="210" t="inlineStr">
        <is>
          <t>5.15.c</t>
        </is>
      </c>
      <c r="C371" s="116" t="inlineStr">
        <is>
          <t>Hybrid</t>
        </is>
      </c>
      <c r="D371" s="117" t="inlineStr">
        <is>
          <t>System and Communications Protection</t>
        </is>
      </c>
      <c r="E371" s="118" t="inlineStr">
        <is>
          <t>3.13.8[c]</t>
        </is>
      </c>
      <c r="F371" s="118" t="inlineStr">
        <is>
          <t>03.13.08.c</t>
        </is>
      </c>
      <c r="G371" s="119" t="inlineStr">
        <is>
          <t>SC.L2-3.13.8</t>
        </is>
      </c>
      <c r="H371" s="211" t="n"/>
      <c r="I371" s="212" t="n"/>
      <c r="J371" s="119" t="inlineStr">
        <is>
          <t>either cryptographic mechanisms or alternative physical safeguards are implemented to prevent unauthorized disclosure of CUI during transmission.</t>
        </is>
      </c>
      <c r="K371" s="213" t="n"/>
      <c r="M371" s="112" t="inlineStr">
        <is>
          <t>Implementation Begun</t>
        </is>
      </c>
      <c r="N371" s="124" t="n"/>
      <c r="O371" s="214" t="n"/>
      <c r="P371" s="623" t="n"/>
    </row>
    <row r="372" ht="152.25" customFormat="1" customHeight="1" s="81">
      <c r="A372" s="215" t="inlineStr">
        <is>
          <t>5</t>
        </is>
      </c>
      <c r="B372" s="216" t="inlineStr">
        <is>
          <t>5.16.0</t>
        </is>
      </c>
      <c r="C372" s="130" t="inlineStr">
        <is>
          <t>DIY</t>
        </is>
      </c>
      <c r="D372" s="131" t="inlineStr">
        <is>
          <t>Media Protection</t>
        </is>
      </c>
      <c r="E372" s="132" t="inlineStr">
        <is>
          <t>3.8.6</t>
        </is>
      </c>
      <c r="F372" s="132" t="inlineStr">
        <is>
          <t>03.08.06.0</t>
        </is>
      </c>
      <c r="G372" s="133" t="inlineStr">
        <is>
          <t>MP.L2-3.8.6</t>
        </is>
      </c>
      <c r="H372" s="134" t="n">
        <v>1</v>
      </c>
      <c r="I372" s="131" t="inlineStr">
        <is>
          <t>Implement cryptographic mechanisms to protect the confidentiality of CUI stored on digital media during transport unless otherwise protected by alternative physical safeguards.</t>
        </is>
      </c>
      <c r="J372" s="133" t="inlineStr">
        <is>
          <t>Determine if the confidentiality of CUI stored on digital media is protected during transport using cryptographic mechanisms or alternative physical safeguards.</t>
        </is>
      </c>
      <c r="K372" s="135" t="inlineStr">
        <is>
          <t>[No Comment Provided]</t>
        </is>
      </c>
      <c r="L372" s="502" t="inlineStr">
        <is>
          <t>Overall Status Meets - Pending policy/procedure review meeting and observation of controls in place. 
Updates required to documentation
Test required for validating controls in place
Examine - Policy updates required. 
Interview  Controls are currently being implemented. - 
Test - Review testing measures in place. 
DOC-012 Canopy A&amp;D - 3.8 - System Media Protection Policy.docx
DOC-023 Certificate of Destruction-Sanitization.pdf</t>
        </is>
      </c>
      <c r="M372" s="112" t="inlineStr">
        <is>
          <t>Implementation Begun</t>
        </is>
      </c>
      <c r="N372" s="136" t="n"/>
      <c r="O372" s="137">
        <f t="array" ref="O372">IF(M372&lt;&gt;"Fully Implemented",-1*H372,0)</f>
        <v/>
      </c>
      <c r="P372" s="619" t="n"/>
      <c r="T372" s="102">
        <f t="array" ref="T372">IF(O372=0,H372,0)</f>
        <v/>
      </c>
    </row>
    <row r="373" ht="30.75" customFormat="1" customHeight="1" s="81">
      <c r="A373" s="215" t="inlineStr">
        <is>
          <t>5</t>
        </is>
      </c>
      <c r="B373" s="216" t="inlineStr">
        <is>
          <t>5.17.0</t>
        </is>
      </c>
      <c r="C373" s="130" t="inlineStr">
        <is>
          <t>DIY</t>
        </is>
      </c>
      <c r="D373" s="131" t="inlineStr">
        <is>
          <t>Personnel Security</t>
        </is>
      </c>
      <c r="E373" s="132" t="inlineStr">
        <is>
          <t>3.9.1</t>
        </is>
      </c>
      <c r="F373" s="132" t="inlineStr">
        <is>
          <t>03.09.01.0</t>
        </is>
      </c>
      <c r="G373" s="133" t="inlineStr">
        <is>
          <t>PS.L2-3.9.1</t>
        </is>
      </c>
      <c r="H373" s="134" t="n">
        <v>3</v>
      </c>
      <c r="I373" s="131" t="inlineStr">
        <is>
          <t xml:space="preserve">Screen individuals prior to authorizing access to organizational systems containing CUI. </t>
        </is>
      </c>
      <c r="J373" s="133" t="inlineStr">
        <is>
          <t>Determine if individuals are screened prior to authorizing access to organizational systems.</t>
        </is>
      </c>
      <c r="K373" s="135" t="inlineStr">
        <is>
          <t>[No Comment Provided]</t>
        </is>
      </c>
      <c r="L373" s="565" t="inlineStr">
        <is>
          <t xml:space="preserve">Overall Status - Pending policy/procedure review meeting and observation of controls in place. 
Updates required to documentation
Test required for validating controls in place
Examine - Policy updates may be required based on interviews/walkthroughs. 
Interview  Controls are currently being implemented. - 
Test - Review testing measures in place. </t>
        </is>
      </c>
      <c r="M373" s="112" t="inlineStr">
        <is>
          <t>Implementation Begun</t>
        </is>
      </c>
      <c r="N373" s="136" t="n"/>
      <c r="O373" s="137">
        <f t="array" ref="O373">IF(M373&lt;&gt;"Fully Implemented",-1*H373,0)</f>
        <v/>
      </c>
      <c r="P373" s="619" t="n"/>
      <c r="T373" s="102">
        <f t="array" ref="T373">IF(O373=0,H373,0)</f>
        <v/>
      </c>
    </row>
    <row r="374" ht="45" customFormat="1" customHeight="1" s="81">
      <c r="A374" s="201" t="inlineStr">
        <is>
          <t>5</t>
        </is>
      </c>
      <c r="B374" s="202" t="inlineStr">
        <is>
          <t>5.18.0</t>
        </is>
      </c>
      <c r="C374" s="93" t="inlineStr">
        <is>
          <t>DIY</t>
        </is>
      </c>
      <c r="D374" s="94" t="inlineStr">
        <is>
          <t>Personnel Security</t>
        </is>
      </c>
      <c r="E374" s="95" t="inlineStr">
        <is>
          <t>3.9.2</t>
        </is>
      </c>
      <c r="F374" s="95" t="inlineStr">
        <is>
          <t>03.09.02.0</t>
        </is>
      </c>
      <c r="G374" s="96" t="inlineStr">
        <is>
          <t>PS.L2-3.9.2</t>
        </is>
      </c>
      <c r="H374" s="97" t="n">
        <v>5</v>
      </c>
      <c r="I374" s="94" t="inlineStr">
        <is>
          <t xml:space="preserve">Ensure that organizational systems containing CUI are protected during and after personnel actions such as terminations and transfers. </t>
        </is>
      </c>
      <c r="J374" s="96" t="inlineStr">
        <is>
          <t>Determine if:</t>
        </is>
      </c>
      <c r="K374" s="98" t="inlineStr">
        <is>
          <t>[No Comment Provided]</t>
        </is>
      </c>
      <c r="L374" s="565" t="inlineStr">
        <is>
          <t xml:space="preserve">Overall Status - Pending policy/procedure review meeting and observation of controls in place. 
Updates required to documentation
Test required for validating controls in place
Examine - Policy updates may be required based on interviews/walkthroughs. 
Interview  Controls are currently being implemented. - 
Test - Review testing measures in place. </t>
        </is>
      </c>
      <c r="M374" s="99" t="inlineStr">
        <is>
          <t>Implementation Begun</t>
        </is>
      </c>
      <c r="N374" s="100" t="n"/>
      <c r="O374" s="101">
        <f t="array" ref="O374">IF(AND(M375="Fully Implemented",M376="Fully Implemented",M377="Fully Implemented"),0,-1*H374)</f>
        <v/>
      </c>
      <c r="P374" s="619" t="n"/>
      <c r="T374" s="102">
        <f t="array" ref="T374">IF(O374=0,H374,0)</f>
        <v/>
      </c>
    </row>
    <row r="375" ht="44.1" customFormat="1" customHeight="1" s="81">
      <c r="A375" s="203" t="inlineStr">
        <is>
          <t>5</t>
        </is>
      </c>
      <c r="B375" s="204" t="inlineStr">
        <is>
          <t>5.18.a</t>
        </is>
      </c>
      <c r="C375" s="105" t="inlineStr">
        <is>
          <t>DIY</t>
        </is>
      </c>
      <c r="D375" s="106" t="inlineStr">
        <is>
          <t>Personnel Security</t>
        </is>
      </c>
      <c r="E375" s="107" t="inlineStr">
        <is>
          <t>3.9.2[a]</t>
        </is>
      </c>
      <c r="F375" s="107" t="inlineStr">
        <is>
          <t>03.09.02.a</t>
        </is>
      </c>
      <c r="G375" s="108" t="inlineStr">
        <is>
          <t>PS.L2-3.9.2</t>
        </is>
      </c>
      <c r="H375" s="205" t="n"/>
      <c r="I375" s="206" t="n"/>
      <c r="J375" s="108" t="inlineStr">
        <is>
          <t>a policy and/or process for terminating system access authorization and any credentials coincident with personnel actions is established.</t>
        </is>
      </c>
      <c r="K375" s="207" t="n"/>
      <c r="M375" s="112" t="inlineStr">
        <is>
          <t>Implementation Begun</t>
        </is>
      </c>
      <c r="O375" s="208" t="n"/>
      <c r="P375" s="623" t="n"/>
    </row>
    <row r="376" ht="45" customFormat="1" customHeight="1" s="81">
      <c r="A376" s="203" t="inlineStr">
        <is>
          <t>5</t>
        </is>
      </c>
      <c r="B376" s="204" t="inlineStr">
        <is>
          <t>5.18.b</t>
        </is>
      </c>
      <c r="C376" s="105" t="inlineStr">
        <is>
          <t>DIY</t>
        </is>
      </c>
      <c r="D376" s="106" t="inlineStr">
        <is>
          <t>Personnel Security</t>
        </is>
      </c>
      <c r="E376" s="107" t="inlineStr">
        <is>
          <t>3.9.2[b]</t>
        </is>
      </c>
      <c r="F376" s="107" t="inlineStr">
        <is>
          <t>03.09.02.b</t>
        </is>
      </c>
      <c r="G376" s="108" t="inlineStr">
        <is>
          <t>PS.L2-3.9.2</t>
        </is>
      </c>
      <c r="H376" s="205" t="n"/>
      <c r="I376" s="206" t="n"/>
      <c r="J376" s="108" t="inlineStr">
        <is>
          <t>system access and credentials are terminated consistent with personnel actions such as termination or transfer.</t>
        </is>
      </c>
      <c r="K376" s="207" t="n"/>
      <c r="M376" s="112" t="inlineStr">
        <is>
          <t>Implementation Begun</t>
        </is>
      </c>
      <c r="O376" s="208" t="n"/>
      <c r="P376" s="623" t="n"/>
    </row>
    <row r="377" ht="30.75" customFormat="1" customHeight="1" s="81">
      <c r="A377" s="209" t="inlineStr">
        <is>
          <t>5</t>
        </is>
      </c>
      <c r="B377" s="210" t="inlineStr">
        <is>
          <t>5.18.c</t>
        </is>
      </c>
      <c r="C377" s="116" t="inlineStr">
        <is>
          <t>DIY</t>
        </is>
      </c>
      <c r="D377" s="117" t="inlineStr">
        <is>
          <t>Personnel Security</t>
        </is>
      </c>
      <c r="E377" s="118" t="inlineStr">
        <is>
          <t>3.9.2[c]</t>
        </is>
      </c>
      <c r="F377" s="118" t="inlineStr">
        <is>
          <t>03.09.02.c</t>
        </is>
      </c>
      <c r="G377" s="119" t="inlineStr">
        <is>
          <t>PS.L2-3.9.2</t>
        </is>
      </c>
      <c r="H377" s="211" t="n"/>
      <c r="I377" s="212" t="n"/>
      <c r="J377" s="119" t="inlineStr">
        <is>
          <t>the system is protected during and after personnel transfer actions.</t>
        </is>
      </c>
      <c r="K377" s="213" t="n"/>
      <c r="M377" s="112" t="inlineStr">
        <is>
          <t>Implementation Begun</t>
        </is>
      </c>
      <c r="N377" s="124" t="n"/>
      <c r="O377" s="214" t="n"/>
      <c r="P377" s="623" t="n"/>
    </row>
    <row r="378" ht="45.75" customFormat="1" customHeight="1" s="81">
      <c r="A378" s="215" t="inlineStr">
        <is>
          <t>5</t>
        </is>
      </c>
      <c r="B378" s="216" t="inlineStr">
        <is>
          <t>5.19.0</t>
        </is>
      </c>
      <c r="C378" s="130" t="inlineStr">
        <is>
          <t>DIY</t>
        </is>
      </c>
      <c r="D378" s="131" t="inlineStr">
        <is>
          <t>Maintenance</t>
        </is>
      </c>
      <c r="E378" s="132" t="inlineStr">
        <is>
          <t>3.7.3</t>
        </is>
      </c>
      <c r="F378" s="132" t="inlineStr">
        <is>
          <t>03.07.03.0</t>
        </is>
      </c>
      <c r="G378" s="133" t="inlineStr">
        <is>
          <t>MA.L2-3.7.3</t>
        </is>
      </c>
      <c r="H378" s="134" t="n">
        <v>1</v>
      </c>
      <c r="I378" s="131" t="inlineStr">
        <is>
          <t>Ensure equipment removed for off-site maintenance is sanitized of any CUI.</t>
        </is>
      </c>
      <c r="J378" s="133" t="inlineStr">
        <is>
          <t>Determine if equipment to be removed from organizational spaces for off-site maintenance is sanitized of any CUI.</t>
        </is>
      </c>
      <c r="K378" s="135" t="inlineStr">
        <is>
          <t>[No Comment Provided]</t>
        </is>
      </c>
      <c r="L378" s="565" t="inlineStr">
        <is>
          <t xml:space="preserve">Overall Status - Pending policy/procedure review meeting and observation of controls in place. 
Updates required to documentation
Test required for validating controls in place
Examine - Policy updates may be required based on interviews/walkthroughs. 
Interview  Controls are currently being implemented. - 
Test - Review testing measures in place. </t>
        </is>
      </c>
      <c r="M378" s="112" t="inlineStr">
        <is>
          <t>Implementation Begun</t>
        </is>
      </c>
      <c r="N378" s="136" t="n"/>
      <c r="O378" s="137">
        <f t="array" ref="O378">IF(M378&lt;&gt;"Fully Implemented",-1*H378,0)</f>
        <v/>
      </c>
      <c r="P378" s="619" t="n"/>
      <c r="T378" s="102">
        <f t="array" ref="T378">IF(O378=0,H378,0)</f>
        <v/>
      </c>
    </row>
    <row r="379" ht="152.25" customFormat="1" customHeight="1" s="81">
      <c r="A379" s="201" t="inlineStr">
        <is>
          <t>5</t>
        </is>
      </c>
      <c r="B379" s="202" t="inlineStr">
        <is>
          <t>5.03.0</t>
        </is>
      </c>
      <c r="C379" s="93" t="inlineStr">
        <is>
          <t>Outsource</t>
        </is>
      </c>
      <c r="D379" s="94" t="inlineStr">
        <is>
          <t>Access Control</t>
        </is>
      </c>
      <c r="E379" s="95" t="inlineStr">
        <is>
          <t>3.1.7</t>
        </is>
      </c>
      <c r="F379" s="95" t="inlineStr">
        <is>
          <t>03.01.07.0</t>
        </is>
      </c>
      <c r="G379" s="96" t="inlineStr">
        <is>
          <t>AC.L2-3.1.7</t>
        </is>
      </c>
      <c r="H379" s="97" t="n">
        <v>1</v>
      </c>
      <c r="I379" s="94" t="inlineStr">
        <is>
          <t>Prevent non-privileged users from executing privileged functions and capture the execution of such functions in audit logs.</t>
        </is>
      </c>
      <c r="J379" s="96" t="inlineStr">
        <is>
          <t>Determine if:</t>
        </is>
      </c>
      <c r="K379" s="98" t="inlineStr">
        <is>
          <t>[No Comment Provided]</t>
        </is>
      </c>
      <c r="L379" s="565" t="inlineStr">
        <is>
          <t>Non-privileged users are blocked from executing privileged functions via Azure RBAC and Okta role assignments. Privileged administrative sessions are brokered exclusively through Cloudflare Access for Infrastructure — all SSH and RDP sessions are rendered in-browser with full command-level logging. The M365 GCCH Unified Audit Log and Azure Monitor capture all privileged actions. CrowdStrike Falcon Insight provides endpoint-level process execution monitoring.</t>
        </is>
      </c>
      <c r="M379" s="99" t="inlineStr">
        <is>
          <t>Implementation Begun</t>
        </is>
      </c>
      <c r="N379" s="140" t="n"/>
      <c r="O379" s="101">
        <f t="array" ref="O379">IF(AND(M380="Fully Implemented",M381="Fully Implemented",M382="Fully Implemented",M383="Fully Implemented"),0,-1*H379)</f>
        <v/>
      </c>
      <c r="P379" s="619" t="n"/>
      <c r="T379" s="102">
        <f t="array" ref="T379">IF(O379=0,H379,0)</f>
        <v/>
      </c>
    </row>
    <row r="380" ht="30" customFormat="1" customHeight="1" s="81">
      <c r="A380" s="203" t="inlineStr">
        <is>
          <t>5</t>
        </is>
      </c>
      <c r="B380" s="204" t="inlineStr">
        <is>
          <t>5.03.a</t>
        </is>
      </c>
      <c r="C380" s="105" t="inlineStr">
        <is>
          <t>Outsource</t>
        </is>
      </c>
      <c r="D380" s="106" t="inlineStr">
        <is>
          <t>Access Control</t>
        </is>
      </c>
      <c r="E380" s="107" t="inlineStr">
        <is>
          <t>3.1.7[a]</t>
        </is>
      </c>
      <c r="F380" s="107" t="inlineStr">
        <is>
          <t>03.01.07.a</t>
        </is>
      </c>
      <c r="G380" s="108" t="inlineStr">
        <is>
          <t>AC.L2-3.1.7</t>
        </is>
      </c>
      <c r="H380" s="205" t="n"/>
      <c r="I380" s="206" t="n"/>
      <c r="J380" s="108" t="inlineStr">
        <is>
          <t>privileged functions are defined.</t>
        </is>
      </c>
      <c r="K380" s="207" t="n"/>
      <c r="L380" s="565" t="n"/>
      <c r="M380" s="112" t="inlineStr">
        <is>
          <t>Implementation Begun</t>
        </is>
      </c>
      <c r="O380" s="208" t="n"/>
      <c r="P380" s="623" t="n"/>
    </row>
    <row r="381" ht="30.75" customFormat="1" customHeight="1" s="81">
      <c r="A381" s="209" t="inlineStr">
        <is>
          <t>5</t>
        </is>
      </c>
      <c r="B381" s="210" t="inlineStr">
        <is>
          <t>5.03.b</t>
        </is>
      </c>
      <c r="C381" s="116" t="inlineStr">
        <is>
          <t>Outsource</t>
        </is>
      </c>
      <c r="D381" s="117" t="inlineStr">
        <is>
          <t>Access Control</t>
        </is>
      </c>
      <c r="E381" s="118" t="inlineStr">
        <is>
          <t>3.1.7[b]</t>
        </is>
      </c>
      <c r="F381" s="118" t="inlineStr">
        <is>
          <t>03.01.07.b</t>
        </is>
      </c>
      <c r="G381" s="119" t="inlineStr">
        <is>
          <t>AC.L2-3.1.7</t>
        </is>
      </c>
      <c r="H381" s="211" t="n"/>
      <c r="I381" s="212" t="n"/>
      <c r="J381" s="119" t="inlineStr">
        <is>
          <t>non-privileged users are defined.</t>
        </is>
      </c>
      <c r="K381" s="213" t="n"/>
      <c r="L381" s="565" t="n"/>
      <c r="M381" s="112" t="inlineStr">
        <is>
          <t>Implementation Begun</t>
        </is>
      </c>
      <c r="N381" s="608" t="n"/>
      <c r="O381" s="214" t="n"/>
      <c r="P381" s="623" t="n"/>
    </row>
    <row r="382" ht="45" customFormat="1" customHeight="1" s="81">
      <c r="A382" s="201" t="inlineStr">
        <is>
          <t>5</t>
        </is>
      </c>
      <c r="B382" s="202" t="inlineStr">
        <is>
          <t>5.21.0</t>
        </is>
      </c>
      <c r="C382" s="93" t="inlineStr">
        <is>
          <t>Outsource</t>
        </is>
      </c>
      <c r="D382" s="94" t="inlineStr">
        <is>
          <t>System and Communications Protection</t>
        </is>
      </c>
      <c r="E382" s="95" t="inlineStr">
        <is>
          <t>3.13.9</t>
        </is>
      </c>
      <c r="F382" s="95" t="inlineStr">
        <is>
          <t>03.13.09.0</t>
        </is>
      </c>
      <c r="G382" s="96" t="inlineStr">
        <is>
          <t>SC.L2-3.13.9</t>
        </is>
      </c>
      <c r="H382" s="97" t="n">
        <v>1</v>
      </c>
      <c r="I382" s="94" t="inlineStr">
        <is>
          <t>Terminate network connections associated with communications sessions at the end of the sessions or after a defined period of inactivity.</t>
        </is>
      </c>
      <c r="J382" s="96" t="inlineStr">
        <is>
          <t>Determine if:</t>
        </is>
      </c>
      <c r="K382" s="98" t="inlineStr">
        <is>
          <t>[No Comment Provided]</t>
        </is>
      </c>
      <c r="L382" s="565" t="inlineStr">
        <is>
          <t xml:space="preserve">Overall Status - Pending policy/procedure review meeting and observation of controls in place. 
Updates required to documentation
Test required for validating controls in place
Examine - Policy updates may be required based on interviews/walkthroughs. 
Interview  Controls are currently being implemented. - 
Test - Review testing measures in place. </t>
        </is>
      </c>
      <c r="M382" s="99" t="inlineStr">
        <is>
          <t>Implementation Begun</t>
        </is>
      </c>
      <c r="N382" s="100" t="n"/>
      <c r="O382" s="101">
        <f t="array" ref="O382">IF(AND(OR(M383="Fully Implemented",M383="Not Permitted"),OR(M384="Fully Implemented",M384="Not Permitted"),OR(M385="Fully Implemented",M385="Not Permitted")),0,-1*H382)</f>
        <v/>
      </c>
      <c r="P382" s="619" t="n"/>
      <c r="T382" s="102">
        <f t="array" ref="T382">IF(O382=0,H382,0)</f>
        <v/>
      </c>
    </row>
    <row r="383" ht="45" customFormat="1" customHeight="1" s="81">
      <c r="A383" s="203" t="inlineStr">
        <is>
          <t>5</t>
        </is>
      </c>
      <c r="B383" s="204" t="inlineStr">
        <is>
          <t>5.21.a</t>
        </is>
      </c>
      <c r="C383" s="105" t="inlineStr">
        <is>
          <t>Outsource</t>
        </is>
      </c>
      <c r="D383" s="106" t="inlineStr">
        <is>
          <t>System and Communications Protection</t>
        </is>
      </c>
      <c r="E383" s="107" t="inlineStr">
        <is>
          <t>3.13.9[a]</t>
        </is>
      </c>
      <c r="F383" s="107" t="inlineStr">
        <is>
          <t>03.13.09.a</t>
        </is>
      </c>
      <c r="G383" s="108" t="inlineStr">
        <is>
          <t>SC.L2-3.13.9</t>
        </is>
      </c>
      <c r="I383" s="206" t="n"/>
      <c r="J383" s="108" t="inlineStr">
        <is>
          <t>a period of inactivity to terminate network connections associated with communications sessions is defined.</t>
        </is>
      </c>
      <c r="K383" s="207" t="n"/>
      <c r="M383" s="112" t="inlineStr">
        <is>
          <t>Implementation Begun</t>
        </is>
      </c>
      <c r="O383" s="208" t="n"/>
      <c r="P383" s="623" t="n"/>
    </row>
    <row r="384" ht="30" customFormat="1" customHeight="1" s="81">
      <c r="A384" s="203" t="inlineStr">
        <is>
          <t>5</t>
        </is>
      </c>
      <c r="B384" s="204" t="inlineStr">
        <is>
          <t>5.21.b</t>
        </is>
      </c>
      <c r="C384" s="105" t="inlineStr">
        <is>
          <t>Outsource</t>
        </is>
      </c>
      <c r="D384" s="106" t="inlineStr">
        <is>
          <t>System and Communications Protection</t>
        </is>
      </c>
      <c r="E384" s="107" t="inlineStr">
        <is>
          <t>3.13.9[b]</t>
        </is>
      </c>
      <c r="F384" s="107" t="inlineStr">
        <is>
          <t>03.13.09.b</t>
        </is>
      </c>
      <c r="G384" s="108" t="inlineStr">
        <is>
          <t>SC.L2-3.13.9</t>
        </is>
      </c>
      <c r="I384" s="206" t="n"/>
      <c r="J384" s="108" t="inlineStr">
        <is>
          <t>network connections associated with communications sessions are terminated at the end of the sessions.</t>
        </is>
      </c>
      <c r="K384" s="207" t="n"/>
      <c r="M384" s="112" t="inlineStr">
        <is>
          <t>Implementation Begun</t>
        </is>
      </c>
      <c r="O384" s="208" t="n"/>
      <c r="P384" s="623" t="n"/>
    </row>
    <row r="385" ht="45.75" customFormat="1" customHeight="1" s="81">
      <c r="A385" s="209" t="inlineStr">
        <is>
          <t>5</t>
        </is>
      </c>
      <c r="B385" s="210" t="inlineStr">
        <is>
          <t>5.21.c</t>
        </is>
      </c>
      <c r="C385" s="116" t="inlineStr">
        <is>
          <t>Outsource</t>
        </is>
      </c>
      <c r="D385" s="117" t="inlineStr">
        <is>
          <t>System and Communications Protection</t>
        </is>
      </c>
      <c r="E385" s="118" t="inlineStr">
        <is>
          <t>3.13.9[c]</t>
        </is>
      </c>
      <c r="F385" s="118" t="inlineStr">
        <is>
          <t>03.13.09.c</t>
        </is>
      </c>
      <c r="G385" s="119" t="inlineStr">
        <is>
          <t>SC.L2-3.13.9</t>
        </is>
      </c>
      <c r="I385" s="212" t="n"/>
      <c r="J385" s="119" t="inlineStr">
        <is>
          <t>network connections associated with communications sessions are terminated after the defined period of inactivity.</t>
        </is>
      </c>
      <c r="K385" s="213" t="n"/>
      <c r="M385" s="112" t="inlineStr">
        <is>
          <t>Implementation Begun</t>
        </is>
      </c>
      <c r="N385" s="124" t="n"/>
      <c r="O385" s="214" t="n"/>
      <c r="P385" s="623" t="n"/>
    </row>
    <row r="386" ht="45.75" customFormat="1" customHeight="1" s="81">
      <c r="A386" s="215" t="inlineStr">
        <is>
          <t>5</t>
        </is>
      </c>
      <c r="B386" s="216" t="inlineStr">
        <is>
          <t>5.22.0</t>
        </is>
      </c>
      <c r="C386" s="130" t="inlineStr">
        <is>
          <t>Outsource</t>
        </is>
      </c>
      <c r="D386" s="131" t="inlineStr">
        <is>
          <t>Identification and Authentication</t>
        </is>
      </c>
      <c r="E386" s="132" t="inlineStr">
        <is>
          <t>3.5.4</t>
        </is>
      </c>
      <c r="F386" s="132" t="inlineStr">
        <is>
          <t>03.05.04.0</t>
        </is>
      </c>
      <c r="G386" s="133" t="inlineStr">
        <is>
          <t>IA.L2-3.5.4</t>
        </is>
      </c>
      <c r="H386" s="134" t="n">
        <v>1</v>
      </c>
      <c r="I386" s="131" t="inlineStr">
        <is>
          <t>Employ replay-resistant authentication mechanisms for network access to privileged and non-privileged accounts.</t>
        </is>
      </c>
      <c r="J386" s="133" t="inlineStr">
        <is>
          <t>Determine if replay-resistant authentication mechanisms are implemented for all network account access to privileged and non-privileged accounts.</t>
        </is>
      </c>
      <c r="K386" s="135" t="inlineStr">
        <is>
          <t>[No Comment Provided]</t>
        </is>
      </c>
      <c r="L386" s="565" t="inlineStr">
        <is>
          <t xml:space="preserve">Overall Status - Pending policy/procedure review meeting and observation of controls in place. 
Updates required to documentation
Test required for validating controls in place
Examine - Policy updates may be required based on interviews/walkthroughs. 
Interview  Controls are currently being implemented. - 
Test - Review testing measures in place. </t>
        </is>
      </c>
      <c r="M386" s="112" t="inlineStr">
        <is>
          <t>Implementation Begun</t>
        </is>
      </c>
      <c r="N386" s="136" t="n"/>
      <c r="O386" s="137">
        <f t="array" ref="O386">IF(M386&lt;&gt;"Fully Implemented",-1*H386,0)</f>
        <v/>
      </c>
      <c r="P386" s="619" t="n"/>
      <c r="T386" s="102">
        <f t="array" ref="T386">IF(O386=0,H386,0)</f>
        <v/>
      </c>
    </row>
    <row r="387" ht="30" customFormat="1" customHeight="1" s="81">
      <c r="A387" s="201" t="inlineStr">
        <is>
          <t>5</t>
        </is>
      </c>
      <c r="B387" s="202" t="inlineStr">
        <is>
          <t>5.23.0</t>
        </is>
      </c>
      <c r="C387" s="93" t="inlineStr">
        <is>
          <t>DIY</t>
        </is>
      </c>
      <c r="D387" s="94" t="inlineStr">
        <is>
          <t>Identification and Authentication</t>
        </is>
      </c>
      <c r="E387" s="95" t="inlineStr">
        <is>
          <t>3.5.5</t>
        </is>
      </c>
      <c r="F387" s="95" t="inlineStr">
        <is>
          <t>03.05.05.0</t>
        </is>
      </c>
      <c r="G387" s="96" t="inlineStr">
        <is>
          <t>IA.L2-3.5.5</t>
        </is>
      </c>
      <c r="H387" s="97" t="n">
        <v>1</v>
      </c>
      <c r="I387" s="94" t="inlineStr">
        <is>
          <t>Prevent reuse of identifiers for a defined period.</t>
        </is>
      </c>
      <c r="J387" s="96" t="inlineStr">
        <is>
          <t>Determine if:</t>
        </is>
      </c>
      <c r="K387" s="98" t="inlineStr">
        <is>
          <t>[No Comment Provided]</t>
        </is>
      </c>
      <c r="L387" s="565" t="inlineStr">
        <is>
          <t xml:space="preserve">Overall Status - Pending policy/procedure review meeting and observation of controls in place. 
Updates required to documentation
Test required for validating controls in place
Examine - Policy updates may be required based on interviews/walkthroughs. 
Interview  Controls are currently being implemented. - 
Test - Review testing measures in place. </t>
        </is>
      </c>
      <c r="M387" s="99" t="inlineStr">
        <is>
          <t>Implementation Begun</t>
        </is>
      </c>
      <c r="N387" s="100" t="n"/>
      <c r="O387" s="101">
        <f t="array" ref="O387">IF(AND(M388="Fully Implemented",M389="Fully Implemented"),0,-1*H387)</f>
        <v/>
      </c>
      <c r="P387" s="619" t="n"/>
      <c r="T387" s="102">
        <f t="array" ref="T387">IF(O387=0,H387,0)</f>
        <v/>
      </c>
    </row>
    <row r="388" ht="30" customFormat="1" customHeight="1" s="81">
      <c r="A388" s="203" t="inlineStr">
        <is>
          <t>5</t>
        </is>
      </c>
      <c r="B388" s="204" t="inlineStr">
        <is>
          <t>5.23.a</t>
        </is>
      </c>
      <c r="C388" s="105" t="inlineStr">
        <is>
          <t>DIY</t>
        </is>
      </c>
      <c r="D388" s="106" t="inlineStr">
        <is>
          <t>Identification and Authentication</t>
        </is>
      </c>
      <c r="E388" s="107" t="inlineStr">
        <is>
          <t>3.5.5[a]</t>
        </is>
      </c>
      <c r="F388" s="107" t="inlineStr">
        <is>
          <t>03.05.05.a</t>
        </is>
      </c>
      <c r="G388" s="108" t="inlineStr">
        <is>
          <t>IA.L2-3.5.5</t>
        </is>
      </c>
      <c r="H388" s="205" t="n"/>
      <c r="I388" s="206" t="n"/>
      <c r="J388" s="108" t="inlineStr">
        <is>
          <t>a period within which identifiers cannot be reused is defined.</t>
        </is>
      </c>
      <c r="K388" s="207" t="n"/>
      <c r="M388" s="112" t="inlineStr">
        <is>
          <t>Implementation Begun</t>
        </is>
      </c>
      <c r="O388" s="208" t="n"/>
      <c r="P388" s="623" t="n"/>
    </row>
    <row r="389" ht="30.75" customFormat="1" customHeight="1" s="81">
      <c r="A389" s="209" t="inlineStr">
        <is>
          <t>5</t>
        </is>
      </c>
      <c r="B389" s="210" t="inlineStr">
        <is>
          <t>5.23.b</t>
        </is>
      </c>
      <c r="C389" s="116" t="inlineStr">
        <is>
          <t>DIY</t>
        </is>
      </c>
      <c r="D389" s="117" t="inlineStr">
        <is>
          <t>Identification and Authentication</t>
        </is>
      </c>
      <c r="E389" s="118" t="inlineStr">
        <is>
          <t>3.5.5[b]</t>
        </is>
      </c>
      <c r="F389" s="118" t="inlineStr">
        <is>
          <t>03.05.05.b</t>
        </is>
      </c>
      <c r="G389" s="119" t="inlineStr">
        <is>
          <t>IA.L2-3.5.5</t>
        </is>
      </c>
      <c r="H389" s="211" t="n"/>
      <c r="I389" s="212" t="n"/>
      <c r="J389" s="119" t="inlineStr">
        <is>
          <t>reuse of identifiers is prevented within the defined period.</t>
        </is>
      </c>
      <c r="K389" s="213" t="n"/>
      <c r="M389" s="112" t="inlineStr">
        <is>
          <t>Implementation Begun</t>
        </is>
      </c>
      <c r="N389" s="124" t="n"/>
      <c r="O389" s="214" t="n"/>
      <c r="P389" s="623" t="n"/>
    </row>
    <row r="390" ht="30" customFormat="1" customHeight="1" s="81">
      <c r="A390" s="201" t="inlineStr">
        <is>
          <t>5</t>
        </is>
      </c>
      <c r="B390" s="202" t="inlineStr">
        <is>
          <t>5.24.0</t>
        </is>
      </c>
      <c r="C390" s="93" t="inlineStr">
        <is>
          <t>Outsource</t>
        </is>
      </c>
      <c r="D390" s="94" t="inlineStr">
        <is>
          <t>Identification and Authentication</t>
        </is>
      </c>
      <c r="E390" s="95" t="inlineStr">
        <is>
          <t>3.5.6</t>
        </is>
      </c>
      <c r="F390" s="95" t="inlineStr">
        <is>
          <t>03.05.06.0</t>
        </is>
      </c>
      <c r="G390" s="96" t="inlineStr">
        <is>
          <t>IA.L2-3.5.6</t>
        </is>
      </c>
      <c r="H390" s="97" t="n">
        <v>1</v>
      </c>
      <c r="I390" s="94" t="inlineStr">
        <is>
          <t>Disable identifiers after a defined period of inactivity.</t>
        </is>
      </c>
      <c r="J390" s="96" t="inlineStr">
        <is>
          <t>Determine if:</t>
        </is>
      </c>
      <c r="K390" s="98" t="inlineStr">
        <is>
          <t>[No Comment Provided]</t>
        </is>
      </c>
      <c r="L390" s="565" t="inlineStr">
        <is>
          <t xml:space="preserve">Overall Status - Pending policy/procedure review meeting and observation of controls in place. 
Updates required to documentation
Test required for validating controls in place
Examine - Policy updates may be required based on interviews/walkthroughs. 
Interview  Controls are currently being implemented. - 
Test - Review testing measures in place. </t>
        </is>
      </c>
      <c r="M390" s="99" t="inlineStr">
        <is>
          <t>Implementation Begun</t>
        </is>
      </c>
      <c r="N390" s="100" t="n"/>
      <c r="O390" s="101">
        <f t="array" ref="O390">IF(AND(M391="Fully Implemented",M392="Fully Implemented"),0,-1*H390)</f>
        <v/>
      </c>
      <c r="P390" s="619" t="n"/>
      <c r="T390" s="102">
        <f t="array" ref="T390">IF(O390=0,H390,0)</f>
        <v/>
      </c>
    </row>
    <row r="391" ht="30" customFormat="1" customHeight="1" s="81">
      <c r="A391" s="203" t="inlineStr">
        <is>
          <t>5</t>
        </is>
      </c>
      <c r="B391" s="204" t="inlineStr">
        <is>
          <t>5.24.a</t>
        </is>
      </c>
      <c r="C391" s="105" t="inlineStr">
        <is>
          <t>Outsource</t>
        </is>
      </c>
      <c r="D391" s="106" t="inlineStr">
        <is>
          <t>Identification and Authentication</t>
        </is>
      </c>
      <c r="E391" s="107" t="inlineStr">
        <is>
          <t>3.5.6[a]</t>
        </is>
      </c>
      <c r="F391" s="107" t="inlineStr">
        <is>
          <t>03.05.06.a</t>
        </is>
      </c>
      <c r="G391" s="108" t="inlineStr">
        <is>
          <t>IA.L2-3.5.6</t>
        </is>
      </c>
      <c r="H391" s="205" t="n"/>
      <c r="I391" s="206" t="n"/>
      <c r="J391" s="108" t="inlineStr">
        <is>
          <t>a period of inactivity after which an identifier is disabled is defined.</t>
        </is>
      </c>
      <c r="K391" s="207" t="n"/>
      <c r="M391" s="112" t="inlineStr">
        <is>
          <t>Implementation Begun</t>
        </is>
      </c>
      <c r="O391" s="208" t="n"/>
      <c r="P391" s="623" t="n"/>
    </row>
    <row r="392" ht="30.75" customFormat="1" customHeight="1" s="81">
      <c r="A392" s="209" t="inlineStr">
        <is>
          <t>5</t>
        </is>
      </c>
      <c r="B392" s="210" t="inlineStr">
        <is>
          <t>5.24.b</t>
        </is>
      </c>
      <c r="C392" s="116" t="inlineStr">
        <is>
          <t>Outsource</t>
        </is>
      </c>
      <c r="D392" s="117" t="inlineStr">
        <is>
          <t>Identification and Authentication</t>
        </is>
      </c>
      <c r="E392" s="118" t="inlineStr">
        <is>
          <t>3.5.6[b]</t>
        </is>
      </c>
      <c r="F392" s="118" t="inlineStr">
        <is>
          <t>03.05.06.b</t>
        </is>
      </c>
      <c r="G392" s="119" t="inlineStr">
        <is>
          <t>IA.L2-3.5.6</t>
        </is>
      </c>
      <c r="H392" s="211" t="n"/>
      <c r="I392" s="212" t="n"/>
      <c r="J392" s="119" t="inlineStr">
        <is>
          <t>identifiers are disabled after the defined period of inactivity.</t>
        </is>
      </c>
      <c r="K392" s="213" t="n"/>
      <c r="M392" s="112" t="inlineStr">
        <is>
          <t>Implementation Begun</t>
        </is>
      </c>
      <c r="N392" s="124" t="n"/>
      <c r="O392" s="214" t="n"/>
      <c r="P392" s="623" t="n"/>
    </row>
    <row r="393" ht="30" customFormat="1" customHeight="1" s="81">
      <c r="A393" s="201" t="inlineStr">
        <is>
          <t>5</t>
        </is>
      </c>
      <c r="B393" s="202" t="inlineStr">
        <is>
          <t>5.25.0</t>
        </is>
      </c>
      <c r="C393" s="93" t="inlineStr">
        <is>
          <t>Outsource</t>
        </is>
      </c>
      <c r="D393" s="94" t="inlineStr">
        <is>
          <t>System and Communications Protection</t>
        </is>
      </c>
      <c r="E393" s="95" t="inlineStr">
        <is>
          <t>3.13.13</t>
        </is>
      </c>
      <c r="F393" s="95" t="inlineStr">
        <is>
          <t>03.13.13.0</t>
        </is>
      </c>
      <c r="G393" s="96" t="inlineStr">
        <is>
          <t>SC.L2-3.13.13</t>
        </is>
      </c>
      <c r="H393" s="97" t="n">
        <v>1</v>
      </c>
      <c r="I393" s="94" t="inlineStr">
        <is>
          <t>Control and monitor the use of mobile code.</t>
        </is>
      </c>
      <c r="J393" s="96" t="inlineStr">
        <is>
          <t>Determine if:</t>
        </is>
      </c>
      <c r="K393" s="98" t="inlineStr">
        <is>
          <t>[No Comment Provided]</t>
        </is>
      </c>
      <c r="L393" s="565" t="inlineStr">
        <is>
          <t xml:space="preserve">Overall Status - Pending policy/procedure review meeting and observation of controls in place. 
Updates required to documentation
Test required for validating controls in place
Examine - Policy updates may be required based on interviews/walkthroughs. 
Interview  Controls are currently being implemented. - 
Test - Review testing measures in place. </t>
        </is>
      </c>
      <c r="M393" s="99" t="inlineStr">
        <is>
          <t>Implementation Begun</t>
        </is>
      </c>
      <c r="N393" s="100" t="n"/>
      <c r="O393" s="101">
        <f t="array" ref="O393">IF(AND(M394="Fully Implemented",M395="Fully Implemented"),0,-1*H393)</f>
        <v/>
      </c>
      <c r="P393" s="619" t="n"/>
      <c r="T393" s="102">
        <f t="array" ref="T393">IF(O393=0,H393,0)</f>
        <v/>
      </c>
    </row>
    <row r="394" ht="30" customFormat="1" customHeight="1" s="81">
      <c r="A394" s="203" t="inlineStr">
        <is>
          <t>5</t>
        </is>
      </c>
      <c r="B394" s="204" t="inlineStr">
        <is>
          <t>5.25.a</t>
        </is>
      </c>
      <c r="C394" s="105" t="inlineStr">
        <is>
          <t>Outsource</t>
        </is>
      </c>
      <c r="D394" s="106" t="inlineStr">
        <is>
          <t>System and Communications Protection</t>
        </is>
      </c>
      <c r="E394" s="107" t="inlineStr">
        <is>
          <t>3.13.13[a]</t>
        </is>
      </c>
      <c r="F394" s="107" t="inlineStr">
        <is>
          <t>03.13.13.a</t>
        </is>
      </c>
      <c r="G394" s="108" t="inlineStr">
        <is>
          <t>SC.L2-3.13.13</t>
        </is>
      </c>
      <c r="H394" s="205" t="n"/>
      <c r="I394" s="206" t="n"/>
      <c r="J394" s="108" t="inlineStr">
        <is>
          <t>use of mobile code is controlled.</t>
        </is>
      </c>
      <c r="K394" s="207" t="n"/>
      <c r="M394" s="112" t="inlineStr">
        <is>
          <t>Implementation Begun</t>
        </is>
      </c>
      <c r="O394" s="208" t="n"/>
      <c r="P394" s="623" t="n"/>
    </row>
    <row r="395" ht="30.75" customFormat="1" customHeight="1" s="81">
      <c r="A395" s="209" t="inlineStr">
        <is>
          <t>5</t>
        </is>
      </c>
      <c r="B395" s="210" t="inlineStr">
        <is>
          <t>5.25.b</t>
        </is>
      </c>
      <c r="C395" s="116" t="inlineStr">
        <is>
          <t>Outsource</t>
        </is>
      </c>
      <c r="D395" s="117" t="inlineStr">
        <is>
          <t>System and Communications Protection</t>
        </is>
      </c>
      <c r="E395" s="118" t="inlineStr">
        <is>
          <t>3.13.13[b]</t>
        </is>
      </c>
      <c r="F395" s="118" t="inlineStr">
        <is>
          <t>03.13.13.b</t>
        </is>
      </c>
      <c r="G395" s="119" t="inlineStr">
        <is>
          <t>SC.L2-3.13.13</t>
        </is>
      </c>
      <c r="H395" s="211" t="n"/>
      <c r="I395" s="212" t="n"/>
      <c r="J395" s="119" t="inlineStr">
        <is>
          <t>use of mobile code is monitored.</t>
        </is>
      </c>
      <c r="K395" s="213" t="n"/>
      <c r="M395" s="112" t="inlineStr">
        <is>
          <t>Implementation Begun</t>
        </is>
      </c>
      <c r="N395" s="124" t="n"/>
      <c r="O395" s="214" t="n"/>
      <c r="P395" s="623" t="n"/>
    </row>
    <row r="396" ht="30" customFormat="1" customHeight="1" s="81" thickBot="1">
      <c r="A396" s="201" t="inlineStr">
        <is>
          <t>5</t>
        </is>
      </c>
      <c r="B396" s="202" t="inlineStr">
        <is>
          <t>5.26.0</t>
        </is>
      </c>
      <c r="C396" s="93" t="inlineStr">
        <is>
          <t>Hybrid</t>
        </is>
      </c>
      <c r="D396" s="94" t="inlineStr">
        <is>
          <t>System and Communications Protection</t>
        </is>
      </c>
      <c r="E396" s="95" t="inlineStr">
        <is>
          <t>3.13.14</t>
        </is>
      </c>
      <c r="F396" s="95" t="inlineStr">
        <is>
          <t>03.13.14.0</t>
        </is>
      </c>
      <c r="G396" s="96" t="inlineStr">
        <is>
          <t>SC.L2-3.13.14</t>
        </is>
      </c>
      <c r="H396" s="97" t="n">
        <v>1</v>
      </c>
      <c r="I396" s="94" t="inlineStr">
        <is>
          <t>Control and monitor the use of Voice over Internet Protocol (VoIP) technologies</t>
        </is>
      </c>
      <c r="J396" s="96" t="inlineStr">
        <is>
          <t>Determine if:</t>
        </is>
      </c>
      <c r="K396" s="98" t="inlineStr">
        <is>
          <t>[No Comment Provided]</t>
        </is>
      </c>
      <c r="L396" s="565" t="inlineStr">
        <is>
          <t xml:space="preserve">Overall Status - Pending policy/procedure review meeting and observation of controls in place. 
Updates required to documentation
Test required for validating controls in place
Examine - Policy updates may be required based on interviews/walkthroughs. 
Interview  Controls are currently being implemented. - 
Test - Review testing measures in place. </t>
        </is>
      </c>
      <c r="M396" s="99" t="inlineStr">
        <is>
          <t>Implementation Begun</t>
        </is>
      </c>
      <c r="N396" s="139" t="n"/>
      <c r="O396" s="101">
        <f t="array" ref="O396">IF(AND(M397="Fully Implemented",M398="Fully Implemented"),0,-1*H396)</f>
        <v/>
      </c>
      <c r="P396" s="619" t="n"/>
      <c r="T396" s="102">
        <f t="array" ref="T396">IF(O396=0,H396,0)</f>
        <v/>
      </c>
    </row>
    <row r="397" ht="30" customFormat="1" customHeight="1" s="81">
      <c r="A397" s="203" t="inlineStr">
        <is>
          <t>5</t>
        </is>
      </c>
      <c r="B397" s="204" t="inlineStr">
        <is>
          <t>5.26.a</t>
        </is>
      </c>
      <c r="C397" s="105" t="inlineStr">
        <is>
          <t>DIY</t>
        </is>
      </c>
      <c r="D397" s="106" t="inlineStr">
        <is>
          <t>System and Communications Protection</t>
        </is>
      </c>
      <c r="E397" s="107" t="inlineStr">
        <is>
          <t>3.13.14[a]</t>
        </is>
      </c>
      <c r="F397" s="107" t="inlineStr">
        <is>
          <t>03.13.14.a</t>
        </is>
      </c>
      <c r="G397" s="108" t="inlineStr">
        <is>
          <t>SC.L2-3.13.14</t>
        </is>
      </c>
      <c r="H397" s="205" t="n"/>
      <c r="I397" s="206" t="n"/>
      <c r="J397" s="108" t="inlineStr">
        <is>
          <t>use of Voice over Internet Protocol (VoIP) technologies is controlled.</t>
        </is>
      </c>
      <c r="K397" s="207" t="n"/>
      <c r="M397" s="112" t="inlineStr">
        <is>
          <t>Implementation Begun</t>
        </is>
      </c>
      <c r="O397" s="208" t="n"/>
      <c r="P397" s="623" t="n"/>
    </row>
    <row r="398" ht="30.75" customFormat="1" customHeight="1" s="81">
      <c r="A398" s="209" t="inlineStr">
        <is>
          <t>5</t>
        </is>
      </c>
      <c r="B398" s="210" t="inlineStr">
        <is>
          <t>5.26.b</t>
        </is>
      </c>
      <c r="C398" s="116" t="inlineStr">
        <is>
          <t>Outsource</t>
        </is>
      </c>
      <c r="D398" s="117" t="inlineStr">
        <is>
          <t>System and Communications Protection</t>
        </is>
      </c>
      <c r="E398" s="118" t="inlineStr">
        <is>
          <t>3.13.14[b]</t>
        </is>
      </c>
      <c r="F398" s="118" t="inlineStr">
        <is>
          <t>03.13.14.b</t>
        </is>
      </c>
      <c r="G398" s="119" t="inlineStr">
        <is>
          <t>SC.L2-3.13.14</t>
        </is>
      </c>
      <c r="H398" s="211" t="n"/>
      <c r="I398" s="212" t="n"/>
      <c r="J398" s="119" t="inlineStr">
        <is>
          <t>use of Voice over Internet Protocol (VoIP) technologies is monitored.</t>
        </is>
      </c>
      <c r="K398" s="213" t="n"/>
      <c r="M398" s="112" t="inlineStr">
        <is>
          <t>Implementation Begun</t>
        </is>
      </c>
      <c r="N398" s="124" t="n"/>
      <c r="O398" s="214" t="n"/>
      <c r="P398" s="623" t="n"/>
    </row>
    <row r="399" ht="30" customFormat="1" customHeight="1" s="81">
      <c r="A399" s="201" t="inlineStr">
        <is>
          <t>5</t>
        </is>
      </c>
      <c r="B399" s="202" t="inlineStr">
        <is>
          <t>5.03.c</t>
        </is>
      </c>
      <c r="C399" s="93" t="inlineStr">
        <is>
          <t>Outsource</t>
        </is>
      </c>
      <c r="D399" s="94" t="inlineStr">
        <is>
          <t>Access Control</t>
        </is>
      </c>
      <c r="E399" s="95" t="inlineStr">
        <is>
          <t>3.1.7[c]</t>
        </is>
      </c>
      <c r="F399" s="95" t="inlineStr">
        <is>
          <t>03.01.07.c</t>
        </is>
      </c>
      <c r="G399" s="96" t="inlineStr">
        <is>
          <t>AC.L2-3.1.7</t>
        </is>
      </c>
      <c r="H399" s="592" t="n"/>
      <c r="I399" s="597" t="n"/>
      <c r="J399" s="96" t="inlineStr">
        <is>
          <t>non-privileged users are prevented from executing privileged functions.</t>
        </is>
      </c>
      <c r="K399" s="602" t="n"/>
      <c r="L399" s="565" t="n"/>
      <c r="M399" s="605" t="inlineStr">
        <is>
          <t>Implementation Begun</t>
        </is>
      </c>
      <c r="N399" s="606" t="n"/>
      <c r="O399" s="613" t="n"/>
      <c r="P399" s="623" t="n"/>
    </row>
    <row r="400" ht="30" customFormat="1" customHeight="1" s="81">
      <c r="A400" s="203" t="inlineStr">
        <is>
          <t>5</t>
        </is>
      </c>
      <c r="B400" s="204" t="inlineStr">
        <is>
          <t>5.03.d</t>
        </is>
      </c>
      <c r="C400" s="105" t="inlineStr">
        <is>
          <t>Outsource</t>
        </is>
      </c>
      <c r="D400" s="106" t="inlineStr">
        <is>
          <t>Access Control</t>
        </is>
      </c>
      <c r="E400" s="107" t="inlineStr">
        <is>
          <t>3.1.7[d]</t>
        </is>
      </c>
      <c r="F400" s="107" t="inlineStr">
        <is>
          <t>03.01.07.d</t>
        </is>
      </c>
      <c r="G400" s="108" t="inlineStr">
        <is>
          <t>AC.L2-3.1.7</t>
        </is>
      </c>
      <c r="H400" s="205" t="n"/>
      <c r="I400" s="206" t="n"/>
      <c r="J400" s="108" t="inlineStr">
        <is>
          <t>the execution of privileged functions is captured in audit logs.</t>
        </is>
      </c>
      <c r="K400" s="207" t="n"/>
      <c r="L400" s="565" t="n"/>
      <c r="M400" s="112" t="inlineStr">
        <is>
          <t>Implementation Begun</t>
        </is>
      </c>
      <c r="N400" s="607" t="n"/>
      <c r="O400" s="208" t="n"/>
      <c r="P400" s="623" t="n"/>
    </row>
    <row r="401" ht="121.5" customFormat="1" customHeight="1" s="81">
      <c r="A401" s="154" t="inlineStr">
        <is>
          <t>2</t>
        </is>
      </c>
      <c r="B401" s="155" t="inlineStr">
        <is>
          <t>2.05.0</t>
        </is>
      </c>
      <c r="C401" s="116" t="inlineStr">
        <is>
          <t>DIY</t>
        </is>
      </c>
      <c r="D401" s="117" t="inlineStr">
        <is>
          <t>Access Control</t>
        </is>
      </c>
      <c r="E401" s="118" t="inlineStr">
        <is>
          <t>3.1.8</t>
        </is>
      </c>
      <c r="F401" s="118" t="inlineStr">
        <is>
          <t>03.01.08.0</t>
        </is>
      </c>
      <c r="G401" s="119" t="inlineStr">
        <is>
          <t>AC.L2-3.1.8</t>
        </is>
      </c>
      <c r="H401" s="594" t="n">
        <v>1</v>
      </c>
      <c r="I401" s="117" t="inlineStr">
        <is>
          <t>Limit unsuccessful logon attempts.</t>
        </is>
      </c>
      <c r="J401" s="119" t="inlineStr">
        <is>
          <t>Determine if:</t>
        </is>
      </c>
      <c r="K401" s="603" t="inlineStr">
        <is>
          <t>[No Comment Provided]</t>
        </is>
      </c>
      <c r="L401" s="565" t="inlineStr">
        <is>
          <t>Account lockout is enforced per the Authentication Policy. Okta for Government locks accounts after 5 consecutive failed authentication attempts with a 15-minute lockout. Azure AD Smart Lockout applies to direct M365 GCCH authentications. Cloudflare Access integrates with Okta and inherits lockout enforcement — locked Okta accounts cannot complete Cloudflare authentication flows.</t>
        </is>
      </c>
      <c r="M401" s="111" t="inlineStr">
        <is>
          <t>Implementation Begun</t>
        </is>
      </c>
      <c r="N401" s="610" t="n"/>
      <c r="O401" s="615">
        <f t="array" ref="O401">IF(AND(M402="Fully Implemented",M403="Fully Implemented"),0,-1*H401)</f>
        <v/>
      </c>
      <c r="P401" s="619" t="n"/>
      <c r="T401" s="102">
        <f t="array" ref="T401">IF(O401=0,H401,0)</f>
        <v/>
      </c>
    </row>
    <row r="402" ht="45" customFormat="1" customHeight="1" s="81">
      <c r="A402" s="145" t="inlineStr">
        <is>
          <t>2</t>
        </is>
      </c>
      <c r="B402" s="146" t="inlineStr">
        <is>
          <t>2.05.a</t>
        </is>
      </c>
      <c r="C402" s="93" t="inlineStr">
        <is>
          <t>DIY</t>
        </is>
      </c>
      <c r="D402" s="94" t="inlineStr">
        <is>
          <t>Access Control</t>
        </is>
      </c>
      <c r="E402" s="95" t="inlineStr">
        <is>
          <t>3.1.8[a]</t>
        </is>
      </c>
      <c r="F402" s="95" t="inlineStr">
        <is>
          <t>03.01.08.a</t>
        </is>
      </c>
      <c r="G402" s="96" t="inlineStr">
        <is>
          <t>AC.L2-3.1.8</t>
        </is>
      </c>
      <c r="H402" s="595" t="n"/>
      <c r="I402" s="599" t="n"/>
      <c r="J402" s="96" t="inlineStr">
        <is>
          <t>the means of limiting unsuccessful logon attempts is defined.</t>
        </is>
      </c>
      <c r="K402" s="147" t="n"/>
      <c r="L402" s="565" t="n"/>
      <c r="M402" s="605" t="inlineStr">
        <is>
          <t>Implementation Begun</t>
        </is>
      </c>
      <c r="N402" s="606" t="n"/>
      <c r="O402" s="616" t="n"/>
      <c r="P402" s="621" t="n"/>
    </row>
    <row r="403" ht="30" customFormat="1" customHeight="1" s="81">
      <c r="A403" s="148" t="inlineStr">
        <is>
          <t>2</t>
        </is>
      </c>
      <c r="B403" s="149" t="inlineStr">
        <is>
          <t>2.05.b</t>
        </is>
      </c>
      <c r="C403" s="105" t="inlineStr">
        <is>
          <t>DIY</t>
        </is>
      </c>
      <c r="D403" s="106" t="inlineStr">
        <is>
          <t>Access Control</t>
        </is>
      </c>
      <c r="E403" s="107" t="inlineStr">
        <is>
          <t>3.1.8[b]</t>
        </is>
      </c>
      <c r="F403" s="107" t="inlineStr">
        <is>
          <t>03.01.08.b</t>
        </is>
      </c>
      <c r="G403" s="108" t="inlineStr">
        <is>
          <t>AC.L2-3.1.8</t>
        </is>
      </c>
      <c r="H403" s="150" t="n"/>
      <c r="I403" s="151" t="n"/>
      <c r="J403" s="108" t="inlineStr">
        <is>
          <t xml:space="preserve">the defined means of limiting unsuccessful logon attempts is implemented. </t>
        </is>
      </c>
      <c r="K403" s="152" t="n"/>
      <c r="L403" s="565" t="n"/>
      <c r="M403" s="112" t="inlineStr">
        <is>
          <t>Implementation Begun</t>
        </is>
      </c>
      <c r="N403" s="607" t="n"/>
      <c r="O403" s="153" t="n"/>
      <c r="P403" s="621" t="n"/>
    </row>
    <row r="404" ht="106.5" customFormat="1" customHeight="1" s="81">
      <c r="A404" s="203" t="inlineStr">
        <is>
          <t>5</t>
        </is>
      </c>
      <c r="B404" s="204" t="inlineStr">
        <is>
          <t>5.1.0</t>
        </is>
      </c>
      <c r="C404" s="105" t="inlineStr">
        <is>
          <t>DIY</t>
        </is>
      </c>
      <c r="D404" s="106" t="inlineStr">
        <is>
          <t>Access Control</t>
        </is>
      </c>
      <c r="E404" s="107" t="inlineStr">
        <is>
          <t>3.1.9</t>
        </is>
      </c>
      <c r="F404" s="107" t="inlineStr">
        <is>
          <t>03.01.09.0</t>
        </is>
      </c>
      <c r="G404" s="108" t="inlineStr">
        <is>
          <t>AC.L2-3.1.9</t>
        </is>
      </c>
      <c r="H404" s="591" t="n">
        <v>1</v>
      </c>
      <c r="I404" s="106" t="inlineStr">
        <is>
          <t>Provide privacy and security notices consistent with applicable CUI rules.</t>
        </is>
      </c>
      <c r="J404" s="108" t="inlineStr">
        <is>
          <t>Determine if:</t>
        </is>
      </c>
      <c r="K404" s="601" t="inlineStr">
        <is>
          <t>[No Comment Provided]</t>
        </is>
      </c>
      <c r="L404" s="565" t="inlineStr">
        <is>
          <t>A DoD-standard system use notification banner is displayed on the Okta for Government login portal and the Cloudflare Access login page prior to authentication. M365 GCCH Azure AD Terms of Use requires annual acknowledgment. The banner text is maintained per the Acceptable Use Policy and reviewed annually.</t>
        </is>
      </c>
      <c r="M404" s="111" t="inlineStr">
        <is>
          <t>Implementation Begun</t>
        </is>
      </c>
      <c r="N404" s="607" t="n"/>
      <c r="O404" s="612">
        <f t="array" ref="O404">IF(AND(M405="Fully Implemented",M406="Fully Implemented"),0,-1*H404)</f>
        <v/>
      </c>
      <c r="P404" s="619" t="n"/>
      <c r="T404" s="102">
        <f t="array" ref="T404">IF(O404=0,H404,0)</f>
        <v/>
      </c>
    </row>
    <row r="405" ht="30" customFormat="1" customHeight="1" s="81">
      <c r="A405" s="203" t="inlineStr">
        <is>
          <t>5</t>
        </is>
      </c>
      <c r="B405" s="204" t="inlineStr">
        <is>
          <t>5.10.a</t>
        </is>
      </c>
      <c r="C405" s="105" t="inlineStr">
        <is>
          <t>DIY</t>
        </is>
      </c>
      <c r="D405" s="106" t="inlineStr">
        <is>
          <t>Access Control</t>
        </is>
      </c>
      <c r="E405" s="107" t="inlineStr">
        <is>
          <t>3.1.9[a]</t>
        </is>
      </c>
      <c r="F405" s="107" t="inlineStr">
        <is>
          <t>03.01.09.a</t>
        </is>
      </c>
      <c r="G405" s="108" t="inlineStr">
        <is>
          <t>AC.L2-3.1.9</t>
        </is>
      </c>
      <c r="H405" s="205" t="n"/>
      <c r="I405" s="206" t="n"/>
      <c r="J405" s="108" t="inlineStr">
        <is>
          <t>privacy and security notices required by CUI-specified rules are identified, consistent, and associated with the specific CUI category</t>
        </is>
      </c>
      <c r="K405" s="207" t="n"/>
      <c r="L405" s="565" t="n"/>
      <c r="M405" s="112" t="inlineStr">
        <is>
          <t>Implementation Begun</t>
        </is>
      </c>
      <c r="O405" s="208" t="n"/>
      <c r="P405" s="623" t="n"/>
    </row>
    <row r="406" ht="30.75" customFormat="1" customHeight="1" s="81">
      <c r="A406" s="209" t="inlineStr">
        <is>
          <t>5</t>
        </is>
      </c>
      <c r="B406" s="210" t="inlineStr">
        <is>
          <t>5.10.b</t>
        </is>
      </c>
      <c r="C406" s="116" t="inlineStr">
        <is>
          <t>DIY</t>
        </is>
      </c>
      <c r="D406" s="117" t="inlineStr">
        <is>
          <t>Access Control</t>
        </is>
      </c>
      <c r="E406" s="118" t="inlineStr">
        <is>
          <t>3.1.9[b]</t>
        </is>
      </c>
      <c r="F406" s="118" t="inlineStr">
        <is>
          <t>03.01.09.b</t>
        </is>
      </c>
      <c r="G406" s="119" t="inlineStr">
        <is>
          <t>AC.L2-3.1.9</t>
        </is>
      </c>
      <c r="H406" s="211" t="n"/>
      <c r="I406" s="212" t="n"/>
      <c r="J406" s="119" t="inlineStr">
        <is>
          <t>privacy and security notices are displayed.</t>
        </is>
      </c>
      <c r="K406" s="213" t="n"/>
      <c r="L406" s="565" t="n"/>
      <c r="M406" s="112" t="inlineStr">
        <is>
          <t>Implementation Begun</t>
        </is>
      </c>
      <c r="N406" s="124" t="n"/>
      <c r="O406" s="214" t="n"/>
      <c r="P406" s="623" t="n"/>
    </row>
    <row r="407" ht="137.25" customFormat="1" customHeight="1" s="81">
      <c r="A407" s="201" t="inlineStr">
        <is>
          <t>5</t>
        </is>
      </c>
      <c r="B407" s="202" t="inlineStr">
        <is>
          <t>5.29.0</t>
        </is>
      </c>
      <c r="C407" s="93" t="inlineStr">
        <is>
          <t>Outsource</t>
        </is>
      </c>
      <c r="D407" s="94" t="inlineStr">
        <is>
          <t>Physical Protection</t>
        </is>
      </c>
      <c r="E407" s="95" t="inlineStr">
        <is>
          <t>3.10.6</t>
        </is>
      </c>
      <c r="F407" s="95" t="inlineStr">
        <is>
          <t>03.10.06.0</t>
        </is>
      </c>
      <c r="G407" s="96" t="inlineStr">
        <is>
          <t>PE.L2-3.10.6</t>
        </is>
      </c>
      <c r="H407" s="97" t="n">
        <v>1</v>
      </c>
      <c r="I407" s="94" t="inlineStr">
        <is>
          <t xml:space="preserve">Enforce safeguarding measures for CUI at alternate work sites. </t>
        </is>
      </c>
      <c r="J407" s="96" t="inlineStr">
        <is>
          <t>Determine if:</t>
        </is>
      </c>
      <c r="K407" s="98" t="inlineStr">
        <is>
          <t>[No Comment Provided]</t>
        </is>
      </c>
      <c r="L407" s="502" t="inlineStr">
        <is>
          <t>Overall Status Meets - Pending policy/procedure review meeting and observation of controls in place. 
Updates required to documentation
Test required for validating controls in place
Examine - Policy updates required. 
Interview  Controls are currently being implemented. - 
Test - Review testing measures in place. 
Canopy A&amp;D - 3.10 - Physical and Environmental Protection Policy, Page 1-4</t>
        </is>
      </c>
      <c r="M407" s="123" t="inlineStr">
        <is>
          <t>Implementation Begun</t>
        </is>
      </c>
      <c r="N407" s="100" t="n"/>
      <c r="O407" s="101">
        <f t="array" ref="O407">IF(AND(M408="Fully Implemented",M409="Fully Implemented"),0,-1*H407)</f>
        <v/>
      </c>
      <c r="P407" s="619" t="n"/>
      <c r="T407" s="102">
        <f t="array" ref="T407">IF(O407=0,H407,0)</f>
        <v/>
      </c>
    </row>
    <row r="408" ht="30" customFormat="1" customHeight="1" s="81">
      <c r="A408" s="203" t="inlineStr">
        <is>
          <t>5</t>
        </is>
      </c>
      <c r="B408" s="204" t="inlineStr">
        <is>
          <t>5.29.a</t>
        </is>
      </c>
      <c r="C408" s="105" t="inlineStr">
        <is>
          <t>Outsource</t>
        </is>
      </c>
      <c r="D408" s="106" t="inlineStr">
        <is>
          <t>Physical Protection</t>
        </is>
      </c>
      <c r="E408" s="107" t="inlineStr">
        <is>
          <t>3.10.6[a]</t>
        </is>
      </c>
      <c r="F408" s="107" t="inlineStr">
        <is>
          <t>03.10.06.a</t>
        </is>
      </c>
      <c r="G408" s="108" t="inlineStr">
        <is>
          <t>PE.L2-3.10.6</t>
        </is>
      </c>
      <c r="H408" s="205" t="n"/>
      <c r="I408" s="206" t="n"/>
      <c r="J408" s="108" t="inlineStr">
        <is>
          <t>safeguarding measures for CUI are defined for alternate work sites.</t>
        </is>
      </c>
      <c r="K408" s="207" t="n"/>
      <c r="M408" s="112" t="inlineStr">
        <is>
          <t>Implementation Begun</t>
        </is>
      </c>
      <c r="O408" s="208" t="n"/>
      <c r="P408" s="623" t="n"/>
    </row>
    <row r="409" ht="25.5" customFormat="1" customHeight="1" s="81">
      <c r="A409" s="209" t="inlineStr">
        <is>
          <t>5</t>
        </is>
      </c>
      <c r="B409" s="210" t="inlineStr">
        <is>
          <t>5.29.b</t>
        </is>
      </c>
      <c r="C409" s="116" t="inlineStr">
        <is>
          <t>Outsource</t>
        </is>
      </c>
      <c r="D409" s="117" t="inlineStr">
        <is>
          <t>Physical Protection</t>
        </is>
      </c>
      <c r="E409" s="118" t="inlineStr">
        <is>
          <t>3.10.6[b]</t>
        </is>
      </c>
      <c r="F409" s="118" t="inlineStr">
        <is>
          <t>03.10.06.b</t>
        </is>
      </c>
      <c r="G409" s="119" t="inlineStr">
        <is>
          <t>PE.L2-3.10.6</t>
        </is>
      </c>
      <c r="H409" s="211" t="n"/>
      <c r="I409" s="212" t="n"/>
      <c r="J409" s="119" t="inlineStr">
        <is>
          <t>safeguarding measures for CUI are enforced for alternate work sites.</t>
        </is>
      </c>
      <c r="K409" s="213" t="n"/>
      <c r="L409" s="81" t="n"/>
      <c r="M409" s="112" t="inlineStr">
        <is>
          <t>Implementation Begun</t>
        </is>
      </c>
      <c r="N409" s="124" t="n"/>
      <c r="O409" s="214" t="n"/>
      <c r="P409" s="623" t="n"/>
    </row>
    <row r="410" ht="15.75" customFormat="1" customHeight="1" s="81" thickBot="1">
      <c r="N410" s="217" t="n"/>
    </row>
    <row r="411" ht="15" customFormat="1" customHeight="1" s="81">
      <c r="A411" s="94" t="inlineStr">
        <is>
          <t>Last Reviewed by:</t>
        </is>
      </c>
      <c r="N411" s="218" t="n"/>
    </row>
    <row r="412" ht="15.75" customFormat="1" customHeight="1" s="81">
      <c r="A412" s="117" t="inlineStr">
        <is>
          <t>Last Reviewed on:</t>
        </is>
      </c>
      <c r="N412" s="218" t="n"/>
    </row>
    <row r="413" ht="15" customFormat="1" customHeight="1" s="81">
      <c r="N413" s="218" t="n"/>
    </row>
    <row r="414" ht="15" customFormat="1" customHeight="1" s="81">
      <c r="N414" s="218" t="n"/>
    </row>
    <row r="415" ht="15" customFormat="1" customHeight="1" s="81">
      <c r="N415" s="218" t="n"/>
    </row>
    <row r="416" ht="15" customFormat="1" customHeight="1" s="81">
      <c r="N416" s="218" t="n"/>
    </row>
    <row r="417" ht="15" customFormat="1" customHeight="1" s="81">
      <c r="N417" s="218" t="n"/>
    </row>
    <row r="418" ht="15" customFormat="1" customHeight="1" s="81">
      <c r="N418" s="218" t="n"/>
    </row>
    <row r="419" ht="15" customFormat="1" customHeight="1" s="81">
      <c r="N419" s="218" t="n"/>
    </row>
    <row r="420" ht="15" customFormat="1" customHeight="1" s="81">
      <c r="N420" s="218" t="n"/>
    </row>
    <row r="421" ht="15" customFormat="1" customHeight="1" s="81">
      <c r="N421" s="218" t="n"/>
    </row>
    <row r="422" ht="15" customFormat="1" customHeight="1" s="81">
      <c r="N422" s="218" t="n"/>
    </row>
    <row r="423" ht="15" customFormat="1" customHeight="1" s="81">
      <c r="N423" s="218" t="n"/>
    </row>
    <row r="424" ht="15" customFormat="1" customHeight="1" s="81">
      <c r="N424" s="218" t="n"/>
    </row>
    <row r="425" ht="15" customFormat="1" customHeight="1" s="81">
      <c r="N425" s="218" t="n"/>
    </row>
    <row r="426" ht="15" customFormat="1" customHeight="1" s="81">
      <c r="N426" s="218" t="n"/>
    </row>
    <row r="427" ht="15" customFormat="1" customHeight="1" s="81">
      <c r="N427" s="218" t="n"/>
    </row>
    <row r="428" ht="15" customFormat="1" customHeight="1" s="81">
      <c r="N428" s="218" t="n"/>
    </row>
    <row r="429" ht="15" customFormat="1" customHeight="1" s="81">
      <c r="N429" s="218" t="n"/>
    </row>
    <row r="430" ht="15" customFormat="1" customHeight="1" s="81">
      <c r="N430" s="218" t="n"/>
    </row>
    <row r="431" ht="15" customFormat="1" customHeight="1" s="81">
      <c r="N431" s="218" t="n"/>
    </row>
    <row r="432" ht="15" customFormat="1" customHeight="1" s="81">
      <c r="N432" s="218" t="n"/>
    </row>
    <row r="433" ht="15" customFormat="1" customHeight="1" s="81">
      <c r="N433" s="218" t="n"/>
    </row>
    <row r="434" hidden="1" ht="9.949999999999999" customFormat="1" customHeight="1" s="81">
      <c r="A434" s="631" t="inlineStr">
        <is>
          <t>FAR and Above bonus points awarded after successful demonstration of all requirements defined in Phase 1.</t>
        </is>
      </c>
      <c r="B434" s="887" t="n"/>
      <c r="C434" s="887" t="n"/>
      <c r="D434" s="887" t="n"/>
      <c r="E434" s="888" t="n"/>
      <c r="F434" s="632" t="n">
        <v>37</v>
      </c>
      <c r="G434" s="220" t="inlineStr">
        <is>
          <t>Phase 1 Score</t>
        </is>
      </c>
      <c r="H434" s="221">
        <f t="array" ref="H434">IF(SUM(H3:H76)+SUM(O3:O76)=SUM(H3:H76),SUM(H3:H76)+F434,SUM(H3:H76)+SUM(O3:O76))</f>
        <v/>
      </c>
      <c r="N434" s="218" t="n"/>
    </row>
    <row r="435" hidden="1" ht="9.949999999999999" customFormat="1" customHeight="1" s="81">
      <c r="A435" s="631" t="inlineStr">
        <is>
          <t>FAR and Above bonus points awarded after successful demonstration of all requirements defined in Phase 1 and 2.</t>
        </is>
      </c>
      <c r="B435" s="887" t="n"/>
      <c r="C435" s="887" t="n"/>
      <c r="D435" s="887" t="n"/>
      <c r="E435" s="888" t="n"/>
      <c r="F435" s="632" t="n">
        <v>32</v>
      </c>
      <c r="G435" s="220" t="inlineStr">
        <is>
          <t>Phase 2 Score</t>
        </is>
      </c>
      <c r="H435" s="221" t="n">
        <v>0</v>
      </c>
      <c r="N435" s="218" t="n"/>
    </row>
    <row r="436" hidden="1" ht="9.949999999999999" customFormat="1" customHeight="1" s="81">
      <c r="A436" s="631" t="inlineStr">
        <is>
          <t>FAR and Above bonus points awarded after successful demonstration of all requirements defined in Phases 1-3.</t>
        </is>
      </c>
      <c r="B436" s="887" t="n"/>
      <c r="C436" s="887" t="n"/>
      <c r="D436" s="887" t="n"/>
      <c r="E436" s="888" t="n"/>
      <c r="F436" s="632" t="n">
        <v>34</v>
      </c>
      <c r="G436" s="220" t="inlineStr">
        <is>
          <t>Phase 3 Score</t>
        </is>
      </c>
      <c r="H436" s="221" t="n">
        <v>0</v>
      </c>
      <c r="N436" s="218" t="n"/>
    </row>
    <row r="437" hidden="1" ht="9.949999999999999" customFormat="1" customHeight="1" s="81">
      <c r="A437" s="631" t="inlineStr">
        <is>
          <t>FAR and Above bonus points awarded after successful demonstration of all requirements defined in Phases 1-4.</t>
        </is>
      </c>
      <c r="B437" s="887" t="n"/>
      <c r="C437" s="887" t="n"/>
      <c r="D437" s="887" t="n"/>
      <c r="E437" s="888" t="n"/>
      <c r="F437" s="632" t="n">
        <v>37</v>
      </c>
      <c r="G437" s="220" t="inlineStr">
        <is>
          <t>Phase 4 Score</t>
        </is>
      </c>
      <c r="H437" s="221" t="n">
        <v>0</v>
      </c>
      <c r="N437" s="218" t="n"/>
    </row>
    <row r="438" hidden="1" ht="15.75" customFormat="1" customHeight="1" s="81">
      <c r="A438" s="631" t="inlineStr">
        <is>
          <t>FAR and Above bonus points awarded after successful demonstration of all requirements in Phases 1-5.</t>
        </is>
      </c>
      <c r="B438" s="887" t="n"/>
      <c r="C438" s="887" t="n"/>
      <c r="D438" s="887" t="n"/>
      <c r="E438" s="888" t="n"/>
      <c r="F438" s="632" t="n">
        <v>47</v>
      </c>
      <c r="G438" s="220" t="inlineStr">
        <is>
          <t>Phase 5 Score</t>
        </is>
      </c>
      <c r="H438" s="221" t="n">
        <v>0</v>
      </c>
      <c r="N438" s="218" t="n"/>
    </row>
    <row r="439" hidden="1" ht="15" customFormat="1" customHeight="1" s="81">
      <c r="N439" s="218" t="n"/>
    </row>
    <row r="440" ht="15" customFormat="1" customHeight="1" s="81">
      <c r="N440" s="218" t="n"/>
    </row>
    <row r="441" ht="15" customFormat="1" customHeight="1" s="81">
      <c r="N441" s="218" t="n"/>
    </row>
    <row r="442" ht="15" customFormat="1" customHeight="1" s="81">
      <c r="N442" s="218" t="n"/>
    </row>
    <row r="443" ht="15" customFormat="1" customHeight="1" s="81">
      <c r="N443" s="218" t="n"/>
    </row>
    <row r="444" ht="15" customFormat="1" customHeight="1" s="81">
      <c r="N444" s="218" t="n"/>
    </row>
    <row r="445" ht="15" customFormat="1" customHeight="1" s="81">
      <c r="N445" s="218" t="n"/>
    </row>
    <row r="446" ht="15" customFormat="1" customHeight="1" s="81">
      <c r="N446" s="218" t="n"/>
    </row>
    <row r="447" ht="15" customFormat="1" customHeight="1" s="81">
      <c r="N447" s="218" t="n"/>
    </row>
    <row r="448" ht="15" customFormat="1" customHeight="1" s="81">
      <c r="N448" s="218" t="n"/>
    </row>
    <row r="449" ht="15" customFormat="1" customHeight="1" s="81">
      <c r="N449" s="218" t="n"/>
    </row>
    <row r="450" ht="15" customFormat="1" customHeight="1" s="81">
      <c r="N450" s="218" t="n"/>
    </row>
    <row r="451" ht="15" customFormat="1" customHeight="1" s="81">
      <c r="N451" s="218" t="n"/>
    </row>
    <row r="452" ht="15" customFormat="1" customHeight="1" s="81">
      <c r="N452" s="218" t="n"/>
    </row>
    <row r="453" ht="15" customFormat="1" customHeight="1" s="81">
      <c r="N453" s="218" t="n"/>
    </row>
    <row r="454" ht="15" customFormat="1" customHeight="1" s="81">
      <c r="N454" s="218" t="n"/>
    </row>
    <row r="455" ht="15" customFormat="1" customHeight="1" s="81">
      <c r="N455" s="218" t="n"/>
    </row>
    <row r="456" ht="15" customFormat="1" customHeight="1" s="81">
      <c r="N456" s="218" t="n"/>
    </row>
    <row r="457" ht="15" customFormat="1" customHeight="1" s="81">
      <c r="N457" s="218" t="n"/>
    </row>
    <row r="458" ht="15" customFormat="1" customHeight="1" s="81">
      <c r="N458" s="218" t="n"/>
    </row>
    <row r="459" ht="15" customFormat="1" customHeight="1" s="81">
      <c r="N459" s="218" t="n"/>
    </row>
    <row r="460" ht="15" customFormat="1" customHeight="1" s="81">
      <c r="N460" s="218" t="n"/>
    </row>
    <row r="461" ht="15" customFormat="1" customHeight="1" s="81">
      <c r="N461" s="218" t="n"/>
    </row>
    <row r="462" ht="15" customFormat="1" customHeight="1" s="81">
      <c r="N462" s="218" t="n"/>
    </row>
    <row r="463" ht="15" customFormat="1" customHeight="1" s="81">
      <c r="N463" s="218" t="n"/>
    </row>
    <row r="464" ht="15" customFormat="1" customHeight="1" s="81">
      <c r="N464" s="218" t="n"/>
    </row>
    <row r="465" ht="15" customFormat="1" customHeight="1" s="81">
      <c r="N465" s="218" t="n"/>
    </row>
    <row r="466" ht="15" customFormat="1" customHeight="1" s="81">
      <c r="N466" s="218" t="n"/>
    </row>
    <row r="467" ht="15" customFormat="1" customHeight="1" s="81">
      <c r="N467" s="218" t="n"/>
    </row>
    <row r="468" ht="15" customFormat="1" customHeight="1" s="81">
      <c r="N468" s="218" t="n"/>
    </row>
    <row r="469" ht="15" customFormat="1" customHeight="1" s="81">
      <c r="N469" s="218" t="n"/>
    </row>
    <row r="470" ht="15" customFormat="1" customHeight="1" s="81">
      <c r="N470" s="218" t="n"/>
    </row>
    <row r="471" ht="15" customFormat="1" customHeight="1" s="81">
      <c r="N471" s="218" t="n"/>
    </row>
    <row r="472" ht="15" customFormat="1" customHeight="1" s="81">
      <c r="N472" s="218" t="n"/>
    </row>
    <row r="473" ht="15" customFormat="1" customHeight="1" s="81">
      <c r="N473" s="218" t="n"/>
    </row>
    <row r="474" ht="15" customFormat="1" customHeight="1" s="81">
      <c r="N474" s="218" t="n"/>
    </row>
    <row r="475" ht="15" customFormat="1" customHeight="1" s="81">
      <c r="N475" s="218" t="n"/>
    </row>
    <row r="476" ht="15" customFormat="1" customHeight="1" s="81">
      <c r="N476" s="218" t="n"/>
    </row>
    <row r="477" ht="15" customFormat="1" customHeight="1" s="81">
      <c r="N477" s="218" t="n"/>
    </row>
    <row r="478" ht="15" customFormat="1" customHeight="1" s="81">
      <c r="N478" s="218" t="n"/>
    </row>
    <row r="479" ht="15" customFormat="1" customHeight="1" s="81">
      <c r="N479" s="218" t="n"/>
    </row>
    <row r="480" ht="15" customFormat="1" customHeight="1" s="81">
      <c r="N480" s="218" t="n"/>
    </row>
    <row r="481" ht="15" customFormat="1" customHeight="1" s="81">
      <c r="N481" s="218" t="n"/>
    </row>
    <row r="482" ht="15" customFormat="1" customHeight="1" s="81">
      <c r="N482" s="218" t="n"/>
    </row>
    <row r="483" ht="15" customFormat="1" customHeight="1" s="81">
      <c r="N483" s="218" t="n"/>
    </row>
    <row r="484" ht="15" customFormat="1" customHeight="1" s="81">
      <c r="N484" s="218" t="n"/>
    </row>
    <row r="485" ht="15" customFormat="1" customHeight="1" s="81">
      <c r="N485" s="218" t="n"/>
    </row>
    <row r="486" ht="15" customFormat="1" customHeight="1" s="81">
      <c r="N486" s="218" t="n"/>
    </row>
    <row r="487" ht="15" customFormat="1" customHeight="1" s="81">
      <c r="N487" s="218" t="n"/>
    </row>
    <row r="488" ht="15" customFormat="1" customHeight="1" s="81">
      <c r="N488" s="218" t="n"/>
    </row>
    <row r="489" ht="15" customFormat="1" customHeight="1" s="81">
      <c r="N489" s="218" t="n"/>
    </row>
    <row r="490" ht="15" customFormat="1" customHeight="1" s="81">
      <c r="N490" s="218" t="n"/>
    </row>
    <row r="491" ht="15" customFormat="1" customHeight="1" s="81">
      <c r="N491" s="218" t="n"/>
    </row>
    <row r="492" ht="15" customFormat="1" customHeight="1" s="81">
      <c r="N492" s="218" t="n"/>
    </row>
    <row r="493" ht="15" customFormat="1" customHeight="1" s="81">
      <c r="N493" s="218" t="n"/>
    </row>
    <row r="494" ht="15" customFormat="1" customHeight="1" s="81">
      <c r="N494" s="218" t="n"/>
    </row>
    <row r="495" ht="15" customFormat="1" customHeight="1" s="81">
      <c r="N495" s="218" t="n"/>
    </row>
    <row r="496" ht="15" customFormat="1" customHeight="1" s="81">
      <c r="N496" s="218" t="n"/>
    </row>
    <row r="497" ht="15" customFormat="1" customHeight="1" s="81">
      <c r="N497" s="218" t="n"/>
    </row>
    <row r="498" ht="15" customFormat="1" customHeight="1" s="81">
      <c r="N498" s="218" t="n"/>
    </row>
    <row r="499" ht="15" customFormat="1" customHeight="1" s="81">
      <c r="N499" s="218" t="n"/>
    </row>
    <row r="500" ht="15" customFormat="1" customHeight="1" s="81">
      <c r="N500" s="218" t="n"/>
    </row>
    <row r="501" ht="15" customFormat="1" customHeight="1" s="81">
      <c r="N501" s="218" t="n"/>
    </row>
    <row r="502" ht="15" customFormat="1" customHeight="1" s="81">
      <c r="N502" s="218" t="n"/>
    </row>
    <row r="503" ht="15" customFormat="1" customHeight="1" s="81">
      <c r="N503" s="218" t="n"/>
    </row>
    <row r="504" ht="15" customFormat="1" customHeight="1" s="81">
      <c r="N504" s="218" t="n"/>
    </row>
    <row r="505" ht="15" customFormat="1" customHeight="1" s="81">
      <c r="N505" s="218" t="n"/>
    </row>
    <row r="506" ht="15" customFormat="1" customHeight="1" s="81">
      <c r="N506" s="218" t="n"/>
    </row>
    <row r="507" ht="15" customFormat="1" customHeight="1" s="81">
      <c r="N507" s="218" t="n"/>
    </row>
    <row r="508" ht="15" customFormat="1" customHeight="1" s="81">
      <c r="N508" s="218" t="n"/>
    </row>
    <row r="509" ht="15" customFormat="1" customHeight="1" s="81">
      <c r="N509" s="218" t="n"/>
    </row>
    <row r="510" ht="15" customFormat="1" customHeight="1" s="81">
      <c r="N510" s="218" t="n"/>
    </row>
    <row r="511" ht="15" customFormat="1" customHeight="1" s="81">
      <c r="N511" s="222" t="n"/>
    </row>
  </sheetData>
  <autoFilter ref="A2:OS409"/>
  <mergeCells count="6">
    <mergeCell ref="A438:E438"/>
    <mergeCell ref="A434:E434"/>
    <mergeCell ref="A436:E436"/>
    <mergeCell ref="A437:E437"/>
    <mergeCell ref="E1:O1"/>
    <mergeCell ref="A435:E435"/>
  </mergeCells>
  <dataValidations count="2">
    <dataValidation sqref="C3:C87 C89:C409" showDropDown="0" showInputMessage="1" showErrorMessage="1" allowBlank="1" type="list">
      <formula1>"DIY,Hybrid,Outsource"</formula1>
    </dataValidation>
    <dataValidation sqref="M4:M11 M13:M27 M29:M30 M32:M37 M39:M41 M43:M45 M47:M49 M51:M60 M62:M63 M65:M70 M72:M76 M78:M79 M81:M88 M90:M93 M95:M96 M98:M104 M106:M109 M111:M112 M114:M115 M117:M120 M122:M125 M127:M129 M131:M132 M134:M138 M140:M141 M143:M145 M147:M151 M153:M159 M161:M163 M165:M166 M168:M169 M171:M172 M174:M175 M177:M180 M182:M184 M186:M188 M190:M192 M194:M200 M202:M208 M210:M212 M214:M216 M218:M220 M222:M224 M226:M229 M231:M232 M234:M239 M241:M243 M245:M247 M249:M250 M252:M253 M255:M256 M258:M260 M262:M264 M266:M280 M282:M285 M287:M292 M294:M295 M297:M302 M304:M306 M308:M314 M316:M317 M319:M322 M324:M326 M328:M331 M333:M340 M342:M343 M345:M350 M352:M353 M355:M358 M360:M364 M366:M367 M369:M373 M375:M378 M380:M381 M383:M386 M388:M389 M391:M392 M394:M395 M397:M398 M400:M401 M403:M409" showDropDown="0" showInputMessage="1" showErrorMessage="1" allowBlank="1" type="list">
      <formula1>"Fully Implemented,Implementation Begun,Implementation Planned,Not Yet Addressed,Not Yet Assessed"</formula1>
    </dataValidation>
  </dataValidations>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J410"/>
  <sheetViews>
    <sheetView showGridLines="0" topLeftCell="A177" workbookViewId="0">
      <selection activeCell="A35" sqref="A35"/>
    </sheetView>
  </sheetViews>
  <sheetFormatPr baseColWidth="8" defaultColWidth="9.1640625" defaultRowHeight="12.95"/>
  <cols>
    <col width="97.6640625" customWidth="1" style="571" min="1" max="1"/>
    <col width="30" customWidth="1" style="571" min="2" max="2"/>
    <col width="36.83203125" customWidth="1" style="571" min="3" max="3"/>
    <col width="60.83203125" customWidth="1" style="571" min="4" max="4"/>
    <col width="59.6640625" customWidth="1" style="571" min="5" max="5"/>
    <col hidden="1" width="9.1640625" customWidth="1" style="1" min="6" max="10"/>
    <col width="9.1640625" customWidth="1" style="1" min="11" max="11"/>
    <col width="9.1640625" customWidth="1" style="1" min="12" max="16384"/>
  </cols>
  <sheetData>
    <row r="1" ht="30" customHeight="1" s="566">
      <c r="A1" s="569" t="n"/>
      <c r="B1" s="223" t="inlineStr">
        <is>
          <t>Relevant Requirement(s)/Objective(s):</t>
        </is>
      </c>
      <c r="C1" s="224" t="inlineStr">
        <is>
          <t>3.12.2a, 3.12.2b</t>
        </is>
      </c>
      <c r="D1" s="225" t="inlineStr">
        <is>
          <t>Last Reviewed by (and on):
Genemar Lazo</t>
        </is>
      </c>
      <c r="E1" s="570" t="n"/>
      <c r="F1" s="226" t="n"/>
      <c r="G1" s="226" t="n"/>
      <c r="H1" s="226" t="n"/>
      <c r="I1" s="226" t="n"/>
      <c r="J1" s="226" t="n"/>
    </row>
    <row r="2" ht="20.1" customHeight="1" s="566" thickBot="1">
      <c r="A2" s="898" t="inlineStr">
        <is>
          <t>Plans of Action and Milestones (Scroll Down for Complete List)</t>
        </is>
      </c>
      <c r="B2" s="887" t="n"/>
      <c r="C2" s="887" t="n"/>
      <c r="D2" s="887" t="n"/>
      <c r="E2" s="897" t="n"/>
      <c r="F2" s="39" t="n"/>
      <c r="G2" s="40" t="n"/>
      <c r="H2" s="40" t="n"/>
      <c r="I2" s="40" t="n"/>
      <c r="J2" s="40" t="n"/>
    </row>
    <row r="3" ht="35.1" customHeight="1" s="566" thickBot="1">
      <c r="A3" s="575" t="inlineStr">
        <is>
          <t>Requirement/Objective w/Other Than Fully Addressed Status</t>
        </is>
      </c>
      <c r="B3" s="576" t="inlineStr">
        <is>
          <t>Responsible Office/Organization</t>
        </is>
      </c>
      <c r="C3" s="577" t="inlineStr">
        <is>
          <t>Resource Estimate (Funded, Unfunded, Reallocated)</t>
        </is>
      </c>
      <c r="D3" s="577" t="inlineStr">
        <is>
          <t>Initial Remediation Plan Milestones with Interim Completion Dates</t>
        </is>
      </c>
      <c r="E3" s="578" t="inlineStr">
        <is>
          <t>Changes to Milestones</t>
        </is>
      </c>
      <c r="F3" s="39" t="n"/>
      <c r="G3" s="40" t="n"/>
      <c r="H3" s="40" t="n"/>
      <c r="I3" s="40" t="n"/>
      <c r="J3" s="40" t="n"/>
    </row>
    <row r="4" ht="14.1" customHeight="1" s="566">
      <c r="A4" s="580">
        <f t="array" ref="A4">IF('SSP - DoD SPRS &amp; FAR and Above'!M410&lt;&gt;"Fully Addressed",'SSP - DoD SPRS &amp; FAR and Above'!E410&amp;" - "&amp;IF('SSP - DoD SPRS &amp; FAR and Above'!I410&lt;&gt;"",'SSP - DoD SPRS &amp; FAR and Above'!I410,'SSP - DoD SPRS &amp; FAR and Above'!J410))</f>
        <v/>
      </c>
      <c r="B4" s="581" t="n"/>
      <c r="C4" s="581" t="n"/>
      <c r="D4" s="581" t="n"/>
      <c r="E4" s="582" t="n"/>
      <c r="F4" s="574" t="n"/>
      <c r="G4" s="40" t="n"/>
      <c r="H4" s="40" t="n"/>
      <c r="I4" s="40" t="n"/>
      <c r="J4" s="40" t="n"/>
    </row>
    <row r="5" ht="56.1" customHeight="1" s="566">
      <c r="A5" s="583">
        <f t="array" ref="A5">IF('SSP - DoD SPRS &amp; FAR and Above'!M54&lt;&gt;"Fully Addressed",'SSP - DoD SPRS &amp; FAR and Above'!E54&amp;" - "&amp;IF('SSP - DoD SPRS &amp; FAR and Above'!I54&lt;&gt;"",'SSP - DoD SPRS &amp; FAR and Above'!I54,'SSP - DoD SPRS &amp; FAR and Above'!J54))</f>
        <v/>
      </c>
      <c r="B5" s="567" t="inlineStr">
        <is>
          <t>ISO/CISO</t>
        </is>
      </c>
      <c r="C5" s="568" t="inlineStr">
        <is>
          <t>Funded</t>
        </is>
      </c>
      <c r="D5" s="567" t="inlineStr">
        <is>
          <t>Export Entra Conditional Access &amp; PIM/PAM approvals; provide VPN/VDI/firewall configs enforcing managed access points and FIPS-validated crypto; wireless WPA-Enterprise configs; GPO/MDM for session lock/termination.</t>
        </is>
      </c>
      <c r="E5" s="584" t="inlineStr">
        <is>
          <t>Estimate - 60 days to remediate
Policies and SSP available; attach configs/logs/records as noted</t>
        </is>
      </c>
      <c r="F5" s="574" t="n"/>
      <c r="G5" s="40" t="n"/>
      <c r="H5" s="40" t="n"/>
      <c r="I5" s="40" t="n"/>
      <c r="J5" s="40" t="n"/>
    </row>
    <row r="6" ht="56.1" customHeight="1" s="566">
      <c r="A6" s="583">
        <f t="array" ref="A6">IF('SSP - DoD SPRS &amp; FAR and Above'!M55&lt;&gt;"Fully Addressed",'SSP - DoD SPRS &amp; FAR and Above'!E55&amp;" - "&amp;IF('SSP - DoD SPRS &amp; FAR and Above'!I55&lt;&gt;"",'SSP - DoD SPRS &amp; FAR and Above'!I55,'SSP - DoD SPRS &amp; FAR and Above'!J55))</f>
        <v/>
      </c>
      <c r="B6" s="567" t="inlineStr">
        <is>
          <t>ISO/CISO</t>
        </is>
      </c>
      <c r="C6" s="568" t="inlineStr">
        <is>
          <t>Funded</t>
        </is>
      </c>
      <c r="D6" s="567" t="inlineStr">
        <is>
          <t>Export Entra Conditional Access &amp; PIM/PAM approvals; provide VPN/VDI/firewall configs enforcing managed access points and FIPS-validated crypto; wireless WPA-Enterprise configs; GPO/MDM for session lock/termination.</t>
        </is>
      </c>
      <c r="E6" s="584" t="inlineStr">
        <is>
          <t>Estimate - 60 days to remediate
Policies and SSP available; attach configs/logs/records as noted</t>
        </is>
      </c>
      <c r="F6" s="574" t="n"/>
      <c r="G6" s="40" t="n"/>
      <c r="H6" s="40" t="n"/>
      <c r="I6" s="40" t="n"/>
      <c r="J6" s="40" t="n"/>
    </row>
    <row r="7" ht="56.1" customHeight="1" s="566">
      <c r="A7" s="583">
        <f t="array" ref="A7">IF('SSP - DoD SPRS &amp; FAR and Above'!M56&lt;&gt;"Fully Addressed",'SSP - DoD SPRS &amp; FAR and Above'!E56&amp;" - "&amp;IF('SSP - DoD SPRS &amp; FAR and Above'!I56&lt;&gt;"",'SSP - DoD SPRS &amp; FAR and Above'!I56,'SSP - DoD SPRS &amp; FAR and Above'!J56))</f>
        <v/>
      </c>
      <c r="B7" s="567" t="inlineStr">
        <is>
          <t>ISO/CISO</t>
        </is>
      </c>
      <c r="C7" s="568" t="inlineStr">
        <is>
          <t>Funded</t>
        </is>
      </c>
      <c r="D7" s="567" t="inlineStr">
        <is>
          <t>Export Entra Conditional Access &amp; PIM/PAM approvals; provide VPN/VDI/firewall configs enforcing managed access points and FIPS-validated crypto; wireless WPA-Enterprise configs; GPO/MDM for session lock/termination.</t>
        </is>
      </c>
      <c r="E7" s="584" t="inlineStr">
        <is>
          <t>Estimate - 60 days to remediate
Policies and SSP available; attach configs/logs/records as noted</t>
        </is>
      </c>
      <c r="F7" s="574" t="n"/>
      <c r="G7" s="40" t="n"/>
      <c r="H7" s="40" t="n"/>
      <c r="I7" s="40" t="n"/>
      <c r="J7" s="40" t="n"/>
    </row>
    <row r="8" ht="56.1" customHeight="1" s="566">
      <c r="A8" s="583">
        <f t="array" ref="A8">IF('SSP - DoD SPRS &amp; FAR and Above'!M57&lt;&gt;"Fully Addressed",'SSP - DoD SPRS &amp; FAR and Above'!E57&amp;" - "&amp;IF('SSP - DoD SPRS &amp; FAR and Above'!I57&lt;&gt;"",'SSP - DoD SPRS &amp; FAR and Above'!I57,'SSP - DoD SPRS &amp; FAR and Above'!J57))</f>
        <v/>
      </c>
      <c r="B8" s="567" t="inlineStr">
        <is>
          <t>ISO/CISO</t>
        </is>
      </c>
      <c r="C8" s="568" t="inlineStr">
        <is>
          <t>Funded</t>
        </is>
      </c>
      <c r="D8" s="567" t="inlineStr">
        <is>
          <t>Export Entra Conditional Access &amp; PIM/PAM approvals; provide VPN/VDI/firewall configs enforcing managed access points and FIPS-validated crypto; wireless WPA-Enterprise configs; GPO/MDM for session lock/termination.</t>
        </is>
      </c>
      <c r="E8" s="584" t="inlineStr">
        <is>
          <t>Estimate - 60 days to remediate
Policies and SSP available; attach configs/logs/records as noted</t>
        </is>
      </c>
      <c r="F8" s="574" t="n"/>
      <c r="G8" s="40" t="n"/>
      <c r="H8" s="40" t="n"/>
      <c r="I8" s="40" t="n"/>
      <c r="J8" s="40" t="n"/>
    </row>
    <row r="9" ht="56.1" customHeight="1" s="566">
      <c r="A9" s="583">
        <f t="array" ref="A9">IF('SSP - DoD SPRS &amp; FAR and Above'!M58&lt;&gt;"Fully Addressed",'SSP - DoD SPRS &amp; FAR and Above'!E58&amp;" - "&amp;IF('SSP - DoD SPRS &amp; FAR and Above'!I58&lt;&gt;"",'SSP - DoD SPRS &amp; FAR and Above'!I58,'SSP - DoD SPRS &amp; FAR and Above'!J58))</f>
        <v/>
      </c>
      <c r="B9" s="567" t="inlineStr">
        <is>
          <t>ISO/CISO</t>
        </is>
      </c>
      <c r="C9" s="568" t="inlineStr">
        <is>
          <t>Funded</t>
        </is>
      </c>
      <c r="D9" s="567" t="inlineStr">
        <is>
          <t>Export Entra Conditional Access &amp; PIM/PAM approvals; provide VPN/VDI/firewall configs enforcing managed access points and FIPS-validated crypto; wireless WPA-Enterprise configs; GPO/MDM for session lock/termination.</t>
        </is>
      </c>
      <c r="E9" s="584" t="inlineStr">
        <is>
          <t>Estimate - 60 days to remediate
Policies and SSP available; attach configs/logs/records as noted</t>
        </is>
      </c>
      <c r="F9" s="574" t="n"/>
      <c r="G9" s="40" t="n"/>
      <c r="H9" s="40" t="n"/>
      <c r="I9" s="40" t="n"/>
      <c r="J9" s="40" t="n"/>
    </row>
    <row r="10" ht="56.1" customHeight="1" s="566">
      <c r="A10" s="583">
        <f t="array" ref="A10">IF('SSP - DoD SPRS &amp; FAR and Above'!M59&lt;&gt;"Fully Addressed",'SSP - DoD SPRS &amp; FAR and Above'!E59&amp;" - "&amp;IF('SSP - DoD SPRS &amp; FAR and Above'!I59&lt;&gt;"",'SSP - DoD SPRS &amp; FAR and Above'!I59,'SSP - DoD SPRS &amp; FAR and Above'!J59))</f>
        <v/>
      </c>
      <c r="B10" s="567" t="inlineStr">
        <is>
          <t>ISO/CISO</t>
        </is>
      </c>
      <c r="C10" s="568" t="inlineStr">
        <is>
          <t>Funded</t>
        </is>
      </c>
      <c r="D10" s="567" t="inlineStr">
        <is>
          <t>Export Entra Conditional Access &amp; PIM/PAM approvals; provide VPN/VDI/firewall configs enforcing managed access points and FIPS-validated crypto; wireless WPA-Enterprise configs; GPO/MDM for session lock/termination.</t>
        </is>
      </c>
      <c r="E10" s="584" t="inlineStr">
        <is>
          <t>Estimate - 60 days to remediate
Policies and SSP available; attach configs/logs/records as noted</t>
        </is>
      </c>
      <c r="F10" s="574" t="n"/>
      <c r="G10" s="40" t="n"/>
      <c r="H10" s="40" t="n"/>
      <c r="I10" s="40" t="n"/>
      <c r="J10" s="40" t="n"/>
    </row>
    <row r="11" ht="56.1" customHeight="1" s="566">
      <c r="A11" s="583">
        <f t="array" ref="A11">IF('SSP - DoD SPRS &amp; FAR and Above'!M60&lt;&gt;"Fully Addressed",'SSP - DoD SPRS &amp; FAR and Above'!E60&amp;" - "&amp;IF('SSP - DoD SPRS &amp; FAR and Above'!I60&lt;&gt;"",'SSP - DoD SPRS &amp; FAR and Above'!I60,'SSP - DoD SPRS &amp; FAR and Above'!J60))</f>
        <v/>
      </c>
      <c r="B11" s="567" t="inlineStr">
        <is>
          <t>ISO/CISO</t>
        </is>
      </c>
      <c r="C11" s="568" t="inlineStr">
        <is>
          <t>Funded</t>
        </is>
      </c>
      <c r="D11" s="567" t="inlineStr">
        <is>
          <t>Export Entra Conditional Access &amp; PIM/PAM approvals; provide VPN/VDI/firewall configs enforcing managed access points and FIPS-validated crypto; wireless WPA-Enterprise configs; GPO/MDM for session lock/termination.</t>
        </is>
      </c>
      <c r="E11" s="584" t="inlineStr">
        <is>
          <t>Estimate - 60 days to remediate
Policies and SSP available; attach configs/logs/records as noted</t>
        </is>
      </c>
      <c r="F11" s="574" t="n"/>
      <c r="G11" s="40" t="n"/>
      <c r="H11" s="40" t="n"/>
      <c r="I11" s="40" t="n"/>
      <c r="J11" s="40" t="n"/>
    </row>
    <row r="12" ht="56.1" customHeight="1" s="566">
      <c r="A12" s="583">
        <f t="array" ref="A12">IF('SSP - DoD SPRS &amp; FAR and Above'!M217&lt;&gt;"Fully Addressed",'SSP - DoD SPRS &amp; FAR and Above'!E217&amp;" - "&amp;IF('SSP - DoD SPRS &amp; FAR and Above'!I217&lt;&gt;"",'SSP - DoD SPRS &amp; FAR and Above'!I217,'SSP - DoD SPRS &amp; FAR and Above'!J217))</f>
        <v/>
      </c>
      <c r="B12" s="567" t="inlineStr">
        <is>
          <t>ISO/CISO</t>
        </is>
      </c>
      <c r="C12" s="568" t="inlineStr">
        <is>
          <t>Funded</t>
        </is>
      </c>
      <c r="D12" s="567" t="inlineStr">
        <is>
          <t>Export Entra Conditional Access &amp; PIM/PAM approvals; provide VPN/VDI/firewall configs enforcing managed access points and FIPS-validated crypto; wireless WPA-Enterprise configs; GPO/MDM for session lock/termination.</t>
        </is>
      </c>
      <c r="E12" s="584" t="inlineStr">
        <is>
          <t>Estimate - 60 days to remediate
Policies and SSP available; attach configs/logs/records as noted</t>
        </is>
      </c>
      <c r="F12" s="574" t="n"/>
      <c r="G12" s="40" t="n"/>
      <c r="H12" s="40" t="n"/>
      <c r="I12" s="40" t="n"/>
      <c r="J12" s="40" t="n"/>
    </row>
    <row r="13" ht="56.1" customHeight="1" s="566">
      <c r="A13" s="583">
        <f t="array" ref="A13">IF('SSP - DoD SPRS &amp; FAR and Above'!M218&lt;&gt;"Fully Addressed",'SSP - DoD SPRS &amp; FAR and Above'!E218&amp;" - "&amp;IF('SSP - DoD SPRS &amp; FAR and Above'!I218&lt;&gt;"",'SSP - DoD SPRS &amp; FAR and Above'!I218,'SSP - DoD SPRS &amp; FAR and Above'!J218))</f>
        <v/>
      </c>
      <c r="B13" s="567" t="inlineStr">
        <is>
          <t>ISO/CISO</t>
        </is>
      </c>
      <c r="C13" s="568" t="inlineStr">
        <is>
          <t>Funded</t>
        </is>
      </c>
      <c r="D13" s="567" t="inlineStr">
        <is>
          <t>Export Entra Conditional Access &amp; PIM/PAM approvals; provide VPN/VDI/firewall configs enforcing managed access points and FIPS-validated crypto; wireless WPA-Enterprise configs; GPO/MDM for session lock/termination.</t>
        </is>
      </c>
      <c r="E13" s="584" t="inlineStr">
        <is>
          <t>Estimate - 60 days to remediate
Policies and SSP available; attach configs/logs/records as noted</t>
        </is>
      </c>
      <c r="F13" s="574" t="n"/>
      <c r="G13" s="40" t="n"/>
      <c r="H13" s="40" t="n"/>
      <c r="I13" s="40" t="n"/>
      <c r="J13" s="40" t="n"/>
    </row>
    <row r="14" ht="56.1" customHeight="1" s="566">
      <c r="A14" s="583">
        <f t="array" ref="A14">IF('SSP - DoD SPRS &amp; FAR and Above'!M219&lt;&gt;"Fully Addressed",'SSP - DoD SPRS &amp; FAR and Above'!E219&amp;" - "&amp;IF('SSP - DoD SPRS &amp; FAR and Above'!I219&lt;&gt;"",'SSP - DoD SPRS &amp; FAR and Above'!I219,'SSP - DoD SPRS &amp; FAR and Above'!J219))</f>
        <v/>
      </c>
      <c r="B14" s="567" t="inlineStr">
        <is>
          <t>ISO/CISO</t>
        </is>
      </c>
      <c r="C14" s="568" t="inlineStr">
        <is>
          <t>Funded</t>
        </is>
      </c>
      <c r="D14" s="567" t="inlineStr">
        <is>
          <t>Export Entra Conditional Access &amp; PIM/PAM approvals; provide VPN/VDI/firewall configs enforcing managed access points and FIPS-validated crypto; wireless WPA-Enterprise configs; GPO/MDM for session lock/termination.</t>
        </is>
      </c>
      <c r="E14" s="584" t="inlineStr">
        <is>
          <t>Estimate - 60 days to remediate
Policies and SSP available; attach configs/logs/records as noted</t>
        </is>
      </c>
      <c r="F14" s="574" t="n"/>
      <c r="G14" s="40" t="n"/>
      <c r="H14" s="40" t="n"/>
      <c r="I14" s="40" t="n"/>
      <c r="J14" s="40" t="n"/>
    </row>
    <row r="15" ht="56.1" customHeight="1" s="566">
      <c r="A15" s="583">
        <f t="array" ref="A15">IF('SSP - DoD SPRS &amp; FAR and Above'!M220&lt;&gt;"Fully Addressed",'SSP - DoD SPRS &amp; FAR and Above'!E220&amp;" - "&amp;IF('SSP - DoD SPRS &amp; FAR and Above'!I220&lt;&gt;"",'SSP - DoD SPRS &amp; FAR and Above'!I220,'SSP - DoD SPRS &amp; FAR and Above'!J220))</f>
        <v/>
      </c>
      <c r="B15" s="567" t="inlineStr">
        <is>
          <t>ISO/CISO</t>
        </is>
      </c>
      <c r="C15" s="568" t="inlineStr">
        <is>
          <t>Funded</t>
        </is>
      </c>
      <c r="D15" s="567" t="inlineStr">
        <is>
          <t>Export Entra Conditional Access &amp; PIM/PAM approvals; provide VPN/VDI/firewall configs enforcing managed access points and FIPS-validated crypto; wireless WPA-Enterprise configs; GPO/MDM for session lock/termination.</t>
        </is>
      </c>
      <c r="E15" s="584" t="inlineStr">
        <is>
          <t>Estimate - 60 days to remediate
Policies and SSP available; attach configs/logs/records as noted</t>
        </is>
      </c>
      <c r="F15" s="574" t="n"/>
      <c r="G15" s="40" t="n"/>
      <c r="H15" s="40" t="n"/>
      <c r="I15" s="40" t="n"/>
      <c r="J15" s="40" t="n"/>
    </row>
    <row r="16" ht="56.1" customHeight="1" s="566">
      <c r="A16" s="583">
        <f t="array" ref="A16">IF('SSP - DoD SPRS &amp; FAR and Above'!M379&lt;&gt;"Fully Addressed",'SSP - DoD SPRS &amp; FAR and Above'!E379&amp;" - "&amp;IF('SSP - DoD SPRS &amp; FAR and Above'!I379&lt;&gt;"",'SSP - DoD SPRS &amp; FAR and Above'!I379,'SSP - DoD SPRS &amp; FAR and Above'!J379))</f>
        <v/>
      </c>
      <c r="B16" s="567" t="inlineStr">
        <is>
          <t>ISO/CISO</t>
        </is>
      </c>
      <c r="C16" s="568" t="inlineStr">
        <is>
          <t>Funded</t>
        </is>
      </c>
      <c r="D16" s="567" t="inlineStr">
        <is>
          <t>Export Entra Conditional Access &amp; PIM/PAM approvals; provide VPN/VDI/firewall configs enforcing managed access points and FIPS-validated crypto; wireless WPA-Enterprise configs; GPO/MDM for session lock/termination.</t>
        </is>
      </c>
      <c r="E16" s="584" t="inlineStr">
        <is>
          <t>Estimate - 60 days to remediate
Policies and SSP available; attach configs/logs/records as noted</t>
        </is>
      </c>
      <c r="F16" s="574" t="n"/>
      <c r="G16" s="40" t="n"/>
      <c r="H16" s="40" t="n"/>
      <c r="I16" s="40" t="n"/>
      <c r="J16" s="40" t="n"/>
    </row>
    <row r="17" ht="56.1" customHeight="1" s="566">
      <c r="A17" s="583">
        <f t="array" ref="A17">IF('SSP - DoD SPRS &amp; FAR and Above'!M380&lt;&gt;"Fully Addressed",'SSP - DoD SPRS &amp; FAR and Above'!E380&amp;" - "&amp;IF('SSP - DoD SPRS &amp; FAR and Above'!I380&lt;&gt;"",'SSP - DoD SPRS &amp; FAR and Above'!I380,'SSP - DoD SPRS &amp; FAR and Above'!J380))</f>
        <v/>
      </c>
      <c r="B17" s="567" t="inlineStr">
        <is>
          <t>ISO/CISO</t>
        </is>
      </c>
      <c r="C17" s="568" t="inlineStr">
        <is>
          <t>Funded</t>
        </is>
      </c>
      <c r="D17" s="567" t="inlineStr">
        <is>
          <t>Export Entra Conditional Access &amp; PIM/PAM approvals; provide VPN/VDI/firewall configs enforcing managed access points and FIPS-validated crypto; wireless WPA-Enterprise configs; GPO/MDM for session lock/termination.</t>
        </is>
      </c>
      <c r="E17" s="584" t="inlineStr">
        <is>
          <t>Estimate - 60 days to remediate
Policies and SSP available; attach configs/logs/records as noted</t>
        </is>
      </c>
      <c r="F17" s="574" t="n"/>
      <c r="G17" s="40" t="n"/>
      <c r="H17" s="40" t="n"/>
      <c r="I17" s="40" t="n"/>
      <c r="J17" s="40" t="n"/>
    </row>
    <row r="18" ht="56.1" customHeight="1" s="566">
      <c r="A18" s="583">
        <f t="array" ref="A18">IF('SSP - DoD SPRS &amp; FAR and Above'!M381&lt;&gt;"Fully Addressed",'SSP - DoD SPRS &amp; FAR and Above'!E381&amp;" - "&amp;IF('SSP - DoD SPRS &amp; FAR and Above'!I381&lt;&gt;"",'SSP - DoD SPRS &amp; FAR and Above'!I381,'SSP - DoD SPRS &amp; FAR and Above'!J381))</f>
        <v/>
      </c>
      <c r="B18" s="567" t="inlineStr">
        <is>
          <t>ISO/CISO</t>
        </is>
      </c>
      <c r="C18" s="568" t="inlineStr">
        <is>
          <t>Funded</t>
        </is>
      </c>
      <c r="D18" s="567" t="inlineStr">
        <is>
          <t>Export Entra Conditional Access &amp; PIM/PAM approvals; provide VPN/VDI/firewall configs enforcing managed access points and FIPS-validated crypto; wireless WPA-Enterprise configs; GPO/MDM for session lock/termination.</t>
        </is>
      </c>
      <c r="E18" s="584" t="inlineStr">
        <is>
          <t>Estimate - 60 days to remediate
Policies and SSP available; attach configs/logs/records as noted</t>
        </is>
      </c>
      <c r="F18" s="574" t="n"/>
      <c r="G18" s="40" t="n"/>
      <c r="H18" s="40" t="n"/>
      <c r="I18" s="40" t="n"/>
      <c r="J18" s="40" t="n"/>
    </row>
    <row r="19" ht="56.1" customHeight="1" s="566">
      <c r="A19" s="583">
        <f t="array" ref="A19">IF('SSP - DoD SPRS &amp; FAR and Above'!M176&lt;&gt;"Fully Addressed",'SSP - DoD SPRS &amp; FAR and Above'!E176&amp;" - "&amp;IF('SSP - DoD SPRS &amp; FAR and Above'!I176&lt;&gt;"",'SSP - DoD SPRS &amp; FAR and Above'!I176,'SSP - DoD SPRS &amp; FAR and Above'!J176))</f>
        <v/>
      </c>
      <c r="B19" s="567" t="inlineStr">
        <is>
          <t>ISO/CISO</t>
        </is>
      </c>
      <c r="C19" s="568" t="inlineStr">
        <is>
          <t>Funded</t>
        </is>
      </c>
      <c r="D19" s="567" t="inlineStr">
        <is>
          <t>Export Entra Conditional Access &amp; PIM/PAM approvals; provide VPN/VDI/firewall configs enforcing managed access points and FIPS-validated crypto; wireless WPA-Enterprise configs; GPO/MDM for session lock/termination.</t>
        </is>
      </c>
      <c r="E19" s="584" t="inlineStr">
        <is>
          <t>Estimate - 60 days to remediate
Policies and SSP available; attach configs/logs/records as noted</t>
        </is>
      </c>
      <c r="F19" s="574" t="n"/>
      <c r="G19" s="40" t="n"/>
      <c r="H19" s="40" t="n"/>
      <c r="I19" s="40" t="n"/>
      <c r="J19" s="40" t="n"/>
    </row>
    <row r="20" ht="56.1" customHeight="1" s="566">
      <c r="A20" s="583">
        <f t="array" ref="A20">IF('SSP - DoD SPRS &amp; FAR and Above'!M177&lt;&gt;"Fully Addressed",'SSP - DoD SPRS &amp; FAR and Above'!E177&amp;" - "&amp;IF('SSP - DoD SPRS &amp; FAR and Above'!I177&lt;&gt;"",'SSP - DoD SPRS &amp; FAR and Above'!I177,'SSP - DoD SPRS &amp; FAR and Above'!J177))</f>
        <v/>
      </c>
      <c r="B20" s="567" t="inlineStr">
        <is>
          <t>ISO/CISO</t>
        </is>
      </c>
      <c r="C20" s="568" t="inlineStr">
        <is>
          <t>Funded</t>
        </is>
      </c>
      <c r="D20" s="567" t="inlineStr">
        <is>
          <t>Export Entra Conditional Access &amp; PIM/PAM approvals; provide VPN/VDI/firewall configs enforcing managed access points and FIPS-validated crypto; wireless WPA-Enterprise configs; GPO/MDM for session lock/termination.</t>
        </is>
      </c>
      <c r="E20" s="584" t="inlineStr">
        <is>
          <t>Estimate - 60 days to remediate
Policies and SSP available; attach configs/logs/records as noted</t>
        </is>
      </c>
      <c r="F20" s="574" t="n"/>
      <c r="G20" s="40" t="n"/>
      <c r="H20" s="40" t="n"/>
      <c r="I20" s="40" t="n"/>
      <c r="J20" s="40" t="n"/>
    </row>
    <row r="21" ht="56.1" customHeight="1" s="566">
      <c r="A21" s="583">
        <f t="array" ref="A21">IF('SSP - DoD SPRS &amp; FAR and Above'!M178&lt;&gt;"Fully Addressed",'SSP - DoD SPRS &amp; FAR and Above'!E178&amp;" - "&amp;IF('SSP - DoD SPRS &amp; FAR and Above'!I178&lt;&gt;"",'SSP - DoD SPRS &amp; FAR and Above'!I178,'SSP - DoD SPRS &amp; FAR and Above'!J178))</f>
        <v/>
      </c>
      <c r="B21" s="567" t="inlineStr">
        <is>
          <t>ISO/CISO</t>
        </is>
      </c>
      <c r="C21" s="568" t="inlineStr">
        <is>
          <t>Funded</t>
        </is>
      </c>
      <c r="D21" s="567" t="inlineStr">
        <is>
          <t>Export Entra Conditional Access &amp; PIM/PAM approvals; provide VPN/VDI/firewall configs enforcing managed access points and FIPS-validated crypto; wireless WPA-Enterprise configs; GPO/MDM for session lock/termination.</t>
        </is>
      </c>
      <c r="E21" s="584" t="inlineStr">
        <is>
          <t>Estimate - 60 days to remediate
Policies and SSP available; attach configs/logs/records as noted</t>
        </is>
      </c>
      <c r="F21" s="574" t="n"/>
      <c r="G21" s="40" t="n"/>
      <c r="H21" s="40" t="n"/>
      <c r="I21" s="40" t="n"/>
      <c r="J21" s="40" t="n"/>
    </row>
    <row r="22" ht="56.1" customHeight="1" s="566">
      <c r="A22" s="583">
        <f t="array" ref="A22">IF('SSP - DoD SPRS &amp; FAR and Above'!M179&lt;&gt;"Fully Addressed",'SSP - DoD SPRS &amp; FAR and Above'!E179&amp;" - "&amp;IF('SSP - DoD SPRS &amp; FAR and Above'!I179&lt;&gt;"",'SSP - DoD SPRS &amp; FAR and Above'!I179,'SSP - DoD SPRS &amp; FAR and Above'!J179))</f>
        <v/>
      </c>
      <c r="B22" s="567" t="inlineStr">
        <is>
          <t>ISO/CISO</t>
        </is>
      </c>
      <c r="C22" s="568" t="inlineStr">
        <is>
          <t>Funded</t>
        </is>
      </c>
      <c r="D22" s="567" t="inlineStr">
        <is>
          <t>Export Entra Conditional Access &amp; PIM/PAM approvals; provide VPN/VDI/firewall configs enforcing managed access points and FIPS-validated crypto; wireless WPA-Enterprise configs; GPO/MDM for session lock/termination.</t>
        </is>
      </c>
      <c r="E22" s="584" t="inlineStr">
        <is>
          <t>Estimate - 60 days to remediate
Policies and SSP available; attach configs/logs/records as noted</t>
        </is>
      </c>
      <c r="F22" s="574" t="n"/>
      <c r="G22" s="40" t="n"/>
      <c r="H22" s="40" t="n"/>
      <c r="I22" s="40" t="n"/>
      <c r="J22" s="40" t="n"/>
    </row>
    <row r="23" ht="56.1" customHeight="1" s="566">
      <c r="A23" s="583">
        <f t="array" ref="A23">IF('SSP - DoD SPRS &amp; FAR and Above'!M180&lt;&gt;"Fully Addressed",'SSP - DoD SPRS &amp; FAR and Above'!E180&amp;" - "&amp;IF('SSP - DoD SPRS &amp; FAR and Above'!I180&lt;&gt;"",'SSP - DoD SPRS &amp; FAR and Above'!I180,'SSP - DoD SPRS &amp; FAR and Above'!J180))</f>
        <v/>
      </c>
      <c r="B23" s="567" t="inlineStr">
        <is>
          <t>ISO/CISO</t>
        </is>
      </c>
      <c r="C23" s="568" t="inlineStr">
        <is>
          <t>Funded</t>
        </is>
      </c>
      <c r="D23" s="567" t="inlineStr">
        <is>
          <t>Export Entra Conditional Access &amp; PIM/PAM approvals; provide VPN/VDI/firewall configs enforcing managed access points and FIPS-validated crypto; wireless WPA-Enterprise configs; GPO/MDM for session lock/termination.</t>
        </is>
      </c>
      <c r="E23" s="584" t="inlineStr">
        <is>
          <t>Estimate - 60 days to remediate
Policies and SSP available; attach configs/logs/records as noted</t>
        </is>
      </c>
      <c r="F23" s="574" t="n"/>
      <c r="G23" s="40" t="n"/>
      <c r="H23" s="40" t="n"/>
      <c r="I23" s="40" t="n"/>
      <c r="J23" s="40" t="n"/>
    </row>
    <row r="24" ht="56.1" customHeight="1" s="566">
      <c r="A24" s="583">
        <f t="array" ref="A24">IF('SSP - DoD SPRS &amp; FAR and Above'!M181&lt;&gt;"Fully Addressed",'SSP - DoD SPRS &amp; FAR and Above'!E181&amp;" - "&amp;IF('SSP - DoD SPRS &amp; FAR and Above'!I181&lt;&gt;"",'SSP - DoD SPRS &amp; FAR and Above'!I181,'SSP - DoD SPRS &amp; FAR and Above'!J181))</f>
        <v/>
      </c>
      <c r="B24" s="567" t="inlineStr">
        <is>
          <t>ISO/CISO</t>
        </is>
      </c>
      <c r="C24" s="568" t="inlineStr">
        <is>
          <t>Funded</t>
        </is>
      </c>
      <c r="D24" s="567" t="inlineStr">
        <is>
          <t>Export Entra Conditional Access &amp; PIM/PAM approvals; provide VPN/VDI/firewall configs enforcing managed access points and FIPS-validated crypto; wireless WPA-Enterprise configs; GPO/MDM for session lock/termination.</t>
        </is>
      </c>
      <c r="E24" s="584" t="inlineStr">
        <is>
          <t>Estimate - 60 days to remediate
Policies and SSP available; attach configs/logs/records as noted</t>
        </is>
      </c>
      <c r="F24" s="574" t="n"/>
      <c r="G24" s="40" t="n"/>
      <c r="H24" s="40" t="n"/>
      <c r="I24" s="40" t="n"/>
      <c r="J24" s="40" t="n"/>
    </row>
    <row r="25" ht="56.1" customHeight="1" s="566">
      <c r="A25" s="583">
        <f t="array" ref="A25">IF('SSP - DoD SPRS &amp; FAR and Above'!M182&lt;&gt;"Fully Addressed",'SSP - DoD SPRS &amp; FAR and Above'!E182&amp;" - "&amp;IF('SSP - DoD SPRS &amp; FAR and Above'!I182&lt;&gt;"",'SSP - DoD SPRS &amp; FAR and Above'!I182,'SSP - DoD SPRS &amp; FAR and Above'!J182))</f>
        <v/>
      </c>
      <c r="B25" s="567" t="inlineStr">
        <is>
          <t>ISO/CISO</t>
        </is>
      </c>
      <c r="C25" s="568" t="inlineStr">
        <is>
          <t>Funded</t>
        </is>
      </c>
      <c r="D25" s="567" t="inlineStr">
        <is>
          <t>Export Entra Conditional Access &amp; PIM/PAM approvals; provide VPN/VDI/firewall configs enforcing managed access points and FIPS-validated crypto; wireless WPA-Enterprise configs; GPO/MDM for session lock/termination.</t>
        </is>
      </c>
      <c r="E25" s="584" t="inlineStr">
        <is>
          <t>Estimate - 60 days to remediate
Policies and SSP available; attach configs/logs/records as noted</t>
        </is>
      </c>
      <c r="F25" s="574" t="n"/>
      <c r="G25" s="40" t="n"/>
      <c r="H25" s="40" t="n"/>
      <c r="I25" s="40" t="n"/>
      <c r="J25" s="40" t="n"/>
    </row>
    <row r="26" ht="56.1" customHeight="1" s="566">
      <c r="A26" s="583">
        <f t="array" ref="A26">IF('SSP - DoD SPRS &amp; FAR and Above'!M183&lt;&gt;"Fully Addressed",'SSP - DoD SPRS &amp; FAR and Above'!E183&amp;" - "&amp;IF('SSP - DoD SPRS &amp; FAR and Above'!I183&lt;&gt;"",'SSP - DoD SPRS &amp; FAR and Above'!I183,'SSP - DoD SPRS &amp; FAR and Above'!J183))</f>
        <v/>
      </c>
      <c r="B26" s="567" t="inlineStr">
        <is>
          <t>ISO/CISO</t>
        </is>
      </c>
      <c r="C26" s="568" t="inlineStr">
        <is>
          <t>Funded</t>
        </is>
      </c>
      <c r="D26" s="567" t="inlineStr">
        <is>
          <t>Export Entra Conditional Access &amp; PIM/PAM approvals; provide VPN/VDI/firewall configs enforcing managed access points and FIPS-validated crypto; wireless WPA-Enterprise configs; GPO/MDM for session lock/termination.</t>
        </is>
      </c>
      <c r="E26" s="584" t="inlineStr">
        <is>
          <t>Estimate - 60 days to remediate
Policies and SSP available; attach configs/logs/records as noted</t>
        </is>
      </c>
      <c r="F26" s="574" t="n"/>
      <c r="G26" s="40" t="n"/>
      <c r="H26" s="40" t="n"/>
      <c r="I26" s="40" t="n"/>
      <c r="J26" s="40" t="n"/>
    </row>
    <row r="27" ht="56.1" customHeight="1" s="566">
      <c r="A27" s="583">
        <f t="array" ref="A27">IF('SSP - DoD SPRS &amp; FAR and Above'!M399&lt;&gt;"Fully Addressed",'SSP - DoD SPRS &amp; FAR and Above'!E399&amp;" - "&amp;IF('SSP - DoD SPRS &amp; FAR and Above'!I399&lt;&gt;"",'SSP - DoD SPRS &amp; FAR and Above'!I399,'SSP - DoD SPRS &amp; FAR and Above'!J399))</f>
        <v/>
      </c>
      <c r="B27" s="567" t="inlineStr">
        <is>
          <t>ISO/CISO</t>
        </is>
      </c>
      <c r="C27" s="568" t="inlineStr">
        <is>
          <t>Funded</t>
        </is>
      </c>
      <c r="D27" s="567" t="inlineStr">
        <is>
          <t>Export Entra Conditional Access &amp; PIM/PAM approvals; provide VPN/VDI/firewall configs enforcing managed access points and FIPS-validated crypto; wireless WPA-Enterprise configs; GPO/MDM for session lock/termination.</t>
        </is>
      </c>
      <c r="E27" s="584" t="inlineStr">
        <is>
          <t>Estimate - 60 days to remediate
Policies and SSP available; attach configs/logs/records as noted</t>
        </is>
      </c>
      <c r="F27" s="574" t="n"/>
      <c r="G27" s="40" t="n"/>
      <c r="H27" s="40" t="n"/>
      <c r="I27" s="40" t="n"/>
      <c r="J27" s="40" t="n"/>
    </row>
    <row r="28" ht="56.1" customHeight="1" s="566">
      <c r="A28" s="583">
        <f t="array" ref="A28">IF('SSP - DoD SPRS &amp; FAR and Above'!M400&lt;&gt;"Fully Addressed",'SSP - DoD SPRS &amp; FAR and Above'!E400&amp;" - "&amp;IF('SSP - DoD SPRS &amp; FAR and Above'!I400&lt;&gt;"",'SSP - DoD SPRS &amp; FAR and Above'!I400,'SSP - DoD SPRS &amp; FAR and Above'!J400))</f>
        <v/>
      </c>
      <c r="B28" s="567" t="inlineStr">
        <is>
          <t>ISO/CISO</t>
        </is>
      </c>
      <c r="C28" s="568" t="inlineStr">
        <is>
          <t>Funded</t>
        </is>
      </c>
      <c r="D28" s="567" t="inlineStr">
        <is>
          <t>Export Entra Conditional Access &amp; PIM/PAM approvals; provide VPN/VDI/firewall configs enforcing managed access points and FIPS-validated crypto; wireless WPA-Enterprise configs; GPO/MDM for session lock/termination.</t>
        </is>
      </c>
      <c r="E28" s="584" t="inlineStr">
        <is>
          <t>Estimate - 60 days to remediate
Policies and SSP available; attach configs/logs/records as noted</t>
        </is>
      </c>
      <c r="F28" s="574" t="n"/>
      <c r="G28" s="40" t="n"/>
      <c r="H28" s="40" t="n"/>
      <c r="I28" s="40" t="n"/>
      <c r="J28" s="40" t="n"/>
    </row>
    <row r="29" ht="56.1" customHeight="1" s="566">
      <c r="A29" s="583">
        <f t="array" ref="A29">IF('SSP - DoD SPRS &amp; FAR and Above'!M401&lt;&gt;"Fully Addressed",'SSP - DoD SPRS &amp; FAR and Above'!E401&amp;" - "&amp;IF('SSP - DoD SPRS &amp; FAR and Above'!I401&lt;&gt;"",'SSP - DoD SPRS &amp; FAR and Above'!I401,'SSP - DoD SPRS &amp; FAR and Above'!J401))</f>
        <v/>
      </c>
      <c r="B29" s="567" t="inlineStr">
        <is>
          <t>ISO/CISO</t>
        </is>
      </c>
      <c r="C29" s="568" t="inlineStr">
        <is>
          <t>Funded</t>
        </is>
      </c>
      <c r="D29" s="567" t="inlineStr">
        <is>
          <t>Export Entra Conditional Access &amp; PIM/PAM approvals; provide VPN/VDI/firewall configs enforcing managed access points and FIPS-validated crypto; wireless WPA-Enterprise configs; GPO/MDM for session lock/termination.</t>
        </is>
      </c>
      <c r="E29" s="584" t="inlineStr">
        <is>
          <t>Estimate - 60 days to remediate
Policies and SSP available; attach configs/logs/records as noted</t>
        </is>
      </c>
      <c r="F29" s="574" t="n"/>
      <c r="G29" s="40" t="n"/>
      <c r="H29" s="40" t="n"/>
      <c r="I29" s="40" t="n"/>
      <c r="J29" s="40" t="n"/>
    </row>
    <row r="30" ht="56.1" customHeight="1" s="566">
      <c r="A30" s="583">
        <f t="array" ref="A30">IF('SSP - DoD SPRS &amp; FAR and Above'!M402&lt;&gt;"Fully Addressed",'SSP - DoD SPRS &amp; FAR and Above'!E402&amp;" - "&amp;IF('SSP - DoD SPRS &amp; FAR and Above'!I402&lt;&gt;"",'SSP - DoD SPRS &amp; FAR and Above'!I402,'SSP - DoD SPRS &amp; FAR and Above'!J402))</f>
        <v/>
      </c>
      <c r="B30" s="567" t="inlineStr">
        <is>
          <t>ISO/CISO</t>
        </is>
      </c>
      <c r="C30" s="568" t="inlineStr">
        <is>
          <t>Funded</t>
        </is>
      </c>
      <c r="D30" s="567" t="inlineStr">
        <is>
          <t>Export Entra Conditional Access &amp; PIM/PAM approvals; provide VPN/VDI/firewall configs enforcing managed access points and FIPS-validated crypto; wireless WPA-Enterprise configs; GPO/MDM for session lock/termination.</t>
        </is>
      </c>
      <c r="E30" s="584" t="inlineStr">
        <is>
          <t>Estimate - 60 days to remediate
Policies and SSP available; attach configs/logs/records as noted</t>
        </is>
      </c>
      <c r="F30" s="574" t="n"/>
      <c r="G30" s="40" t="n"/>
      <c r="H30" s="40" t="n"/>
      <c r="I30" s="40" t="n"/>
      <c r="J30" s="40" t="n"/>
    </row>
    <row r="31" ht="56.1" customHeight="1" s="566">
      <c r="A31" s="583">
        <f t="array" ref="A31">IF('SSP - DoD SPRS &amp; FAR and Above'!M403&lt;&gt;"Fully Addressed",'SSP - DoD SPRS &amp; FAR and Above'!E403&amp;" - "&amp;IF('SSP - DoD SPRS &amp; FAR and Above'!I403&lt;&gt;"",'SSP - DoD SPRS &amp; FAR and Above'!I403,'SSP - DoD SPRS &amp; FAR and Above'!J403))</f>
        <v/>
      </c>
      <c r="B31" s="567" t="inlineStr">
        <is>
          <t>ISO/CISO</t>
        </is>
      </c>
      <c r="C31" s="568" t="inlineStr">
        <is>
          <t>Funded</t>
        </is>
      </c>
      <c r="D31" s="567" t="inlineStr">
        <is>
          <t>Export Entra Conditional Access &amp; PIM/PAM approvals; provide VPN/VDI/firewall configs enforcing managed access points and FIPS-validated crypto; wireless WPA-Enterprise configs; GPO/MDM for session lock/termination.</t>
        </is>
      </c>
      <c r="E31" s="584" t="inlineStr">
        <is>
          <t>Estimate - 60 days to remediate
Policies and SSP available; attach configs/logs/records as noted</t>
        </is>
      </c>
      <c r="F31" s="574" t="n"/>
      <c r="G31" s="40" t="n"/>
      <c r="H31" s="40" t="n"/>
      <c r="I31" s="40" t="n"/>
      <c r="J31" s="40" t="n"/>
    </row>
    <row r="32" ht="56.1" customHeight="1" s="566">
      <c r="A32" s="583">
        <f t="array" ref="A32">IF('SSP - DoD SPRS &amp; FAR and Above'!M404&lt;&gt;"Fully Addressed",'SSP - DoD SPRS &amp; FAR and Above'!E404&amp;" - "&amp;IF('SSP - DoD SPRS &amp; FAR and Above'!I404&lt;&gt;"",'SSP - DoD SPRS &amp; FAR and Above'!I404,'SSP - DoD SPRS &amp; FAR and Above'!J404))</f>
        <v/>
      </c>
      <c r="B32" s="567" t="inlineStr">
        <is>
          <t>ISO/CISO</t>
        </is>
      </c>
      <c r="C32" s="568" t="inlineStr">
        <is>
          <t>Funded</t>
        </is>
      </c>
      <c r="D32" s="567" t="inlineStr">
        <is>
          <t>Export Entra Conditional Access &amp; PIM/PAM approvals; provide VPN/VDI/firewall configs enforcing managed access points and FIPS-validated crypto; wireless WPA-Enterprise configs; GPO/MDM for session lock/termination.</t>
        </is>
      </c>
      <c r="E32" s="584" t="inlineStr">
        <is>
          <t>Estimate - 60 days to remediate
Policies and SSP available; attach configs/logs/records as noted</t>
        </is>
      </c>
      <c r="F32" s="574" t="n"/>
      <c r="G32" s="40" t="n"/>
      <c r="H32" s="40" t="n"/>
      <c r="I32" s="40" t="n"/>
      <c r="J32" s="40" t="n"/>
    </row>
    <row r="33" ht="56.1" customHeight="1" s="566">
      <c r="A33" s="583">
        <f t="array" ref="A33">IF('SSP - DoD SPRS &amp; FAR and Above'!M405&lt;&gt;"Fully Addressed",'SSP - DoD SPRS &amp; FAR and Above'!E405&amp;" - "&amp;IF('SSP - DoD SPRS &amp; FAR and Above'!I405&lt;&gt;"",'SSP - DoD SPRS &amp; FAR and Above'!I405,'SSP - DoD SPRS &amp; FAR and Above'!J405))</f>
        <v/>
      </c>
      <c r="B33" s="567" t="inlineStr">
        <is>
          <t>ISO/CISO</t>
        </is>
      </c>
      <c r="C33" s="568" t="inlineStr">
        <is>
          <t>Funded</t>
        </is>
      </c>
      <c r="D33" s="567" t="inlineStr">
        <is>
          <t>Export Entra Conditional Access &amp; PIM/PAM approvals; provide VPN/VDI/firewall configs enforcing managed access points and FIPS-validated crypto; wireless WPA-Enterprise configs; GPO/MDM for session lock/termination.</t>
        </is>
      </c>
      <c r="E33" s="584" t="inlineStr">
        <is>
          <t>Estimate - 60 days to remediate
Policies and SSP available; attach configs/logs/records as noted</t>
        </is>
      </c>
      <c r="F33" s="574" t="n"/>
      <c r="G33" s="40" t="n"/>
      <c r="H33" s="40" t="n"/>
      <c r="I33" s="40" t="n"/>
      <c r="J33" s="40" t="n"/>
    </row>
    <row r="34" ht="56.1" customHeight="1" s="566">
      <c r="A34" s="583">
        <f t="array" ref="A34">IF('SSP - DoD SPRS &amp; FAR and Above'!M406&lt;&gt;"Fully Addressed",'SSP - DoD SPRS &amp; FAR and Above'!E406&amp;" - "&amp;IF('SSP - DoD SPRS &amp; FAR and Above'!I406&lt;&gt;"",'SSP - DoD SPRS &amp; FAR and Above'!I406,'SSP - DoD SPRS &amp; FAR and Above'!J406))</f>
        <v/>
      </c>
      <c r="B34" s="567" t="inlineStr">
        <is>
          <t>ISO/CISO</t>
        </is>
      </c>
      <c r="C34" s="568" t="inlineStr">
        <is>
          <t>Funded</t>
        </is>
      </c>
      <c r="D34" s="567" t="inlineStr">
        <is>
          <t>Export Entra Conditional Access &amp; PIM/PAM approvals; provide VPN/VDI/firewall configs enforcing managed access points and FIPS-validated crypto; wireless WPA-Enterprise configs; GPO/MDM for session lock/termination.</t>
        </is>
      </c>
      <c r="E34" s="584" t="inlineStr">
        <is>
          <t>Estimate - 60 days to remediate
Policies and SSP available; attach configs/logs/records as noted</t>
        </is>
      </c>
      <c r="F34" s="574" t="n"/>
      <c r="G34" s="40" t="n"/>
      <c r="H34" s="40" t="n"/>
      <c r="I34" s="40" t="n"/>
      <c r="J34" s="40" t="n"/>
    </row>
    <row r="35" ht="56.1" customHeight="1" s="566">
      <c r="A35" s="583">
        <f t="array" ref="A35">IF('SSP - DoD SPRS &amp; FAR and Above'!M173&lt;&gt;"Fully Addressed",'SSP - DoD SPRS &amp; FAR and Above'!E173&amp;" - "&amp;IF('SSP - DoD SPRS &amp; FAR and Above'!I173&lt;&gt;"",'SSP - DoD SPRS &amp; FAR and Above'!I173,'SSP - DoD SPRS &amp; FAR and Above'!J173))</f>
        <v/>
      </c>
      <c r="B35" s="567" t="inlineStr">
        <is>
          <t>ISO/CISO</t>
        </is>
      </c>
      <c r="C35" s="568" t="inlineStr">
        <is>
          <t>Funded</t>
        </is>
      </c>
      <c r="D35" s="567" t="inlineStr">
        <is>
          <t>Export Entra Conditional Access &amp; PIM/PAM approvals; provide VPN/VDI/firewall configs enforcing managed access points and FIPS-validated crypto; wireless WPA-Enterprise configs; GPO/MDM for session lock/termination.</t>
        </is>
      </c>
      <c r="E35" s="584" t="inlineStr">
        <is>
          <t>Estimate - 60 days to remediate
Policies and SSP available; attach configs/logs/records as noted</t>
        </is>
      </c>
      <c r="F35" s="574" t="n"/>
      <c r="G35" s="40" t="n"/>
      <c r="H35" s="40" t="n"/>
      <c r="I35" s="40" t="n"/>
      <c r="J35" s="40" t="n"/>
    </row>
    <row r="36" ht="56.1" customHeight="1" s="566">
      <c r="A36" s="583">
        <f t="array" ref="A36">IF('SSP - DoD SPRS &amp; FAR and Above'!M174&lt;&gt;"Fully Addressed",'SSP - DoD SPRS &amp; FAR and Above'!E174&amp;" - "&amp;IF('SSP - DoD SPRS &amp; FAR and Above'!I174&lt;&gt;"",'SSP - DoD SPRS &amp; FAR and Above'!I174,'SSP - DoD SPRS &amp; FAR and Above'!J174))</f>
        <v/>
      </c>
      <c r="B36" s="567" t="inlineStr">
        <is>
          <t>ISO/CISO</t>
        </is>
      </c>
      <c r="C36" s="568" t="inlineStr">
        <is>
          <t>Funded</t>
        </is>
      </c>
      <c r="D36" s="567" t="inlineStr">
        <is>
          <t>Export Entra Conditional Access &amp; PIM/PAM approvals; provide VPN/VDI/firewall configs enforcing managed access points and FIPS-validated crypto; wireless WPA-Enterprise configs; GPO/MDM for session lock/termination.</t>
        </is>
      </c>
      <c r="E36" s="584" t="inlineStr">
        <is>
          <t>Estimate - 60 days to remediate
Policies and SSP available; attach configs/logs/records as noted</t>
        </is>
      </c>
      <c r="F36" s="574" t="n"/>
      <c r="G36" s="40" t="n"/>
      <c r="H36" s="40" t="n"/>
      <c r="I36" s="40" t="n"/>
      <c r="J36" s="40" t="n"/>
    </row>
    <row r="37" ht="56.1" customHeight="1" s="566">
      <c r="A37" s="583">
        <f t="array" ref="A37">IF('SSP - DoD SPRS &amp; FAR and Above'!M175&lt;&gt;"Fully Addressed",'SSP - DoD SPRS &amp; FAR and Above'!E175&amp;" - "&amp;IF('SSP - DoD SPRS &amp; FAR and Above'!I175&lt;&gt;"",'SSP - DoD SPRS &amp; FAR and Above'!I175,'SSP - DoD SPRS &amp; FAR and Above'!J175))</f>
        <v/>
      </c>
      <c r="B37" s="567" t="inlineStr">
        <is>
          <t>ISO/CISO</t>
        </is>
      </c>
      <c r="C37" s="568" t="inlineStr">
        <is>
          <t>Funded</t>
        </is>
      </c>
      <c r="D37" s="567" t="inlineStr">
        <is>
          <t>Export Entra Conditional Access &amp; PIM/PAM approvals; provide VPN/VDI/firewall configs enforcing managed access points and FIPS-validated crypto; wireless WPA-Enterprise configs; GPO/MDM for session lock/termination.</t>
        </is>
      </c>
      <c r="E37" s="584" t="inlineStr">
        <is>
          <t>Estimate - 60 days to remediate
Policies and SSP available; attach configs/logs/records as noted</t>
        </is>
      </c>
      <c r="F37" s="574" t="n"/>
      <c r="G37" s="40" t="n"/>
      <c r="H37" s="40" t="n"/>
      <c r="I37" s="40" t="n"/>
      <c r="J37" s="40" t="n"/>
    </row>
    <row r="38" ht="56.1" customHeight="1" s="566">
      <c r="A38" s="583">
        <f t="array" ref="A38">IF('SSP - DoD SPRS &amp; FAR and Above'!M170&lt;&gt;"Fully Addressed",'SSP - DoD SPRS &amp; FAR and Above'!E170&amp;" - "&amp;IF('SSP - DoD SPRS &amp; FAR and Above'!I170&lt;&gt;"",'SSP - DoD SPRS &amp; FAR and Above'!I170,'SSP - DoD SPRS &amp; FAR and Above'!J170))</f>
        <v/>
      </c>
      <c r="B38" s="567" t="inlineStr">
        <is>
          <t>ISO/CISO</t>
        </is>
      </c>
      <c r="C38" s="568" t="inlineStr">
        <is>
          <t>Funded</t>
        </is>
      </c>
      <c r="D38" s="567" t="inlineStr">
        <is>
          <t>Export Entra Conditional Access &amp; PIM/PAM approvals; provide VPN/VDI/firewall configs enforcing managed access points and FIPS-validated crypto; wireless WPA-Enterprise configs; GPO/MDM for session lock/termination.</t>
        </is>
      </c>
      <c r="E38" s="584" t="inlineStr">
        <is>
          <t>Estimate - 60 days to remediate
Policies and SSP available; attach configs/logs/records as noted</t>
        </is>
      </c>
      <c r="F38" s="574" t="n"/>
      <c r="G38" s="40" t="n"/>
      <c r="H38" s="40" t="n"/>
      <c r="I38" s="40" t="n"/>
      <c r="J38" s="40" t="n"/>
    </row>
    <row r="39" ht="56.1" customHeight="1" s="566">
      <c r="A39" s="583">
        <f t="array" ref="A39">IF('SSP - DoD SPRS &amp; FAR and Above'!M171&lt;&gt;"Fully Addressed",'SSP - DoD SPRS &amp; FAR and Above'!E171&amp;" - "&amp;IF('SSP - DoD SPRS &amp; FAR and Above'!I171&lt;&gt;"",'SSP - DoD SPRS &amp; FAR and Above'!I171,'SSP - DoD SPRS &amp; FAR and Above'!J171))</f>
        <v/>
      </c>
      <c r="B39" s="567" t="inlineStr">
        <is>
          <t>ISO/CISO</t>
        </is>
      </c>
      <c r="C39" s="568" t="inlineStr">
        <is>
          <t>Funded</t>
        </is>
      </c>
      <c r="D39" s="567" t="inlineStr">
        <is>
          <t>Export Entra Conditional Access &amp; PIM/PAM approvals; provide VPN/VDI/firewall configs enforcing managed access points and FIPS-validated crypto; wireless WPA-Enterprise configs; GPO/MDM for session lock/termination.</t>
        </is>
      </c>
      <c r="E39" s="584" t="inlineStr">
        <is>
          <t>Estimate - 60 days to remediate
Policies and SSP available; attach configs/logs/records as noted</t>
        </is>
      </c>
      <c r="F39" s="574" t="n"/>
      <c r="G39" s="40" t="n"/>
      <c r="H39" s="40" t="n"/>
      <c r="I39" s="40" t="n"/>
      <c r="J39" s="40" t="n"/>
    </row>
    <row r="40" ht="56.1" customHeight="1" s="566">
      <c r="A40" s="583">
        <f t="array" ref="A40">IF('SSP - DoD SPRS &amp; FAR and Above'!M172&lt;&gt;"Fully Addressed",'SSP - DoD SPRS &amp; FAR and Above'!E172&amp;" - "&amp;IF('SSP - DoD SPRS &amp; FAR and Above'!I172&lt;&gt;"",'SSP - DoD SPRS &amp; FAR and Above'!I172,'SSP - DoD SPRS &amp; FAR and Above'!J172))</f>
        <v/>
      </c>
      <c r="B40" s="567" t="inlineStr">
        <is>
          <t>ISO/CISO</t>
        </is>
      </c>
      <c r="C40" s="568" t="inlineStr">
        <is>
          <t>Funded</t>
        </is>
      </c>
      <c r="D40" s="567" t="inlineStr">
        <is>
          <t>Export Entra Conditional Access &amp; PIM/PAM approvals; provide VPN/VDI/firewall configs enforcing managed access points and FIPS-validated crypto; wireless WPA-Enterprise configs; GPO/MDM for session lock/termination.</t>
        </is>
      </c>
      <c r="E40" s="584" t="inlineStr">
        <is>
          <t>Estimate - 60 days to remediate
Policies and SSP available; attach configs/logs/records as noted</t>
        </is>
      </c>
      <c r="F40" s="574" t="n"/>
      <c r="G40" s="40" t="n"/>
      <c r="H40" s="40" t="n"/>
      <c r="I40" s="40" t="n"/>
      <c r="J40" s="40" t="n"/>
    </row>
    <row r="41" ht="56.1" customHeight="1" s="566">
      <c r="A41" s="583">
        <f t="array" ref="A41">IF('SSP - DoD SPRS &amp; FAR and Above'!M213&lt;&gt;"Fully Addressed",'SSP - DoD SPRS &amp; FAR and Above'!E213&amp;" - "&amp;IF('SSP - DoD SPRS &amp; FAR and Above'!I213&lt;&gt;"",'SSP - DoD SPRS &amp; FAR and Above'!I213,'SSP - DoD SPRS &amp; FAR and Above'!J213))</f>
        <v/>
      </c>
      <c r="B41" s="567" t="inlineStr">
        <is>
          <t>ISO/CISO</t>
        </is>
      </c>
      <c r="C41" s="568" t="inlineStr">
        <is>
          <t>Funded</t>
        </is>
      </c>
      <c r="D41" s="567" t="inlineStr">
        <is>
          <t>Export Entra Conditional Access &amp; PIM/PAM approvals; provide VPN/VDI/firewall configs enforcing managed access points and FIPS-validated crypto; wireless WPA-Enterprise configs; GPO/MDM for session lock/termination.</t>
        </is>
      </c>
      <c r="E41" s="584" t="inlineStr">
        <is>
          <t>Estimate - 60 days to remediate
Policies and SSP available; attach configs/logs/records as noted</t>
        </is>
      </c>
      <c r="F41" s="574" t="n"/>
      <c r="G41" s="40" t="n"/>
      <c r="H41" s="40" t="n"/>
      <c r="I41" s="40" t="n"/>
      <c r="J41" s="40" t="n"/>
    </row>
    <row r="42" ht="56.1" customHeight="1" s="566">
      <c r="A42" s="583">
        <f t="array" ref="A42">IF('SSP - DoD SPRS &amp; FAR and Above'!M214&lt;&gt;"Fully Addressed",'SSP - DoD SPRS &amp; FAR and Above'!E214&amp;" - "&amp;IF('SSP - DoD SPRS &amp; FAR and Above'!I214&lt;&gt;"",'SSP - DoD SPRS &amp; FAR and Above'!I214,'SSP - DoD SPRS &amp; FAR and Above'!J214))</f>
        <v/>
      </c>
      <c r="B42" s="567" t="inlineStr">
        <is>
          <t>ISO/CISO</t>
        </is>
      </c>
      <c r="C42" s="568" t="inlineStr">
        <is>
          <t>Funded</t>
        </is>
      </c>
      <c r="D42" s="567" t="inlineStr">
        <is>
          <t>Export Entra Conditional Access &amp; PIM/PAM approvals; provide VPN/VDI/firewall configs enforcing managed access points and FIPS-validated crypto; wireless WPA-Enterprise configs; GPO/MDM for session lock/termination.</t>
        </is>
      </c>
      <c r="E42" s="584" t="inlineStr">
        <is>
          <t>Estimate - 60 days to remediate
Policies and SSP available; attach configs/logs/records as noted</t>
        </is>
      </c>
      <c r="F42" s="574" t="n"/>
      <c r="G42" s="40" t="n"/>
      <c r="H42" s="40" t="n"/>
      <c r="I42" s="40" t="n"/>
      <c r="J42" s="40" t="n"/>
    </row>
    <row r="43" ht="56.1" customHeight="1" s="566">
      <c r="A43" s="583">
        <f t="array" ref="A43">IF('SSP - DoD SPRS &amp; FAR and Above'!M215&lt;&gt;"Fully Addressed",'SSP - DoD SPRS &amp; FAR and Above'!E215&amp;" - "&amp;IF('SSP - DoD SPRS &amp; FAR and Above'!I215&lt;&gt;"",'SSP - DoD SPRS &amp; FAR and Above'!I215,'SSP - DoD SPRS &amp; FAR and Above'!J215))</f>
        <v/>
      </c>
      <c r="B43" s="567" t="inlineStr">
        <is>
          <t>ISO/CISO</t>
        </is>
      </c>
      <c r="C43" s="568" t="inlineStr">
        <is>
          <t>Funded</t>
        </is>
      </c>
      <c r="D43" s="567" t="inlineStr">
        <is>
          <t>Export Entra Conditional Access &amp; PIM/PAM approvals; provide VPN/VDI/firewall configs enforcing managed access points and FIPS-validated crypto; wireless WPA-Enterprise configs; GPO/MDM for session lock/termination.</t>
        </is>
      </c>
      <c r="E43" s="584" t="inlineStr">
        <is>
          <t>Estimate - 60 days to remediate
Policies and SSP available; attach configs/logs/records as noted</t>
        </is>
      </c>
      <c r="F43" s="574" t="n"/>
      <c r="G43" s="40" t="n"/>
      <c r="H43" s="40" t="n"/>
      <c r="I43" s="40" t="n"/>
      <c r="J43" s="40" t="n"/>
    </row>
    <row r="44" ht="56.1" customHeight="1" s="566">
      <c r="A44" s="583">
        <f t="array" ref="A44">IF('SSP - DoD SPRS &amp; FAR and Above'!M216&lt;&gt;"Fully Addressed",'SSP - DoD SPRS &amp; FAR and Above'!E216&amp;" - "&amp;IF('SSP - DoD SPRS &amp; FAR and Above'!I216&lt;&gt;"",'SSP - DoD SPRS &amp; FAR and Above'!I216,'SSP - DoD SPRS &amp; FAR and Above'!J216))</f>
        <v/>
      </c>
      <c r="B44" s="567" t="inlineStr">
        <is>
          <t>ISO/CISO</t>
        </is>
      </c>
      <c r="C44" s="568" t="inlineStr">
        <is>
          <t>Funded</t>
        </is>
      </c>
      <c r="D44" s="567" t="inlineStr">
        <is>
          <t>Export Entra Conditional Access &amp; PIM/PAM approvals; provide VPN/VDI/firewall configs enforcing managed access points and FIPS-validated crypto; wireless WPA-Enterprise configs; GPO/MDM for session lock/termination.</t>
        </is>
      </c>
      <c r="E44" s="584" t="inlineStr">
        <is>
          <t>Estimate - 60 days to remediate
Policies and SSP available; attach configs/logs/records as noted</t>
        </is>
      </c>
      <c r="F44" s="574" t="n"/>
      <c r="G44" s="40" t="n"/>
      <c r="H44" s="40" t="n"/>
      <c r="I44" s="40" t="n"/>
      <c r="J44" s="40" t="n"/>
    </row>
    <row r="45" ht="56.1" customHeight="1" s="566">
      <c r="A45" s="583">
        <f t="array" ref="A45">IF('SSP - DoD SPRS &amp; FAR and Above'!M315&lt;&gt;"Fully Addressed",'SSP - DoD SPRS &amp; FAR and Above'!E315&amp;" - "&amp;IF('SSP - DoD SPRS &amp; FAR and Above'!I315&lt;&gt;"",'SSP - DoD SPRS &amp; FAR and Above'!I315,'SSP - DoD SPRS &amp; FAR and Above'!J315))</f>
        <v/>
      </c>
      <c r="B45" s="567" t="inlineStr">
        <is>
          <t>ISO/CISO</t>
        </is>
      </c>
      <c r="C45" s="568" t="inlineStr">
        <is>
          <t>Funded</t>
        </is>
      </c>
      <c r="D45" s="567" t="inlineStr">
        <is>
          <t>Export Entra Conditional Access &amp; PIM/PAM approvals; provide VPN/VDI/firewall configs enforcing managed access points and FIPS-validated crypto; wireless WPA-Enterprise configs; GPO/MDM for session lock/termination.</t>
        </is>
      </c>
      <c r="E45" s="584" t="inlineStr">
        <is>
          <t>Estimate - 60 days to remediate
Policies and SSP available; attach configs/logs/records as noted</t>
        </is>
      </c>
      <c r="F45" s="574" t="n"/>
      <c r="G45" s="40" t="n"/>
      <c r="H45" s="40" t="n"/>
      <c r="I45" s="40" t="n"/>
      <c r="J45" s="40" t="n"/>
    </row>
    <row r="46" ht="56.1" customHeight="1" s="566">
      <c r="A46" s="583">
        <f t="array" ref="A46">IF('SSP - DoD SPRS &amp; FAR and Above'!M316&lt;&gt;"Fully Addressed",'SSP - DoD SPRS &amp; FAR and Above'!E316&amp;" - "&amp;IF('SSP - DoD SPRS &amp; FAR and Above'!I316&lt;&gt;"",'SSP - DoD SPRS &amp; FAR and Above'!I316,'SSP - DoD SPRS &amp; FAR and Above'!J316))</f>
        <v/>
      </c>
      <c r="B46" s="567" t="inlineStr">
        <is>
          <t>ISO/CISO</t>
        </is>
      </c>
      <c r="C46" s="568" t="inlineStr">
        <is>
          <t>Funded</t>
        </is>
      </c>
      <c r="D46" s="567" t="inlineStr">
        <is>
          <t>Export Entra Conditional Access &amp; PIM/PAM approvals; provide VPN/VDI/firewall configs enforcing managed access points and FIPS-validated crypto; wireless WPA-Enterprise configs; GPO/MDM for session lock/termination.</t>
        </is>
      </c>
      <c r="E46" s="584" t="inlineStr">
        <is>
          <t>Estimate - 60 days to remediate
Policies and SSP available; attach configs/logs/records as noted</t>
        </is>
      </c>
      <c r="F46" s="574" t="n"/>
      <c r="G46" s="40" t="n"/>
      <c r="H46" s="40" t="n"/>
      <c r="I46" s="40" t="n"/>
      <c r="J46" s="40" t="n"/>
    </row>
    <row r="47" ht="56.1" customHeight="1" s="566">
      <c r="A47" s="583">
        <f t="array" ref="A47">IF('SSP - DoD SPRS &amp; FAR and Above'!M317&lt;&gt;"Fully Addressed",'SSP - DoD SPRS &amp; FAR and Above'!E317&amp;" - "&amp;IF('SSP - DoD SPRS &amp; FAR and Above'!I317&lt;&gt;"",'SSP - DoD SPRS &amp; FAR and Above'!I317,'SSP - DoD SPRS &amp; FAR and Above'!J317))</f>
        <v/>
      </c>
      <c r="B47" s="567" t="inlineStr">
        <is>
          <t>ISO/CISO</t>
        </is>
      </c>
      <c r="C47" s="568" t="inlineStr">
        <is>
          <t>Funded</t>
        </is>
      </c>
      <c r="D47" s="567" t="inlineStr">
        <is>
          <t>Export Entra Conditional Access &amp; PIM/PAM approvals; provide VPN/VDI/firewall configs enforcing managed access points and FIPS-validated crypto; wireless WPA-Enterprise configs; GPO/MDM for session lock/termination.</t>
        </is>
      </c>
      <c r="E47" s="584" t="inlineStr">
        <is>
          <t>Estimate - 60 days to remediate
Policies and SSP available; attach configs/logs/records as noted</t>
        </is>
      </c>
      <c r="F47" s="574" t="n"/>
      <c r="G47" s="40" t="n"/>
      <c r="H47" s="40" t="n"/>
      <c r="I47" s="40" t="n"/>
      <c r="J47" s="40" t="n"/>
    </row>
    <row r="48" ht="56.1" customHeight="1" s="566">
      <c r="A48" s="583">
        <f t="array" ref="A48">IF('SSP - DoD SPRS &amp; FAR and Above'!M61&lt;&gt;"Fully Addressed",'SSP - DoD SPRS &amp; FAR and Above'!E61&amp;" - "&amp;IF('SSP - DoD SPRS &amp; FAR and Above'!I61&lt;&gt;"",'SSP - DoD SPRS &amp; FAR and Above'!I61,'SSP - DoD SPRS &amp; FAR and Above'!J61))</f>
        <v/>
      </c>
      <c r="B48" s="567" t="inlineStr">
        <is>
          <t>ISO/CISO</t>
        </is>
      </c>
      <c r="C48" s="568" t="inlineStr">
        <is>
          <t>Funded</t>
        </is>
      </c>
      <c r="D48" s="567" t="inlineStr">
        <is>
          <t>Export Entra Conditional Access &amp; PIM/PAM approvals; provide VPN/VDI/firewall configs enforcing managed access points and FIPS-validated crypto; wireless WPA-Enterprise configs; GPO/MDM for session lock/termination.</t>
        </is>
      </c>
      <c r="E48" s="584" t="inlineStr">
        <is>
          <t>Estimate - 60 days to remediate
Policies and SSP available; attach configs/logs/records as noted</t>
        </is>
      </c>
      <c r="F48" s="574" t="n"/>
      <c r="G48" s="40" t="n"/>
      <c r="H48" s="40" t="n"/>
      <c r="I48" s="40" t="n"/>
      <c r="J48" s="40" t="n"/>
    </row>
    <row r="49" ht="56.1" customHeight="1" s="566">
      <c r="A49" s="583">
        <f t="array" ref="A49">IF('SSP - DoD SPRS &amp; FAR and Above'!M62&lt;&gt;"Fully Addressed",'SSP - DoD SPRS &amp; FAR and Above'!E62&amp;" - "&amp;IF('SSP - DoD SPRS &amp; FAR and Above'!I62&lt;&gt;"",'SSP - DoD SPRS &amp; FAR and Above'!I62,'SSP - DoD SPRS &amp; FAR and Above'!J62))</f>
        <v/>
      </c>
      <c r="B49" s="567" t="inlineStr">
        <is>
          <t>ISO/CISO</t>
        </is>
      </c>
      <c r="C49" s="568" t="inlineStr">
        <is>
          <t>Funded</t>
        </is>
      </c>
      <c r="D49" s="567" t="inlineStr">
        <is>
          <t>Export Entra Conditional Access &amp; PIM/PAM approvals; provide VPN/VDI/firewall configs enforcing managed access points and FIPS-validated crypto; wireless WPA-Enterprise configs; GPO/MDM for session lock/termination.</t>
        </is>
      </c>
      <c r="E49" s="584" t="inlineStr">
        <is>
          <t>Estimate - 60 days to remediate
Policies and SSP available; attach configs/logs/records as noted</t>
        </is>
      </c>
      <c r="F49" s="574" t="n"/>
      <c r="G49" s="40" t="n"/>
      <c r="H49" s="40" t="n"/>
      <c r="I49" s="40" t="n"/>
      <c r="J49" s="40" t="n"/>
    </row>
    <row r="50" ht="56.1" customHeight="1" s="566">
      <c r="A50" s="583">
        <f t="array" ref="A50">IF('SSP - DoD SPRS &amp; FAR and Above'!M63&lt;&gt;"Fully Addressed",'SSP - DoD SPRS &amp; FAR and Above'!E63&amp;" - "&amp;IF('SSP - DoD SPRS &amp; FAR and Above'!I63&lt;&gt;"",'SSP - DoD SPRS &amp; FAR and Above'!I63,'SSP - DoD SPRS &amp; FAR and Above'!J63))</f>
        <v/>
      </c>
      <c r="B50" s="567" t="inlineStr">
        <is>
          <t>ISO/CISO</t>
        </is>
      </c>
      <c r="C50" s="568" t="inlineStr">
        <is>
          <t>Funded</t>
        </is>
      </c>
      <c r="D50" s="567" t="inlineStr">
        <is>
          <t>Export Entra Conditional Access &amp; PIM/PAM approvals; provide VPN/VDI/firewall configs enforcing managed access points and FIPS-validated crypto; wireless WPA-Enterprise configs; GPO/MDM for session lock/termination.</t>
        </is>
      </c>
      <c r="E50" s="584" t="inlineStr">
        <is>
          <t>Estimate - 60 days to remediate
Policies and SSP available; attach configs/logs/records as noted</t>
        </is>
      </c>
      <c r="F50" s="574" t="n"/>
      <c r="G50" s="40" t="n"/>
      <c r="H50" s="40" t="n"/>
      <c r="I50" s="40" t="n"/>
      <c r="J50" s="40" t="n"/>
    </row>
    <row r="51" ht="56.1" customHeight="1" s="566">
      <c r="A51" s="583">
        <f t="array" ref="A51">IF('SSP - DoD SPRS &amp; FAR and Above'!M64&lt;&gt;"Fully Addressed",'SSP - DoD SPRS &amp; FAR and Above'!E64&amp;" - "&amp;IF('SSP - DoD SPRS &amp; FAR and Above'!I64&lt;&gt;"",'SSP - DoD SPRS &amp; FAR and Above'!I64,'SSP - DoD SPRS &amp; FAR and Above'!J64))</f>
        <v/>
      </c>
      <c r="B51" s="567" t="inlineStr">
        <is>
          <t>ISO/CISO</t>
        </is>
      </c>
      <c r="C51" s="568" t="inlineStr">
        <is>
          <t>Funded</t>
        </is>
      </c>
      <c r="D51" s="567" t="inlineStr">
        <is>
          <t>Export Entra Conditional Access &amp; PIM/PAM approvals; provide VPN/VDI/firewall configs enforcing managed access points and FIPS-validated crypto; wireless WPA-Enterprise configs; GPO/MDM for session lock/termination.</t>
        </is>
      </c>
      <c r="E51" s="584" t="inlineStr">
        <is>
          <t>Estimate - 60 days to remediate
Policies and SSP available; attach configs/logs/records as noted</t>
        </is>
      </c>
      <c r="F51" s="574" t="n"/>
      <c r="G51" s="40" t="n"/>
      <c r="H51" s="40" t="n"/>
      <c r="I51" s="40" t="n"/>
      <c r="J51" s="40" t="n"/>
    </row>
    <row r="52" ht="56.1" customHeight="1" s="566">
      <c r="A52" s="583">
        <f t="array" ref="A52">IF('SSP - DoD SPRS &amp; FAR and Above'!M65&lt;&gt;"Fully Addressed",'SSP - DoD SPRS &amp; FAR and Above'!E65&amp;" - "&amp;IF('SSP - DoD SPRS &amp; FAR and Above'!I65&lt;&gt;"",'SSP - DoD SPRS &amp; FAR and Above'!I65,'SSP - DoD SPRS &amp; FAR and Above'!J65))</f>
        <v/>
      </c>
      <c r="B52" s="567" t="inlineStr">
        <is>
          <t>ISO/CISO</t>
        </is>
      </c>
      <c r="C52" s="568" t="inlineStr">
        <is>
          <t>Funded</t>
        </is>
      </c>
      <c r="D52" s="567" t="inlineStr">
        <is>
          <t>Export Entra Conditional Access &amp; PIM/PAM approvals; provide VPN/VDI/firewall configs enforcing managed access points and FIPS-validated crypto; wireless WPA-Enterprise configs; GPO/MDM for session lock/termination.</t>
        </is>
      </c>
      <c r="E52" s="584" t="inlineStr">
        <is>
          <t>Estimate - 60 days to remediate
Policies and SSP available; attach configs/logs/records as noted</t>
        </is>
      </c>
      <c r="F52" s="574" t="n"/>
      <c r="G52" s="40" t="n"/>
      <c r="H52" s="40" t="n"/>
      <c r="I52" s="40" t="n"/>
      <c r="J52" s="40" t="n"/>
    </row>
    <row r="53" ht="56.1" customHeight="1" s="566">
      <c r="A53" s="583">
        <f t="array" ref="A53">IF('SSP - DoD SPRS &amp; FAR and Above'!M66&lt;&gt;"Fully Addressed",'SSP - DoD SPRS &amp; FAR and Above'!E66&amp;" - "&amp;IF('SSP - DoD SPRS &amp; FAR and Above'!I66&lt;&gt;"",'SSP - DoD SPRS &amp; FAR and Above'!I66,'SSP - DoD SPRS &amp; FAR and Above'!J66))</f>
        <v/>
      </c>
      <c r="B53" s="567" t="inlineStr">
        <is>
          <t>ISO/CISO</t>
        </is>
      </c>
      <c r="C53" s="568" t="inlineStr">
        <is>
          <t>Funded</t>
        </is>
      </c>
      <c r="D53" s="567" t="inlineStr">
        <is>
          <t>Export Entra Conditional Access &amp; PIM/PAM approvals; provide VPN/VDI/firewall configs enforcing managed access points and FIPS-validated crypto; wireless WPA-Enterprise configs; GPO/MDM for session lock/termination.</t>
        </is>
      </c>
      <c r="E53" s="584" t="inlineStr">
        <is>
          <t>Estimate - 60 days to remediate
Policies and SSP available; attach configs/logs/records as noted</t>
        </is>
      </c>
      <c r="F53" s="574" t="n"/>
      <c r="G53" s="40" t="n"/>
      <c r="H53" s="40" t="n"/>
      <c r="I53" s="40" t="n"/>
      <c r="J53" s="40" t="n"/>
    </row>
    <row r="54" ht="56.1" customHeight="1" s="566">
      <c r="A54" s="583">
        <f t="array" ref="A54">IF('SSP - DoD SPRS &amp; FAR and Above'!M67&lt;&gt;"Fully Addressed",'SSP - DoD SPRS &amp; FAR and Above'!E67&amp;" - "&amp;IF('SSP - DoD SPRS &amp; FAR and Above'!I67&lt;&gt;"",'SSP - DoD SPRS &amp; FAR and Above'!I67,'SSP - DoD SPRS &amp; FAR and Above'!J67))</f>
        <v/>
      </c>
      <c r="B54" s="567" t="inlineStr">
        <is>
          <t>ISO/CISO</t>
        </is>
      </c>
      <c r="C54" s="568" t="inlineStr">
        <is>
          <t>Funded</t>
        </is>
      </c>
      <c r="D54" s="567" t="inlineStr">
        <is>
          <t>Export Entra Conditional Access &amp; PIM/PAM approvals; provide VPN/VDI/firewall configs enforcing managed access points and FIPS-validated crypto; wireless WPA-Enterprise configs; GPO/MDM for session lock/termination.</t>
        </is>
      </c>
      <c r="E54" s="584" t="inlineStr">
        <is>
          <t>Estimate - 60 days to remediate
Policies and SSP available; attach configs/logs/records as noted</t>
        </is>
      </c>
      <c r="F54" s="574" t="n"/>
      <c r="G54" s="40" t="n"/>
      <c r="H54" s="40" t="n"/>
      <c r="I54" s="40" t="n"/>
      <c r="J54" s="40" t="n"/>
    </row>
    <row r="55" ht="56.1" customHeight="1" s="566">
      <c r="A55" s="583">
        <f t="array" ref="A55">IF('SSP - DoD SPRS &amp; FAR and Above'!M68&lt;&gt;"Fully Addressed",'SSP - DoD SPRS &amp; FAR and Above'!E68&amp;" - "&amp;IF('SSP - DoD SPRS &amp; FAR and Above'!I68&lt;&gt;"",'SSP - DoD SPRS &amp; FAR and Above'!I68,'SSP - DoD SPRS &amp; FAR and Above'!J68))</f>
        <v/>
      </c>
      <c r="B55" s="567" t="inlineStr">
        <is>
          <t>ISO/CISO</t>
        </is>
      </c>
      <c r="C55" s="568" t="inlineStr">
        <is>
          <t>Funded</t>
        </is>
      </c>
      <c r="D55" s="567" t="inlineStr">
        <is>
          <t>Export Entra Conditional Access &amp; PIM/PAM approvals; provide VPN/VDI/firewall configs enforcing managed access points and FIPS-validated crypto; wireless WPA-Enterprise configs; GPO/MDM for session lock/termination.</t>
        </is>
      </c>
      <c r="E55" s="584" t="inlineStr">
        <is>
          <t>Estimate - 60 days to remediate
Policies and SSP available; attach configs/logs/records as noted</t>
        </is>
      </c>
      <c r="F55" s="574" t="n"/>
      <c r="G55" s="40" t="n"/>
      <c r="H55" s="40" t="n"/>
      <c r="I55" s="40" t="n"/>
      <c r="J55" s="40" t="n"/>
    </row>
    <row r="56" ht="56.1" customHeight="1" s="566">
      <c r="A56" s="583">
        <f t="array" ref="A56">IF('SSP - DoD SPRS &amp; FAR and Above'!M69&lt;&gt;"Fully Addressed",'SSP - DoD SPRS &amp; FAR and Above'!E69&amp;" - "&amp;IF('SSP - DoD SPRS &amp; FAR and Above'!I69&lt;&gt;"",'SSP - DoD SPRS &amp; FAR and Above'!I69,'SSP - DoD SPRS &amp; FAR and Above'!J69))</f>
        <v/>
      </c>
      <c r="B56" s="567" t="inlineStr">
        <is>
          <t>ISO/CISO</t>
        </is>
      </c>
      <c r="C56" s="568" t="inlineStr">
        <is>
          <t>Funded</t>
        </is>
      </c>
      <c r="D56" s="567" t="inlineStr">
        <is>
          <t>Export Entra Conditional Access &amp; PIM/PAM approvals; provide VPN/VDI/firewall configs enforcing managed access points and FIPS-validated crypto; wireless WPA-Enterprise configs; GPO/MDM for session lock/termination.</t>
        </is>
      </c>
      <c r="E56" s="584" t="inlineStr">
        <is>
          <t>Estimate - 60 days to remediate
Policies and SSP available; attach configs/logs/records as noted</t>
        </is>
      </c>
      <c r="F56" s="574" t="n"/>
      <c r="G56" s="40" t="n"/>
      <c r="H56" s="40" t="n"/>
      <c r="I56" s="40" t="n"/>
      <c r="J56" s="40" t="n"/>
    </row>
    <row r="57" ht="56.1" customHeight="1" s="566">
      <c r="A57" s="583">
        <f t="array" ref="A57">IF('SSP - DoD SPRS &amp; FAR and Above'!M70&lt;&gt;"Fully Addressed",'SSP - DoD SPRS &amp; FAR and Above'!E70&amp;" - "&amp;IF('SSP - DoD SPRS &amp; FAR and Above'!I70&lt;&gt;"",'SSP - DoD SPRS &amp; FAR and Above'!I70,'SSP - DoD SPRS &amp; FAR and Above'!J70))</f>
        <v/>
      </c>
      <c r="B57" s="567" t="inlineStr">
        <is>
          <t>ISO/CISO</t>
        </is>
      </c>
      <c r="C57" s="568" t="inlineStr">
        <is>
          <t>Funded</t>
        </is>
      </c>
      <c r="D57" s="567" t="inlineStr">
        <is>
          <t>Export Entra Conditional Access &amp; PIM/PAM approvals; provide VPN/VDI/firewall configs enforcing managed access points and FIPS-validated crypto; wireless WPA-Enterprise configs; GPO/MDM for session lock/termination.</t>
        </is>
      </c>
      <c r="E57" s="584" t="inlineStr">
        <is>
          <t>Estimate - 60 days to remediate
Policies and SSP available; attach configs/logs/records as noted</t>
        </is>
      </c>
      <c r="F57" s="574" t="n"/>
      <c r="G57" s="40" t="n"/>
      <c r="H57" s="40" t="n"/>
      <c r="I57" s="40" t="n"/>
      <c r="J57" s="40" t="n"/>
    </row>
    <row r="58" ht="56.1" customHeight="1" s="566">
      <c r="A58" s="583">
        <f t="array" ref="A58">IF('SSP - DoD SPRS &amp; FAR and Above'!M307&lt;&gt;"Fully Addressed",'SSP - DoD SPRS &amp; FAR and Above'!E307&amp;" - "&amp;IF('SSP - DoD SPRS &amp; FAR and Above'!I307&lt;&gt;"",'SSP - DoD SPRS &amp; FAR and Above'!I307,'SSP - DoD SPRS &amp; FAR and Above'!J307))</f>
        <v/>
      </c>
      <c r="B58" s="567" t="inlineStr">
        <is>
          <t>ISO/CISO</t>
        </is>
      </c>
      <c r="C58" s="568" t="inlineStr">
        <is>
          <t>Funded</t>
        </is>
      </c>
      <c r="D58" s="567" t="inlineStr">
        <is>
          <t>Export Entra Conditional Access &amp; PIM/PAM approvals; provide VPN/VDI/firewall configs enforcing managed access points and FIPS-validated crypto; wireless WPA-Enterprise configs; GPO/MDM for session lock/termination.</t>
        </is>
      </c>
      <c r="E58" s="584" t="inlineStr">
        <is>
          <t>Estimate - 60 days to remediate
Policies and SSP available; attach configs/logs/records as noted</t>
        </is>
      </c>
      <c r="F58" s="574" t="n"/>
      <c r="G58" s="40" t="n"/>
      <c r="H58" s="40" t="n"/>
      <c r="I58" s="40" t="n"/>
      <c r="J58" s="40" t="n"/>
    </row>
    <row r="59" ht="56.1" customHeight="1" s="566">
      <c r="A59" s="583">
        <f t="array" ref="A59">IF('SSP - DoD SPRS &amp; FAR and Above'!M308&lt;&gt;"Fully Addressed",'SSP - DoD SPRS &amp; FAR and Above'!E308&amp;" - "&amp;IF('SSP - DoD SPRS &amp; FAR and Above'!I308&lt;&gt;"",'SSP - DoD SPRS &amp; FAR and Above'!I308,'SSP - DoD SPRS &amp; FAR and Above'!J308))</f>
        <v/>
      </c>
      <c r="B59" s="567" t="inlineStr">
        <is>
          <t>ISO/CISO</t>
        </is>
      </c>
      <c r="C59" s="568" t="inlineStr">
        <is>
          <t>Funded</t>
        </is>
      </c>
      <c r="D59" s="567" t="inlineStr">
        <is>
          <t>Export Entra Conditional Access &amp; PIM/PAM approvals; provide VPN/VDI/firewall configs enforcing managed access points and FIPS-validated crypto; wireless WPA-Enterprise configs; GPO/MDM for session lock/termination.</t>
        </is>
      </c>
      <c r="E59" s="584" t="inlineStr">
        <is>
          <t>Estimate - 60 days to remediate
Policies and SSP available; attach configs/logs/records as noted</t>
        </is>
      </c>
      <c r="F59" s="574" t="n"/>
      <c r="G59" s="40" t="n"/>
      <c r="H59" s="40" t="n"/>
      <c r="I59" s="40" t="n"/>
      <c r="J59" s="40" t="n"/>
    </row>
    <row r="60" ht="56.1" customHeight="1" s="566">
      <c r="A60" s="583">
        <f t="array" ref="A60">IF('SSP - DoD SPRS &amp; FAR and Above'!M309&lt;&gt;"Fully Addressed",'SSP - DoD SPRS &amp; FAR and Above'!E309&amp;" - "&amp;IF('SSP - DoD SPRS &amp; FAR and Above'!I309&lt;&gt;"",'SSP - DoD SPRS &amp; FAR and Above'!I309,'SSP - DoD SPRS &amp; FAR and Above'!J309))</f>
        <v/>
      </c>
      <c r="B60" s="567" t="inlineStr">
        <is>
          <t>ISO/CISO</t>
        </is>
      </c>
      <c r="C60" s="568" t="inlineStr">
        <is>
          <t>Funded</t>
        </is>
      </c>
      <c r="D60" s="567" t="inlineStr">
        <is>
          <t>Export Entra Conditional Access &amp; PIM/PAM approvals; provide VPN/VDI/firewall configs enforcing managed access points and FIPS-validated crypto; wireless WPA-Enterprise configs; GPO/MDM for session lock/termination.</t>
        </is>
      </c>
      <c r="E60" s="584" t="inlineStr">
        <is>
          <t>Estimate - 60 days to remediate
Policies and SSP available; attach configs/logs/records as noted</t>
        </is>
      </c>
      <c r="F60" s="574" t="n"/>
      <c r="G60" s="40" t="n"/>
      <c r="H60" s="40" t="n"/>
      <c r="I60" s="40" t="n"/>
      <c r="J60" s="40" t="n"/>
    </row>
    <row r="61" ht="56.1" customHeight="1" s="566">
      <c r="A61" s="583">
        <f t="array" ref="A61">IF('SSP - DoD SPRS &amp; FAR and Above'!M310&lt;&gt;"Fully Addressed",'SSP - DoD SPRS &amp; FAR and Above'!E310&amp;" - "&amp;IF('SSP - DoD SPRS &amp; FAR and Above'!I310&lt;&gt;"",'SSP - DoD SPRS &amp; FAR and Above'!I310,'SSP - DoD SPRS &amp; FAR and Above'!J310))</f>
        <v/>
      </c>
      <c r="B61" s="567" t="inlineStr">
        <is>
          <t>ISO/CISO</t>
        </is>
      </c>
      <c r="C61" s="568" t="inlineStr">
        <is>
          <t>Funded</t>
        </is>
      </c>
      <c r="D61" s="567" t="inlineStr">
        <is>
          <t>Export Entra Conditional Access &amp; PIM/PAM approvals; provide VPN/VDI/firewall configs enforcing managed access points and FIPS-validated crypto; wireless WPA-Enterprise configs; GPO/MDM for session lock/termination.</t>
        </is>
      </c>
      <c r="E61" s="584" t="inlineStr">
        <is>
          <t>Estimate - 60 days to remediate
Policies and SSP available; attach configs/logs/records as noted</t>
        </is>
      </c>
      <c r="F61" s="574" t="n"/>
      <c r="G61" s="40" t="n"/>
      <c r="H61" s="40" t="n"/>
      <c r="I61" s="40" t="n"/>
      <c r="J61" s="40" t="n"/>
    </row>
    <row r="62" ht="56.1" customHeight="1" s="566">
      <c r="A62" s="583">
        <f t="array" ref="A62">IF('SSP - DoD SPRS &amp; FAR and Above'!M71&lt;&gt;"Fully Addressed",'SSP - DoD SPRS &amp; FAR and Above'!E71&amp;" - "&amp;IF('SSP - DoD SPRS &amp; FAR and Above'!I71&lt;&gt;"",'SSP - DoD SPRS &amp; FAR and Above'!I71,'SSP - DoD SPRS &amp; FAR and Above'!J71))</f>
        <v/>
      </c>
      <c r="B62" s="567" t="inlineStr">
        <is>
          <t>ISO/CISO</t>
        </is>
      </c>
      <c r="C62" s="568" t="inlineStr">
        <is>
          <t>Funded</t>
        </is>
      </c>
      <c r="D62" s="567" t="inlineStr">
        <is>
          <t>Export Entra Conditional Access &amp; PIM/PAM approvals; provide VPN/VDI/firewall configs enforcing managed access points and FIPS-validated crypto; wireless WPA-Enterprise configs; GPO/MDM for session lock/termination.</t>
        </is>
      </c>
      <c r="E62" s="584" t="inlineStr">
        <is>
          <t>Estimate - 60 days to remediate
Policies and SSP available; attach configs/logs/records as noted</t>
        </is>
      </c>
      <c r="F62" s="574" t="n"/>
      <c r="G62" s="40" t="n"/>
      <c r="H62" s="40" t="n"/>
      <c r="I62" s="40" t="n"/>
      <c r="J62" s="40" t="n"/>
    </row>
    <row r="63" ht="56.1" customHeight="1" s="566">
      <c r="A63" s="583">
        <f t="array" ref="A63">IF('SSP - DoD SPRS &amp; FAR and Above'!M72&lt;&gt;"Fully Addressed",'SSP - DoD SPRS &amp; FAR and Above'!E72&amp;" - "&amp;IF('SSP - DoD SPRS &amp; FAR and Above'!I72&lt;&gt;"",'SSP - DoD SPRS &amp; FAR and Above'!I72,'SSP - DoD SPRS &amp; FAR and Above'!J72))</f>
        <v/>
      </c>
      <c r="B63" s="567" t="inlineStr">
        <is>
          <t>ISO/CISO</t>
        </is>
      </c>
      <c r="C63" s="568" t="inlineStr">
        <is>
          <t>Funded</t>
        </is>
      </c>
      <c r="D63" s="567" t="inlineStr">
        <is>
          <t>Export Entra Conditional Access &amp; PIM/PAM approvals; provide VPN/VDI/firewall configs enforcing managed access points and FIPS-validated crypto; wireless WPA-Enterprise configs; GPO/MDM for session lock/termination.</t>
        </is>
      </c>
      <c r="E63" s="584" t="inlineStr">
        <is>
          <t>Estimate - 60 days to remediate
Policies and SSP available; attach configs/logs/records as noted</t>
        </is>
      </c>
      <c r="F63" s="574" t="n"/>
      <c r="G63" s="40" t="n"/>
      <c r="H63" s="40" t="n"/>
      <c r="I63" s="40" t="n"/>
      <c r="J63" s="40" t="n"/>
    </row>
    <row r="64" ht="56.1" customHeight="1" s="566">
      <c r="A64" s="583">
        <f t="array" ref="A64">IF('SSP - DoD SPRS &amp; FAR and Above'!M73&lt;&gt;"Fully Addressed",'SSP - DoD SPRS &amp; FAR and Above'!E73&amp;" - "&amp;IF('SSP - DoD SPRS &amp; FAR and Above'!I73&lt;&gt;"",'SSP - DoD SPRS &amp; FAR and Above'!I73,'SSP - DoD SPRS &amp; FAR and Above'!J73))</f>
        <v/>
      </c>
      <c r="B64" s="567" t="inlineStr">
        <is>
          <t>ISO/CISO</t>
        </is>
      </c>
      <c r="C64" s="568" t="inlineStr">
        <is>
          <t>Funded</t>
        </is>
      </c>
      <c r="D64" s="567" t="inlineStr">
        <is>
          <t>Export Entra Conditional Access &amp; PIM/PAM approvals; provide VPN/VDI/firewall configs enforcing managed access points and FIPS-validated crypto; wireless WPA-Enterprise configs; GPO/MDM for session lock/termination.</t>
        </is>
      </c>
      <c r="E64" s="584" t="inlineStr">
        <is>
          <t>Estimate - 60 days to remediate
Policies and SSP available; attach configs/logs/records as noted</t>
        </is>
      </c>
      <c r="F64" s="574" t="n"/>
      <c r="G64" s="40" t="n"/>
      <c r="H64" s="40" t="n"/>
      <c r="I64" s="40" t="n"/>
      <c r="J64" s="40" t="n"/>
    </row>
    <row r="65" ht="56.1" customHeight="1" s="566">
      <c r="A65" s="583">
        <f t="array" ref="A65">IF('SSP - DoD SPRS &amp; FAR and Above'!M74&lt;&gt;"Fully Addressed",'SSP - DoD SPRS &amp; FAR and Above'!E74&amp;" - "&amp;IF('SSP - DoD SPRS &amp; FAR and Above'!I74&lt;&gt;"",'SSP - DoD SPRS &amp; FAR and Above'!I74,'SSP - DoD SPRS &amp; FAR and Above'!J74))</f>
        <v/>
      </c>
      <c r="B65" s="567" t="inlineStr">
        <is>
          <t>ISO/CISO</t>
        </is>
      </c>
      <c r="C65" s="568" t="inlineStr">
        <is>
          <t>Funded</t>
        </is>
      </c>
      <c r="D65" s="567" t="inlineStr">
        <is>
          <t>Export Entra Conditional Access &amp; PIM/PAM approvals; provide VPN/VDI/firewall configs enforcing managed access points and FIPS-validated crypto; wireless WPA-Enterprise configs; GPO/MDM for session lock/termination.</t>
        </is>
      </c>
      <c r="E65" s="584" t="inlineStr">
        <is>
          <t>Estimate - 60 days to remediate
Policies and SSP available; attach configs/logs/records as noted</t>
        </is>
      </c>
      <c r="F65" s="574" t="n"/>
      <c r="G65" s="40" t="n"/>
      <c r="H65" s="40" t="n"/>
      <c r="I65" s="40" t="n"/>
      <c r="J65" s="40" t="n"/>
    </row>
    <row r="66" ht="56.1" customHeight="1" s="566">
      <c r="A66" s="583">
        <f t="array" ref="A66">IF('SSP - DoD SPRS &amp; FAR and Above'!M75&lt;&gt;"Fully Addressed",'SSP - DoD SPRS &amp; FAR and Above'!E75&amp;" - "&amp;IF('SSP - DoD SPRS &amp; FAR and Above'!I75&lt;&gt;"",'SSP - DoD SPRS &amp; FAR and Above'!I75,'SSP - DoD SPRS &amp; FAR and Above'!J75))</f>
        <v/>
      </c>
      <c r="B66" s="567" t="inlineStr">
        <is>
          <t>ISO/CISO</t>
        </is>
      </c>
      <c r="C66" s="568" t="inlineStr">
        <is>
          <t>Funded</t>
        </is>
      </c>
      <c r="D66" s="567" t="inlineStr">
        <is>
          <t>Export Entra Conditional Access &amp; PIM/PAM approvals; provide VPN/VDI/firewall configs enforcing managed access points and FIPS-validated crypto; wireless WPA-Enterprise configs; GPO/MDM for session lock/termination.</t>
        </is>
      </c>
      <c r="E66" s="584" t="inlineStr">
        <is>
          <t>Estimate - 60 days to remediate
Policies and SSP available; attach configs/logs/records as noted</t>
        </is>
      </c>
      <c r="F66" s="574" t="n"/>
      <c r="G66" s="40" t="n"/>
      <c r="H66" s="40" t="n"/>
      <c r="I66" s="40" t="n"/>
      <c r="J66" s="40" t="n"/>
    </row>
    <row r="67" ht="56.1" customHeight="1" s="566">
      <c r="A67" s="583">
        <f t="array" ref="A67">IF('SSP - DoD SPRS &amp; FAR and Above'!M76&lt;&gt;"Fully Addressed",'SSP - DoD SPRS &amp; FAR and Above'!E76&amp;" - "&amp;IF('SSP - DoD SPRS &amp; FAR and Above'!I76&lt;&gt;"",'SSP - DoD SPRS &amp; FAR and Above'!I76,'SSP - DoD SPRS &amp; FAR and Above'!J76))</f>
        <v/>
      </c>
      <c r="B67" s="567" t="inlineStr">
        <is>
          <t>ISO/CISO</t>
        </is>
      </c>
      <c r="C67" s="568" t="inlineStr">
        <is>
          <t>Funded</t>
        </is>
      </c>
      <c r="D67" s="567" t="inlineStr">
        <is>
          <t>Export Entra Conditional Access &amp; PIM/PAM approvals; provide VPN/VDI/firewall configs enforcing managed access points and FIPS-validated crypto; wireless WPA-Enterprise configs; GPO/MDM for session lock/termination.</t>
        </is>
      </c>
      <c r="E67" s="584" t="inlineStr">
        <is>
          <t>Estimate - 60 days to remediate
Policies and SSP available; attach configs/logs/records as noted</t>
        </is>
      </c>
      <c r="F67" s="574" t="n"/>
      <c r="G67" s="40" t="n"/>
      <c r="H67" s="40" t="n"/>
      <c r="I67" s="40" t="n"/>
      <c r="J67" s="40" t="n"/>
    </row>
    <row r="68" ht="56.1" customHeight="1" s="566">
      <c r="A68" s="583">
        <f t="array" ref="A68">IF('SSP - DoD SPRS &amp; FAR and Above'!M359&lt;&gt;"Fully Addressed",'SSP - DoD SPRS &amp; FAR and Above'!E359&amp;" - "&amp;IF('SSP - DoD SPRS &amp; FAR and Above'!I359&lt;&gt;"",'SSP - DoD SPRS &amp; FAR and Above'!I359,'SSP - DoD SPRS &amp; FAR and Above'!J359))</f>
        <v/>
      </c>
      <c r="B68" s="567" t="inlineStr">
        <is>
          <t>ISO/CISO</t>
        </is>
      </c>
      <c r="C68" s="568" t="inlineStr">
        <is>
          <t>Funded</t>
        </is>
      </c>
      <c r="D68" s="567" t="inlineStr">
        <is>
          <t>Export Entra Conditional Access &amp; PIM/PAM approvals; provide VPN/VDI/firewall configs enforcing managed access points and FIPS-validated crypto; wireless WPA-Enterprise configs; GPO/MDM for session lock/termination.</t>
        </is>
      </c>
      <c r="E68" s="584" t="inlineStr">
        <is>
          <t>Estimate - 60 days to remediate
Policies and SSP available; attach configs/logs/records as noted</t>
        </is>
      </c>
      <c r="F68" s="574" t="n"/>
      <c r="G68" s="40" t="n"/>
      <c r="H68" s="40" t="n"/>
      <c r="I68" s="40" t="n"/>
      <c r="J68" s="40" t="n"/>
    </row>
    <row r="69" ht="56.1" customHeight="1" s="566">
      <c r="A69" s="583">
        <f t="array" ref="A69">IF('SSP - DoD SPRS &amp; FAR and Above'!M360&lt;&gt;"Fully Addressed",'SSP - DoD SPRS &amp; FAR and Above'!E360&amp;" - "&amp;IF('SSP - DoD SPRS &amp; FAR and Above'!I360&lt;&gt;"",'SSP - DoD SPRS &amp; FAR and Above'!I360,'SSP - DoD SPRS &amp; FAR and Above'!J360))</f>
        <v/>
      </c>
      <c r="B69" s="567" t="inlineStr">
        <is>
          <t>ISO/CISO</t>
        </is>
      </c>
      <c r="C69" s="568" t="inlineStr">
        <is>
          <t>Funded</t>
        </is>
      </c>
      <c r="D69" s="567" t="inlineStr">
        <is>
          <t>Export Entra Conditional Access &amp; PIM/PAM approvals; provide VPN/VDI/firewall configs enforcing managed access points and FIPS-validated crypto; wireless WPA-Enterprise configs; GPO/MDM for session lock/termination.</t>
        </is>
      </c>
      <c r="E69" s="584" t="inlineStr">
        <is>
          <t>Estimate - 60 days to remediate
Policies and SSP available; attach configs/logs/records as noted</t>
        </is>
      </c>
      <c r="F69" s="574" t="n"/>
      <c r="G69" s="40" t="n"/>
      <c r="H69" s="40" t="n"/>
      <c r="I69" s="40" t="n"/>
      <c r="J69" s="40" t="n"/>
    </row>
    <row r="70" ht="56.1" customHeight="1" s="566">
      <c r="A70" s="583">
        <f t="array" ref="A70">IF('SSP - DoD SPRS &amp; FAR and Above'!M361&lt;&gt;"Fully Addressed",'SSP - DoD SPRS &amp; FAR and Above'!E361&amp;" - "&amp;IF('SSP - DoD SPRS &amp; FAR and Above'!I361&lt;&gt;"",'SSP - DoD SPRS &amp; FAR and Above'!I361,'SSP - DoD SPRS &amp; FAR and Above'!J361))</f>
        <v/>
      </c>
      <c r="B70" s="567" t="inlineStr">
        <is>
          <t>ISO/CISO</t>
        </is>
      </c>
      <c r="C70" s="568" t="inlineStr">
        <is>
          <t>Funded</t>
        </is>
      </c>
      <c r="D70" s="567" t="inlineStr">
        <is>
          <t>Export Entra Conditional Access &amp; PIM/PAM approvals; provide VPN/VDI/firewall configs enforcing managed access points and FIPS-validated crypto; wireless WPA-Enterprise configs; GPO/MDM for session lock/termination.</t>
        </is>
      </c>
      <c r="E70" s="584" t="inlineStr">
        <is>
          <t>Estimate - 60 days to remediate
Policies and SSP available; attach configs/logs/records as noted</t>
        </is>
      </c>
      <c r="F70" s="574" t="n"/>
      <c r="G70" s="40" t="n"/>
      <c r="H70" s="40" t="n"/>
      <c r="I70" s="40" t="n"/>
      <c r="J70" s="40" t="n"/>
    </row>
    <row r="71" ht="56.1" customHeight="1" s="566">
      <c r="A71" s="583">
        <f t="array" ref="A71">IF('SSP - DoD SPRS &amp; FAR and Above'!M362&lt;&gt;"Fully Addressed",'SSP - DoD SPRS &amp; FAR and Above'!E362&amp;" - "&amp;IF('SSP - DoD SPRS &amp; FAR and Above'!I362&lt;&gt;"",'SSP - DoD SPRS &amp; FAR and Above'!I362,'SSP - DoD SPRS &amp; FAR and Above'!J362))</f>
        <v/>
      </c>
      <c r="B71" s="567" t="inlineStr">
        <is>
          <t>ISO/CISO</t>
        </is>
      </c>
      <c r="C71" s="568" t="inlineStr">
        <is>
          <t>Funded</t>
        </is>
      </c>
      <c r="D71" s="567" t="inlineStr">
        <is>
          <t>Export Entra Conditional Access &amp; PIM/PAM approvals; provide VPN/VDI/firewall configs enforcing managed access points and FIPS-validated crypto; wireless WPA-Enterprise configs; GPO/MDM for session lock/termination.</t>
        </is>
      </c>
      <c r="E71" s="584" t="inlineStr">
        <is>
          <t>Estimate - 60 days to remediate
Policies and SSP available; attach configs/logs/records as noted</t>
        </is>
      </c>
      <c r="F71" s="574" t="n"/>
      <c r="G71" s="40" t="n"/>
      <c r="H71" s="40" t="n"/>
      <c r="I71" s="40" t="n"/>
      <c r="J71" s="40" t="n"/>
    </row>
    <row r="72" ht="56.1" customHeight="1" s="566">
      <c r="A72" s="583">
        <f t="array" ref="A72">IF('SSP - DoD SPRS &amp; FAR and Above'!M363&lt;&gt;"Fully Addressed",'SSP - DoD SPRS &amp; FAR and Above'!E363&amp;" - "&amp;IF('SSP - DoD SPRS &amp; FAR and Above'!I363&lt;&gt;"",'SSP - DoD SPRS &amp; FAR and Above'!I363,'SSP - DoD SPRS &amp; FAR and Above'!J363))</f>
        <v/>
      </c>
      <c r="B72" s="567" t="inlineStr">
        <is>
          <t>ISO/CISO</t>
        </is>
      </c>
      <c r="C72" s="568" t="inlineStr">
        <is>
          <t>Funded</t>
        </is>
      </c>
      <c r="D72" s="567" t="inlineStr">
        <is>
          <t>Export Entra Conditional Access &amp; PIM/PAM approvals; provide VPN/VDI/firewall configs enforcing managed access points and FIPS-validated crypto; wireless WPA-Enterprise configs; GPO/MDM for session lock/termination.</t>
        </is>
      </c>
      <c r="E72" s="584" t="inlineStr">
        <is>
          <t>Estimate - 60 days to remediate
Policies and SSP available; attach configs/logs/records as noted</t>
        </is>
      </c>
      <c r="F72" s="574" t="n"/>
      <c r="G72" s="40" t="n"/>
      <c r="H72" s="40" t="n"/>
      <c r="I72" s="40" t="n"/>
      <c r="J72" s="40" t="n"/>
    </row>
    <row r="73" ht="56.1" customHeight="1" s="566">
      <c r="A73" s="583">
        <f t="array" ref="A73">IF('SSP - DoD SPRS &amp; FAR and Above'!M364&lt;&gt;"Fully Addressed",'SSP - DoD SPRS &amp; FAR and Above'!E364&amp;" - "&amp;IF('SSP - DoD SPRS &amp; FAR and Above'!I364&lt;&gt;"",'SSP - DoD SPRS &amp; FAR and Above'!I364,'SSP - DoD SPRS &amp; FAR and Above'!J364))</f>
        <v/>
      </c>
      <c r="B73" s="567" t="inlineStr">
        <is>
          <t>ISO/CISO</t>
        </is>
      </c>
      <c r="C73" s="568" t="inlineStr">
        <is>
          <t>Funded</t>
        </is>
      </c>
      <c r="D73" s="567" t="inlineStr">
        <is>
          <t>Export Entra Conditional Access &amp; PIM/PAM approvals; provide VPN/VDI/firewall configs enforcing managed access points and FIPS-validated crypto; wireless WPA-Enterprise configs; GPO/MDM for session lock/termination.</t>
        </is>
      </c>
      <c r="E73" s="584" t="inlineStr">
        <is>
          <t>Estimate - 60 days to remediate
Policies and SSP available; attach configs/logs/records as noted</t>
        </is>
      </c>
      <c r="F73" s="574" t="n"/>
      <c r="G73" s="40" t="n"/>
      <c r="H73" s="40" t="n"/>
      <c r="I73" s="40" t="n"/>
      <c r="J73" s="40" t="n"/>
    </row>
    <row r="74" ht="56.1" customHeight="1" s="566">
      <c r="A74" s="583">
        <f t="array" ref="A74">IF('SSP - DoD SPRS &amp; FAR and Above'!M221&lt;&gt;"Fully Addressed",'SSP - DoD SPRS &amp; FAR and Above'!E221&amp;" - "&amp;IF('SSP - DoD SPRS &amp; FAR and Above'!I221&lt;&gt;"",'SSP - DoD SPRS &amp; FAR and Above'!I221,'SSP - DoD SPRS &amp; FAR and Above'!J221))</f>
        <v/>
      </c>
      <c r="B74" s="567" t="inlineStr">
        <is>
          <t>ISO/CISO</t>
        </is>
      </c>
      <c r="C74" s="568" t="inlineStr">
        <is>
          <t>Funded</t>
        </is>
      </c>
      <c r="D74" s="567" t="inlineStr">
        <is>
          <t>Export Entra Conditional Access &amp; PIM/PAM approvals; provide VPN/VDI/firewall configs enforcing managed access points and FIPS-validated crypto; wireless WPA-Enterprise configs; GPO/MDM for session lock/termination.</t>
        </is>
      </c>
      <c r="E74" s="584" t="inlineStr">
        <is>
          <t>Estimate - 60 days to remediate
Policies and SSP available; attach configs/logs/records as noted</t>
        </is>
      </c>
      <c r="F74" s="574" t="n"/>
      <c r="G74" s="40" t="n"/>
      <c r="H74" s="40" t="n"/>
      <c r="I74" s="40" t="n"/>
      <c r="J74" s="40" t="n"/>
    </row>
    <row r="75" ht="56.1" customHeight="1" s="566">
      <c r="A75" s="583">
        <f t="array" ref="A75">IF('SSP - DoD SPRS &amp; FAR and Above'!M222&lt;&gt;"Fully Addressed",'SSP - DoD SPRS &amp; FAR and Above'!E222&amp;" - "&amp;IF('SSP - DoD SPRS &amp; FAR and Above'!I222&lt;&gt;"",'SSP - DoD SPRS &amp; FAR and Above'!I222,'SSP - DoD SPRS &amp; FAR and Above'!J222))</f>
        <v/>
      </c>
      <c r="B75" s="567" t="inlineStr">
        <is>
          <t>ISO/CISO</t>
        </is>
      </c>
      <c r="C75" s="568" t="inlineStr">
        <is>
          <t>Funded</t>
        </is>
      </c>
      <c r="D75" s="567" t="inlineStr">
        <is>
          <t>Export Entra Conditional Access &amp; PIM/PAM approvals; provide VPN/VDI/firewall configs enforcing managed access points and FIPS-validated crypto; wireless WPA-Enterprise configs; GPO/MDM for session lock/termination.</t>
        </is>
      </c>
      <c r="E75" s="584" t="inlineStr">
        <is>
          <t>Estimate - 60 days to remediate
Policies and SSP available; attach configs/logs/records as noted</t>
        </is>
      </c>
      <c r="F75" s="574" t="n"/>
      <c r="G75" s="40" t="n"/>
      <c r="H75" s="40" t="n"/>
      <c r="I75" s="40" t="n"/>
      <c r="J75" s="40" t="n"/>
    </row>
    <row r="76" ht="56.1" customHeight="1" s="566">
      <c r="A76" s="583">
        <f t="array" ref="A76">IF('SSP - DoD SPRS &amp; FAR and Above'!M223&lt;&gt;"Fully Addressed",'SSP - DoD SPRS &amp; FAR and Above'!E223&amp;" - "&amp;IF('SSP - DoD SPRS &amp; FAR and Above'!I223&lt;&gt;"",'SSP - DoD SPRS &amp; FAR and Above'!I223,'SSP - DoD SPRS &amp; FAR and Above'!J223))</f>
        <v/>
      </c>
      <c r="B76" s="567" t="inlineStr">
        <is>
          <t>ISO/CISO</t>
        </is>
      </c>
      <c r="C76" s="568" t="inlineStr">
        <is>
          <t>Funded</t>
        </is>
      </c>
      <c r="D76" s="567" t="inlineStr">
        <is>
          <t>Export Entra Conditional Access &amp; PIM/PAM approvals; provide VPN/VDI/firewall configs enforcing managed access points and FIPS-validated crypto; wireless WPA-Enterprise configs; GPO/MDM for session lock/termination.</t>
        </is>
      </c>
      <c r="E76" s="584" t="inlineStr">
        <is>
          <t>Estimate - 60 days to remediate
Policies and SSP available; attach configs/logs/records as noted</t>
        </is>
      </c>
      <c r="F76" s="574" t="n"/>
      <c r="G76" s="40" t="n"/>
      <c r="H76" s="40" t="n"/>
      <c r="I76" s="40" t="n"/>
      <c r="J76" s="40" t="n"/>
    </row>
    <row r="77" ht="56.1" customHeight="1" s="566">
      <c r="A77" s="583">
        <f t="array" ref="A77">IF('SSP - DoD SPRS &amp; FAR and Above'!M224&lt;&gt;"Fully Addressed",'SSP - DoD SPRS &amp; FAR and Above'!E224&amp;" - "&amp;IF('SSP - DoD SPRS &amp; FAR and Above'!I224&lt;&gt;"",'SSP - DoD SPRS &amp; FAR and Above'!I224,'SSP - DoD SPRS &amp; FAR and Above'!J224))</f>
        <v/>
      </c>
      <c r="B77" s="567" t="inlineStr">
        <is>
          <t>ISO/CISO</t>
        </is>
      </c>
      <c r="C77" s="568" t="inlineStr">
        <is>
          <t>Funded</t>
        </is>
      </c>
      <c r="D77" s="567" t="inlineStr">
        <is>
          <t>Export Entra Conditional Access &amp; PIM/PAM approvals; provide VPN/VDI/firewall configs enforcing managed access points and FIPS-validated crypto; wireless WPA-Enterprise configs; GPO/MDM for session lock/termination.</t>
        </is>
      </c>
      <c r="E77" s="584" t="inlineStr">
        <is>
          <t>Estimate - 60 days to remediate
Policies and SSP available; attach configs/logs/records as noted</t>
        </is>
      </c>
      <c r="F77" s="574" t="n"/>
      <c r="G77" s="40" t="n"/>
      <c r="H77" s="40" t="n"/>
      <c r="I77" s="40" t="n"/>
      <c r="J77" s="40" t="n"/>
    </row>
    <row r="78" ht="56.1" customHeight="1" s="566">
      <c r="A78" s="583">
        <f t="array" ref="A78">IF('SSP - DoD SPRS &amp; FAR and Above'!M225&lt;&gt;"Fully Addressed",'SSP - DoD SPRS &amp; FAR and Above'!E225&amp;" - "&amp;IF('SSP - DoD SPRS &amp; FAR and Above'!I225&lt;&gt;"",'SSP - DoD SPRS &amp; FAR and Above'!I225,'SSP - DoD SPRS &amp; FAR and Above'!J225))</f>
        <v/>
      </c>
      <c r="B78" s="567" t="inlineStr">
        <is>
          <t>ISO/CISO</t>
        </is>
      </c>
      <c r="C78" s="568" t="inlineStr">
        <is>
          <t>Funded</t>
        </is>
      </c>
      <c r="D78" s="567" t="inlineStr">
        <is>
          <t>Export Entra Conditional Access &amp; PIM/PAM approvals; provide VPN/VDI/firewall configs enforcing managed access points and FIPS-validated crypto; wireless WPA-Enterprise configs; GPO/MDM for session lock/termination.</t>
        </is>
      </c>
      <c r="E78" s="584" t="inlineStr">
        <is>
          <t>Estimate - 60 days to remediate
Policies and SSP available; attach configs/logs/records as noted</t>
        </is>
      </c>
      <c r="F78" s="574" t="n"/>
      <c r="G78" s="40" t="n"/>
      <c r="H78" s="40" t="n"/>
      <c r="I78" s="40" t="n"/>
      <c r="J78" s="40" t="n"/>
    </row>
    <row r="79" ht="56.1" customHeight="1" s="566">
      <c r="A79" s="583">
        <f t="array" ref="A79">IF('SSP - DoD SPRS &amp; FAR and Above'!M226&lt;&gt;"Fully Addressed",'SSP - DoD SPRS &amp; FAR and Above'!E226&amp;" - "&amp;IF('SSP - DoD SPRS &amp; FAR and Above'!I226&lt;&gt;"",'SSP - DoD SPRS &amp; FAR and Above'!I226,'SSP - DoD SPRS &amp; FAR and Above'!J226))</f>
        <v/>
      </c>
      <c r="B79" s="567" t="inlineStr">
        <is>
          <t>ISO/CISO</t>
        </is>
      </c>
      <c r="C79" s="568" t="inlineStr">
        <is>
          <t>Funded</t>
        </is>
      </c>
      <c r="D79" s="567" t="inlineStr">
        <is>
          <t>Export Entra Conditional Access &amp; PIM/PAM approvals; provide VPN/VDI/firewall configs enforcing managed access points and FIPS-validated crypto; wireless WPA-Enterprise configs; GPO/MDM for session lock/termination.</t>
        </is>
      </c>
      <c r="E79" s="584" t="inlineStr">
        <is>
          <t>Estimate - 60 days to remediate
Policies and SSP available; attach configs/logs/records as noted</t>
        </is>
      </c>
      <c r="F79" s="574" t="n"/>
      <c r="G79" s="40" t="n"/>
      <c r="H79" s="40" t="n"/>
      <c r="I79" s="40" t="n"/>
      <c r="J79" s="40" t="n"/>
    </row>
    <row r="80" ht="56.1" customHeight="1" s="566">
      <c r="A80" s="583">
        <f t="array" ref="A80">IF('SSP - DoD SPRS &amp; FAR and Above'!M227&lt;&gt;"Fully Addressed",'SSP - DoD SPRS &amp; FAR and Above'!E227&amp;" - "&amp;IF('SSP - DoD SPRS &amp; FAR and Above'!I227&lt;&gt;"",'SSP - DoD SPRS &amp; FAR and Above'!I227,'SSP - DoD SPRS &amp; FAR and Above'!J227))</f>
        <v/>
      </c>
      <c r="B80" s="567" t="inlineStr">
        <is>
          <t>ISO/CISO</t>
        </is>
      </c>
      <c r="C80" s="568" t="inlineStr">
        <is>
          <t>Funded</t>
        </is>
      </c>
      <c r="D80" s="567" t="inlineStr">
        <is>
          <t>Export Entra Conditional Access &amp; PIM/PAM approvals; provide VPN/VDI/firewall configs enforcing managed access points and FIPS-validated crypto; wireless WPA-Enterprise configs; GPO/MDM for session lock/termination.</t>
        </is>
      </c>
      <c r="E80" s="584" t="inlineStr">
        <is>
          <t>Estimate - 60 days to remediate
Policies and SSP available; attach configs/logs/records as noted</t>
        </is>
      </c>
      <c r="F80" s="574" t="n"/>
      <c r="G80" s="40" t="n"/>
      <c r="H80" s="40" t="n"/>
      <c r="I80" s="40" t="n"/>
      <c r="J80" s="40" t="n"/>
    </row>
    <row r="81" ht="56.1" customHeight="1" s="566">
      <c r="A81" s="583">
        <f t="array" ref="A81">IF('SSP - DoD SPRS &amp; FAR and Above'!M228&lt;&gt;"Fully Addressed",'SSP - DoD SPRS &amp; FAR and Above'!E228&amp;" - "&amp;IF('SSP - DoD SPRS &amp; FAR and Above'!I228&lt;&gt;"",'SSP - DoD SPRS &amp; FAR and Above'!I228,'SSP - DoD SPRS &amp; FAR and Above'!J228))</f>
        <v/>
      </c>
      <c r="B81" s="567" t="inlineStr">
        <is>
          <t>ISO/CISO</t>
        </is>
      </c>
      <c r="C81" s="568" t="inlineStr">
        <is>
          <t>Funded</t>
        </is>
      </c>
      <c r="D81" s="567" t="inlineStr">
        <is>
          <t>Export Entra Conditional Access &amp; PIM/PAM approvals; provide VPN/VDI/firewall configs enforcing managed access points and FIPS-validated crypto; wireless WPA-Enterprise configs; GPO/MDM for session lock/termination.</t>
        </is>
      </c>
      <c r="E81" s="584" t="inlineStr">
        <is>
          <t>Estimate - 60 days to remediate
Policies and SSP available; attach configs/logs/records as noted</t>
        </is>
      </c>
      <c r="F81" s="574" t="n"/>
      <c r="G81" s="40" t="n"/>
      <c r="H81" s="40" t="n"/>
      <c r="I81" s="40" t="n"/>
      <c r="J81" s="40" t="n"/>
    </row>
    <row r="82" ht="56.1" customHeight="1" s="566">
      <c r="A82" s="583">
        <f t="array" ref="A82">IF('SSP - DoD SPRS &amp; FAR and Above'!M229&lt;&gt;"Fully Addressed",'SSP - DoD SPRS &amp; FAR and Above'!E229&amp;" - "&amp;IF('SSP - DoD SPRS &amp; FAR and Above'!I229&lt;&gt;"",'SSP - DoD SPRS &amp; FAR and Above'!I229,'SSP - DoD SPRS &amp; FAR and Above'!J229))</f>
        <v/>
      </c>
      <c r="B82" s="567" t="inlineStr">
        <is>
          <t>ISO/CISO</t>
        </is>
      </c>
      <c r="C82" s="568" t="inlineStr">
        <is>
          <t>Funded</t>
        </is>
      </c>
      <c r="D82" s="567" t="inlineStr">
        <is>
          <t>Export Entra Conditional Access &amp; PIM/PAM approvals; provide VPN/VDI/firewall configs enforcing managed access points and FIPS-validated crypto; wireless WPA-Enterprise configs; GPO/MDM for session lock/termination.</t>
        </is>
      </c>
      <c r="E82" s="584" t="inlineStr">
        <is>
          <t>Estimate - 60 days to remediate
Policies and SSP available; attach configs/logs/records as noted</t>
        </is>
      </c>
      <c r="F82" s="574" t="n"/>
      <c r="G82" s="40" t="n"/>
      <c r="H82" s="40" t="n"/>
      <c r="I82" s="40" t="n"/>
      <c r="J82" s="40" t="n"/>
    </row>
    <row r="83" ht="56.1" customHeight="1" s="566">
      <c r="A83" s="583">
        <f t="array" ref="A83">IF('SSP - DoD SPRS &amp; FAR and Above'!M113&lt;&gt;"Fully Addressed",'SSP - DoD SPRS &amp; FAR and Above'!E113&amp;" - "&amp;IF('SSP - DoD SPRS &amp; FAR and Above'!I113&lt;&gt;"",'SSP - DoD SPRS &amp; FAR and Above'!I113,'SSP - DoD SPRS &amp; FAR and Above'!J113))</f>
        <v/>
      </c>
      <c r="B83" s="567" t="inlineStr">
        <is>
          <t>ISO/CISO</t>
        </is>
      </c>
      <c r="C83" s="568" t="inlineStr">
        <is>
          <t>Funded</t>
        </is>
      </c>
      <c r="D83" s="567" t="inlineStr">
        <is>
          <t>Export Entra Conditional Access &amp; PIM/PAM approvals; provide VPN/VDI/firewall configs enforcing managed access points and FIPS-validated crypto; wireless WPA-Enterprise configs; GPO/MDM for session lock/termination.</t>
        </is>
      </c>
      <c r="E83" s="584" t="inlineStr">
        <is>
          <t>Estimate - 60 days to remediate
Policies and SSP available; attach configs/logs/records as noted</t>
        </is>
      </c>
      <c r="F83" s="574" t="n"/>
      <c r="G83" s="40" t="n"/>
      <c r="H83" s="40" t="n"/>
      <c r="I83" s="40" t="n"/>
      <c r="J83" s="40" t="n"/>
    </row>
    <row r="84" ht="56.1" customHeight="1" s="566">
      <c r="A84" s="583">
        <f t="array" ref="A84">IF('SSP - DoD SPRS &amp; FAR and Above'!M114&lt;&gt;"Fully Addressed",'SSP - DoD SPRS &amp; FAR and Above'!E114&amp;" - "&amp;IF('SSP - DoD SPRS &amp; FAR and Above'!I114&lt;&gt;"",'SSP - DoD SPRS &amp; FAR and Above'!I114,'SSP - DoD SPRS &amp; FAR and Above'!J114))</f>
        <v/>
      </c>
      <c r="B84" s="567" t="inlineStr">
        <is>
          <t>ISO/CISO</t>
        </is>
      </c>
      <c r="C84" s="568" t="inlineStr">
        <is>
          <t>Funded</t>
        </is>
      </c>
      <c r="D84" s="567" t="inlineStr">
        <is>
          <t>Export Entra Conditional Access &amp; PIM/PAM approvals; provide VPN/VDI/firewall configs enforcing managed access points and FIPS-validated crypto; wireless WPA-Enterprise configs; GPO/MDM for session lock/termination.</t>
        </is>
      </c>
      <c r="E84" s="584" t="inlineStr">
        <is>
          <t>Estimate - 60 days to remediate
Policies and SSP available; attach configs/logs/records as noted</t>
        </is>
      </c>
      <c r="F84" s="574" t="n"/>
      <c r="G84" s="40" t="n"/>
      <c r="H84" s="40" t="n"/>
      <c r="I84" s="40" t="n"/>
      <c r="J84" s="40" t="n"/>
    </row>
    <row r="85" ht="56.1" customHeight="1" s="566">
      <c r="A85" s="583">
        <f t="array" ref="A85">IF('SSP - DoD SPRS &amp; FAR and Above'!M115&lt;&gt;"Fully Addressed",'SSP - DoD SPRS &amp; FAR and Above'!E115&amp;" - "&amp;IF('SSP - DoD SPRS &amp; FAR and Above'!I115&lt;&gt;"",'SSP - DoD SPRS &amp; FAR and Above'!I115,'SSP - DoD SPRS &amp; FAR and Above'!J115))</f>
        <v/>
      </c>
      <c r="B85" s="567" t="inlineStr">
        <is>
          <t>ISO/CISO</t>
        </is>
      </c>
      <c r="C85" s="568" t="inlineStr">
        <is>
          <t>Funded</t>
        </is>
      </c>
      <c r="D85" s="567" t="inlineStr">
        <is>
          <t>Export Entra Conditional Access &amp; PIM/PAM approvals; provide VPN/VDI/firewall configs enforcing managed access points and FIPS-validated crypto; wireless WPA-Enterprise configs; GPO/MDM for session lock/termination.</t>
        </is>
      </c>
      <c r="E85" s="584" t="inlineStr">
        <is>
          <t>Estimate - 60 days to remediate
Policies and SSP available; attach configs/logs/records as noted</t>
        </is>
      </c>
      <c r="F85" s="574" t="n"/>
      <c r="G85" s="40" t="n"/>
      <c r="H85" s="40" t="n"/>
      <c r="I85" s="40" t="n"/>
      <c r="J85" s="40" t="n"/>
    </row>
    <row r="86" ht="56.1" customHeight="1" s="566">
      <c r="A86" s="583">
        <f t="array" ref="A86">IF('SSP - DoD SPRS &amp; FAR and Above'!M327&lt;&gt;"Fully Addressed",'SSP - DoD SPRS &amp; FAR and Above'!E327&amp;" - "&amp;IF('SSP - DoD SPRS &amp; FAR and Above'!I327&lt;&gt;"",'SSP - DoD SPRS &amp; FAR and Above'!I327,'SSP - DoD SPRS &amp; FAR and Above'!J327))</f>
        <v/>
      </c>
      <c r="B86" s="567" t="inlineStr">
        <is>
          <t>ISO/CISO</t>
        </is>
      </c>
      <c r="C86" s="568" t="inlineStr">
        <is>
          <t>Funded</t>
        </is>
      </c>
      <c r="D86" s="567" t="inlineStr">
        <is>
          <t>Export Entra Conditional Access &amp; PIM/PAM approvals; provide VPN/VDI/firewall configs enforcing managed access points and FIPS-validated crypto; wireless WPA-Enterprise configs; GPO/MDM for session lock/termination.</t>
        </is>
      </c>
      <c r="E86" s="584" t="inlineStr">
        <is>
          <t>Estimate - 60 days to remediate
Policies and SSP available; attach configs/logs/records as noted</t>
        </is>
      </c>
      <c r="F86" s="574" t="n"/>
      <c r="G86" s="40" t="n"/>
      <c r="H86" s="40" t="n"/>
      <c r="I86" s="40" t="n"/>
      <c r="J86" s="40" t="n"/>
    </row>
    <row r="87" ht="56.1" customHeight="1" s="566">
      <c r="A87" s="583">
        <f t="array" ref="A87">IF('SSP - DoD SPRS &amp; FAR and Above'!M328&lt;&gt;"Fully Addressed",'SSP - DoD SPRS &amp; FAR and Above'!E328&amp;" - "&amp;IF('SSP - DoD SPRS &amp; FAR and Above'!I328&lt;&gt;"",'SSP - DoD SPRS &amp; FAR and Above'!I328,'SSP - DoD SPRS &amp; FAR and Above'!J328))</f>
        <v/>
      </c>
      <c r="B87" s="567" t="inlineStr">
        <is>
          <t>ISO/CISO</t>
        </is>
      </c>
      <c r="C87" s="568" t="inlineStr">
        <is>
          <t>Funded</t>
        </is>
      </c>
      <c r="D87" s="567" t="inlineStr">
        <is>
          <t>Export Entra Conditional Access &amp; PIM/PAM approvals; provide VPN/VDI/firewall configs enforcing managed access points and FIPS-validated crypto; wireless WPA-Enterprise configs; GPO/MDM for session lock/termination.</t>
        </is>
      </c>
      <c r="E87" s="584" t="inlineStr">
        <is>
          <t>Estimate - 60 days to remediate
Policies and SSP available; attach configs/logs/records as noted</t>
        </is>
      </c>
      <c r="F87" s="574" t="n"/>
      <c r="G87" s="40" t="n"/>
      <c r="H87" s="40" t="n"/>
      <c r="I87" s="40" t="n"/>
      <c r="J87" s="40" t="n"/>
    </row>
    <row r="88" ht="56.1" customHeight="1" s="566">
      <c r="A88" s="583">
        <f t="array" ref="A88">IF('SSP - DoD SPRS &amp; FAR and Above'!M329&lt;&gt;"Fully Addressed",'SSP - DoD SPRS &amp; FAR and Above'!E329&amp;" - "&amp;IF('SSP - DoD SPRS &amp; FAR and Above'!I329&lt;&gt;"",'SSP - DoD SPRS &amp; FAR and Above'!I329,'SSP - DoD SPRS &amp; FAR and Above'!J329))</f>
        <v/>
      </c>
      <c r="B88" s="567" t="inlineStr">
        <is>
          <t>ISO/CISO</t>
        </is>
      </c>
      <c r="C88" s="568" t="inlineStr">
        <is>
          <t>Funded</t>
        </is>
      </c>
      <c r="D88" s="567" t="inlineStr">
        <is>
          <t>Export Entra Conditional Access &amp; PIM/PAM approvals; provide VPN/VDI/firewall configs enforcing managed access points and FIPS-validated crypto; wireless WPA-Enterprise configs; GPO/MDM for session lock/termination.</t>
        </is>
      </c>
      <c r="E88" s="584" t="inlineStr">
        <is>
          <t>Estimate - 60 days to remediate
Policies and SSP available; attach configs/logs/records as noted</t>
        </is>
      </c>
      <c r="F88" s="574" t="n"/>
      <c r="G88" s="40" t="n"/>
      <c r="H88" s="40" t="n"/>
      <c r="I88" s="40" t="n"/>
      <c r="J88" s="40" t="n"/>
    </row>
    <row r="89" ht="56.1" customHeight="1" s="566">
      <c r="A89" s="583">
        <f t="array" ref="A89">IF('SSP - DoD SPRS &amp; FAR and Above'!M330&lt;&gt;"Fully Addressed",'SSP - DoD SPRS &amp; FAR and Above'!E330&amp;" - "&amp;IF('SSP - DoD SPRS &amp; FAR and Above'!I330&lt;&gt;"",'SSP - DoD SPRS &amp; FAR and Above'!I330,'SSP - DoD SPRS &amp; FAR and Above'!J330))</f>
        <v/>
      </c>
      <c r="B89" s="567" t="inlineStr">
        <is>
          <t>ISO/CISO</t>
        </is>
      </c>
      <c r="C89" s="568" t="inlineStr">
        <is>
          <t>Funded</t>
        </is>
      </c>
      <c r="D89" s="567" t="inlineStr">
        <is>
          <t>Export Entra Conditional Access &amp; PIM/PAM approvals; provide VPN/VDI/firewall configs enforcing managed access points and FIPS-validated crypto; wireless WPA-Enterprise configs; GPO/MDM for session lock/termination.</t>
        </is>
      </c>
      <c r="E89" s="584" t="inlineStr">
        <is>
          <t>Estimate - 60 days to remediate
Policies and SSP available; attach configs/logs/records as noted</t>
        </is>
      </c>
      <c r="F89" s="574" t="n"/>
      <c r="G89" s="40" t="n"/>
      <c r="H89" s="40" t="n"/>
      <c r="I89" s="40" t="n"/>
      <c r="J89" s="40" t="n"/>
    </row>
    <row r="90" ht="56.1" customHeight="1" s="566">
      <c r="A90" s="583">
        <f t="array" ref="A90">IF('SSP - DoD SPRS &amp; FAR and Above'!M331&lt;&gt;"Fully Addressed",'SSP - DoD SPRS &amp; FAR and Above'!E331&amp;" - "&amp;IF('SSP - DoD SPRS &amp; FAR and Above'!I331&lt;&gt;"",'SSP - DoD SPRS &amp; FAR and Above'!I331,'SSP - DoD SPRS &amp; FAR and Above'!J331))</f>
        <v/>
      </c>
      <c r="B90" s="567" t="inlineStr">
        <is>
          <t>ISO/CISO</t>
        </is>
      </c>
      <c r="C90" s="568" t="inlineStr">
        <is>
          <t>Funded</t>
        </is>
      </c>
      <c r="D90" s="567" t="inlineStr">
        <is>
          <t>Export Entra Conditional Access &amp; PIM/PAM approvals; provide VPN/VDI/firewall configs enforcing managed access points and FIPS-validated crypto; wireless WPA-Enterprise configs; GPO/MDM for session lock/termination.</t>
        </is>
      </c>
      <c r="E90" s="584" t="inlineStr">
        <is>
          <t>Estimate - 60 days to remediate
Policies and SSP available; attach configs/logs/records as noted</t>
        </is>
      </c>
      <c r="F90" s="574" t="n"/>
      <c r="G90" s="40" t="n"/>
      <c r="H90" s="40" t="n"/>
      <c r="I90" s="40" t="n"/>
      <c r="J90" s="40" t="n"/>
    </row>
    <row r="91" ht="56.1" customHeight="1" s="566">
      <c r="A91" s="583">
        <f t="array" ref="A91">IF('SSP - DoD SPRS &amp; FAR and Above'!M97&lt;&gt;"Fully Addressed",'SSP - DoD SPRS &amp; FAR and Above'!E97&amp;" - "&amp;IF('SSP - DoD SPRS &amp; FAR and Above'!I97&lt;&gt;"",'SSP - DoD SPRS &amp; FAR and Above'!I97,'SSP - DoD SPRS &amp; FAR and Above'!J97))</f>
        <v/>
      </c>
      <c r="B91" s="567" t="inlineStr">
        <is>
          <t>ISO/CISO</t>
        </is>
      </c>
      <c r="C91" s="568" t="inlineStr">
        <is>
          <t>Funded</t>
        </is>
      </c>
      <c r="D91" s="567" t="inlineStr">
        <is>
          <t>Export Entra Conditional Access &amp; PIM/PAM approvals; provide VPN/VDI/firewall configs enforcing managed access points and FIPS-validated crypto; wireless WPA-Enterprise configs; GPO/MDM for session lock/termination.</t>
        </is>
      </c>
      <c r="E91" s="584" t="inlineStr">
        <is>
          <t>Estimate - 60 days to remediate
Policies and SSP available; attach configs/logs/records as noted</t>
        </is>
      </c>
      <c r="F91" s="574" t="n"/>
      <c r="G91" s="40" t="n"/>
      <c r="H91" s="40" t="n"/>
      <c r="I91" s="40" t="n"/>
      <c r="J91" s="40" t="n"/>
    </row>
    <row r="92" ht="56.1" customHeight="1" s="566">
      <c r="A92" s="583">
        <f t="array" ref="A92">IF('SSP - DoD SPRS &amp; FAR and Above'!M98&lt;&gt;"Fully Addressed",'SSP - DoD SPRS &amp; FAR and Above'!E98&amp;" - "&amp;IF('SSP - DoD SPRS &amp; FAR and Above'!I98&lt;&gt;"",'SSP - DoD SPRS &amp; FAR and Above'!I98,'SSP - DoD SPRS &amp; FAR and Above'!J98))</f>
        <v/>
      </c>
      <c r="B92" s="567" t="inlineStr">
        <is>
          <t>ISO/CISO</t>
        </is>
      </c>
      <c r="C92" s="568" t="inlineStr">
        <is>
          <t>Funded</t>
        </is>
      </c>
      <c r="D92" s="567" t="inlineStr">
        <is>
          <t>Export Entra Conditional Access &amp; PIM/PAM approvals; provide VPN/VDI/firewall configs enforcing managed access points and FIPS-validated crypto; wireless WPA-Enterprise configs; GPO/MDM for session lock/termination.</t>
        </is>
      </c>
      <c r="E92" s="584" t="inlineStr">
        <is>
          <t>Estimate - 60 days to remediate
Policies and SSP available; attach configs/logs/records as noted</t>
        </is>
      </c>
      <c r="F92" s="574" t="n"/>
      <c r="G92" s="40" t="n"/>
      <c r="H92" s="40" t="n"/>
      <c r="I92" s="40" t="n"/>
      <c r="J92" s="40" t="n"/>
    </row>
    <row r="93" ht="56.1" customHeight="1" s="566">
      <c r="A93" s="583">
        <f t="array" ref="A93">IF('SSP - DoD SPRS &amp; FAR and Above'!M99&lt;&gt;"Fully Addressed",'SSP - DoD SPRS &amp; FAR and Above'!E99&amp;" - "&amp;IF('SSP - DoD SPRS &amp; FAR and Above'!I99&lt;&gt;"",'SSP - DoD SPRS &amp; FAR and Above'!I99,'SSP - DoD SPRS &amp; FAR and Above'!J99))</f>
        <v/>
      </c>
      <c r="B93" s="567" t="inlineStr">
        <is>
          <t>ISO/CISO</t>
        </is>
      </c>
      <c r="C93" s="568" t="inlineStr">
        <is>
          <t>Funded</t>
        </is>
      </c>
      <c r="D93" s="567" t="inlineStr">
        <is>
          <t>Export Entra Conditional Access &amp; PIM/PAM approvals; provide VPN/VDI/firewall configs enforcing managed access points and FIPS-validated crypto; wireless WPA-Enterprise configs; GPO/MDM for session lock/termination.</t>
        </is>
      </c>
      <c r="E93" s="584" t="inlineStr">
        <is>
          <t>Estimate - 60 days to remediate
Policies and SSP available; attach configs/logs/records as noted</t>
        </is>
      </c>
      <c r="F93" s="574" t="n"/>
      <c r="G93" s="40" t="n"/>
      <c r="H93" s="40" t="n"/>
      <c r="I93" s="40" t="n"/>
      <c r="J93" s="40" t="n"/>
    </row>
    <row r="94" ht="56.1" customHeight="1" s="566">
      <c r="A94" s="583">
        <f t="array" ref="A94">IF('SSP - DoD SPRS &amp; FAR and Above'!M354&lt;&gt;"Fully Addressed",'SSP - DoD SPRS &amp; FAR and Above'!E354&amp;" - "&amp;IF('SSP - DoD SPRS &amp; FAR and Above'!I354&lt;&gt;"",'SSP - DoD SPRS &amp; FAR and Above'!I354,'SSP - DoD SPRS &amp; FAR and Above'!J354))</f>
        <v/>
      </c>
      <c r="B94" s="567" t="inlineStr">
        <is>
          <t>ISO/CISO</t>
        </is>
      </c>
      <c r="C94" s="568" t="inlineStr">
        <is>
          <t>Funded</t>
        </is>
      </c>
      <c r="D94" s="567" t="inlineStr">
        <is>
          <t>Export Entra Conditional Access &amp; PIM/PAM approvals; provide VPN/VDI/firewall configs enforcing managed access points and FIPS-validated crypto; wireless WPA-Enterprise configs; GPO/MDM for session lock/termination.</t>
        </is>
      </c>
      <c r="E94" s="584" t="inlineStr">
        <is>
          <t>Estimate - 60 days to remediate
Policies and SSP available; attach configs/logs/records as noted</t>
        </is>
      </c>
      <c r="F94" s="574" t="n"/>
      <c r="G94" s="40" t="n"/>
      <c r="H94" s="40" t="n"/>
      <c r="I94" s="40" t="n"/>
      <c r="J94" s="40" t="n"/>
    </row>
    <row r="95" ht="56.1" customHeight="1" s="566">
      <c r="A95" s="583">
        <f t="array" ref="A95">IF('SSP - DoD SPRS &amp; FAR and Above'!M355&lt;&gt;"Fully Addressed",'SSP - DoD SPRS &amp; FAR and Above'!E355&amp;" - "&amp;IF('SSP - DoD SPRS &amp; FAR and Above'!I355&lt;&gt;"",'SSP - DoD SPRS &amp; FAR and Above'!I355,'SSP - DoD SPRS &amp; FAR and Above'!J355))</f>
        <v/>
      </c>
      <c r="B95" s="567" t="inlineStr">
        <is>
          <t>ISO/CISO</t>
        </is>
      </c>
      <c r="C95" s="568" t="inlineStr">
        <is>
          <t>Funded</t>
        </is>
      </c>
      <c r="D95" s="567" t="inlineStr">
        <is>
          <t>Export Entra Conditional Access &amp; PIM/PAM approvals; provide VPN/VDI/firewall configs enforcing managed access points and FIPS-validated crypto; wireless WPA-Enterprise configs; GPO/MDM for session lock/termination.</t>
        </is>
      </c>
      <c r="E95" s="584" t="inlineStr">
        <is>
          <t>Estimate - 60 days to remediate
Policies and SSP available; attach configs/logs/records as noted</t>
        </is>
      </c>
      <c r="F95" s="574" t="n"/>
      <c r="G95" s="40" t="n"/>
      <c r="H95" s="40" t="n"/>
      <c r="I95" s="40" t="n"/>
      <c r="J95" s="40" t="n"/>
    </row>
    <row r="96" ht="56.1" customHeight="1" s="566">
      <c r="A96" s="583">
        <f t="array" ref="A96">IF('SSP - DoD SPRS &amp; FAR and Above'!M356&lt;&gt;"Fully Addressed",'SSP - DoD SPRS &amp; FAR and Above'!E356&amp;" - "&amp;IF('SSP - DoD SPRS &amp; FAR and Above'!I356&lt;&gt;"",'SSP - DoD SPRS &amp; FAR and Above'!I356,'SSP - DoD SPRS &amp; FAR and Above'!J356))</f>
        <v/>
      </c>
      <c r="B96" s="567" t="inlineStr">
        <is>
          <t>ISO/CISO</t>
        </is>
      </c>
      <c r="C96" s="568" t="inlineStr">
        <is>
          <t>Funded</t>
        </is>
      </c>
      <c r="D96" s="567" t="inlineStr">
        <is>
          <t>Export Entra Conditional Access &amp; PIM/PAM approvals; provide VPN/VDI/firewall configs enforcing managed access points and FIPS-validated crypto; wireless WPA-Enterprise configs; GPO/MDM for session lock/termination.</t>
        </is>
      </c>
      <c r="E96" s="584" t="inlineStr">
        <is>
          <t>Estimate - 60 days to remediate
Policies and SSP available; attach configs/logs/records as noted</t>
        </is>
      </c>
      <c r="F96" s="574" t="n"/>
      <c r="G96" s="40" t="n"/>
      <c r="H96" s="40" t="n"/>
      <c r="I96" s="40" t="n"/>
      <c r="J96" s="40" t="n"/>
    </row>
    <row r="97" ht="42" customHeight="1" s="566">
      <c r="A97" s="583">
        <f t="array" ref="A97">IF('SSP - DoD SPRS &amp; FAR and Above'!M15&lt;&gt;"Fully Addressed",'SSP - DoD SPRS &amp; FAR and Above'!E15&amp;" - "&amp;IF('SSP - DoD SPRS &amp; FAR and Above'!I15&lt;&gt;"",'SSP - DoD SPRS &amp; FAR and Above'!I15,'SSP - DoD SPRS &amp; FAR and Above'!J15))</f>
        <v/>
      </c>
      <c r="B97" s="567" t="inlineStr">
        <is>
          <t>ISO/CISO</t>
        </is>
      </c>
      <c r="C97" s="568" t="inlineStr">
        <is>
          <t>Funded</t>
        </is>
      </c>
      <c r="D97" s="572" t="inlineStr">
        <is>
          <t>Provide badge/door access logs, visitor sign-in/escort records, CCTV spot-checks, access device inventory, and remote/alternate site safeguards.</t>
        </is>
      </c>
      <c r="E97" s="584" t="inlineStr">
        <is>
          <t>Estimate - 60 days to remediate
Policies and SSP available; attach configs/logs/records as noted</t>
        </is>
      </c>
      <c r="F97" s="574" t="n"/>
      <c r="G97" s="40" t="n"/>
      <c r="H97" s="40" t="n"/>
      <c r="I97" s="40" t="n"/>
      <c r="J97" s="40" t="n"/>
    </row>
    <row r="98" ht="42" customHeight="1" s="566">
      <c r="A98" s="583">
        <f t="array" ref="A98">IF('SSP - DoD SPRS &amp; FAR and Above'!M16&lt;&gt;"Fully Addressed",'SSP - DoD SPRS &amp; FAR and Above'!E16&amp;" - "&amp;IF('SSP - DoD SPRS &amp; FAR and Above'!I16&lt;&gt;"",'SSP - DoD SPRS &amp; FAR and Above'!I16,'SSP - DoD SPRS &amp; FAR and Above'!J16))</f>
        <v/>
      </c>
      <c r="B98" s="567" t="inlineStr">
        <is>
          <t>ISO/CISO</t>
        </is>
      </c>
      <c r="C98" s="568" t="inlineStr">
        <is>
          <t>Funded</t>
        </is>
      </c>
      <c r="D98" s="572" t="inlineStr">
        <is>
          <t>Provide badge/door access logs, visitor sign-in/escort records, CCTV spot-checks, access device inventory, and remote/alternate site safeguards.</t>
        </is>
      </c>
      <c r="E98" s="584" t="inlineStr">
        <is>
          <t>Estimate - 60 days to remediate
Policies and SSP available; attach configs/logs/records as noted</t>
        </is>
      </c>
      <c r="F98" s="574" t="n"/>
      <c r="G98" s="40" t="n"/>
      <c r="H98" s="40" t="n"/>
      <c r="I98" s="40" t="n"/>
      <c r="J98" s="40" t="n"/>
    </row>
    <row r="99" ht="42" customHeight="1" s="566">
      <c r="A99" s="583">
        <f t="array" ref="A99">IF('SSP - DoD SPRS &amp; FAR and Above'!M17&lt;&gt;"Fully Addressed",'SSP - DoD SPRS &amp; FAR and Above'!E17&amp;" - "&amp;IF('SSP - DoD SPRS &amp; FAR and Above'!I17&lt;&gt;"",'SSP - DoD SPRS &amp; FAR and Above'!I17,'SSP - DoD SPRS &amp; FAR and Above'!J17))</f>
        <v/>
      </c>
      <c r="B99" s="567" t="inlineStr">
        <is>
          <t>ISO/CISO</t>
        </is>
      </c>
      <c r="C99" s="568" t="inlineStr">
        <is>
          <t>Funded</t>
        </is>
      </c>
      <c r="D99" s="572" t="inlineStr">
        <is>
          <t>Provide badge/door access logs, visitor sign-in/escort records, CCTV spot-checks, access device inventory, and remote/alternate site safeguards.</t>
        </is>
      </c>
      <c r="E99" s="584" t="inlineStr">
        <is>
          <t>Estimate - 60 days to remediate
Policies and SSP available; attach configs/logs/records as noted</t>
        </is>
      </c>
      <c r="F99" s="574" t="n"/>
      <c r="G99" s="40" t="n"/>
      <c r="H99" s="40" t="n"/>
      <c r="I99" s="40" t="n"/>
      <c r="J99" s="40" t="n"/>
    </row>
    <row r="100" ht="42" customHeight="1" s="566">
      <c r="A100" s="583">
        <f t="array" ref="A100">IF('SSP - DoD SPRS &amp; FAR and Above'!M18&lt;&gt;"Fully Addressed",'SSP - DoD SPRS &amp; FAR and Above'!E18&amp;" - "&amp;IF('SSP - DoD SPRS &amp; FAR and Above'!I18&lt;&gt;"",'SSP - DoD SPRS &amp; FAR and Above'!I18,'SSP - DoD SPRS &amp; FAR and Above'!J18))</f>
        <v/>
      </c>
      <c r="B100" s="567" t="inlineStr">
        <is>
          <t>ISO/CISO</t>
        </is>
      </c>
      <c r="C100" s="568" t="inlineStr">
        <is>
          <t>Funded</t>
        </is>
      </c>
      <c r="D100" s="572" t="inlineStr">
        <is>
          <t>Provide badge/door access logs, visitor sign-in/escort records, CCTV spot-checks, access device inventory, and remote/alternate site safeguards.</t>
        </is>
      </c>
      <c r="E100" s="584" t="inlineStr">
        <is>
          <t>Estimate - 60 days to remediate
Policies and SSP available; attach configs/logs/records as noted</t>
        </is>
      </c>
      <c r="F100" s="574" t="n"/>
      <c r="G100" s="40" t="n"/>
      <c r="H100" s="40" t="n"/>
      <c r="I100" s="40" t="n"/>
      <c r="J100" s="40" t="n"/>
    </row>
    <row r="101" ht="42" customHeight="1" s="566">
      <c r="A101" s="583">
        <f t="array" ref="A101">IF('SSP - DoD SPRS &amp; FAR and Above'!M19&lt;&gt;"Fully Addressed",'SSP - DoD SPRS &amp; FAR and Above'!E19&amp;" - "&amp;IF('SSP - DoD SPRS &amp; FAR and Above'!I19&lt;&gt;"",'SSP - DoD SPRS &amp; FAR and Above'!I19,'SSP - DoD SPRS &amp; FAR and Above'!J19))</f>
        <v/>
      </c>
      <c r="B101" s="567" t="inlineStr">
        <is>
          <t>ISO/CISO</t>
        </is>
      </c>
      <c r="C101" s="568" t="inlineStr">
        <is>
          <t>Funded</t>
        </is>
      </c>
      <c r="D101" s="572" t="inlineStr">
        <is>
          <t>Provide badge/door access logs, visitor sign-in/escort records, CCTV spot-checks, access device inventory, and remote/alternate site safeguards.</t>
        </is>
      </c>
      <c r="E101" s="584" t="inlineStr">
        <is>
          <t>Estimate - 60 days to remediate
Policies and SSP available; attach configs/logs/records as noted</t>
        </is>
      </c>
      <c r="F101" s="574" t="n"/>
      <c r="G101" s="40" t="n"/>
      <c r="H101" s="40" t="n"/>
      <c r="I101" s="40" t="n"/>
      <c r="J101" s="40" t="n"/>
    </row>
    <row r="102" ht="42" customHeight="1" s="566">
      <c r="A102" s="583">
        <f t="array" ref="A102">IF('SSP - DoD SPRS &amp; FAR and Above'!M100&lt;&gt;"Fully Addressed",'SSP - DoD SPRS &amp; FAR and Above'!E100&amp;" - "&amp;IF('SSP - DoD SPRS &amp; FAR and Above'!I100&lt;&gt;"",'SSP - DoD SPRS &amp; FAR and Above'!I100,'SSP - DoD SPRS &amp; FAR and Above'!J100))</f>
        <v/>
      </c>
      <c r="B102" s="567" t="inlineStr">
        <is>
          <t>ISO/CISO</t>
        </is>
      </c>
      <c r="C102" s="568" t="inlineStr">
        <is>
          <t>Funded</t>
        </is>
      </c>
      <c r="D102" s="572" t="inlineStr">
        <is>
          <t>Provide badge/door access logs, visitor sign-in/escort records, CCTV spot-checks, access device inventory, and remote/alternate site safeguards.</t>
        </is>
      </c>
      <c r="E102" s="584" t="inlineStr">
        <is>
          <t>Estimate - 60 days to remediate
Policies and SSP available; attach configs/logs/records as noted</t>
        </is>
      </c>
      <c r="F102" s="574" t="n"/>
      <c r="G102" s="40" t="n"/>
      <c r="H102" s="40" t="n"/>
      <c r="I102" s="40" t="n"/>
      <c r="J102" s="40" t="n"/>
    </row>
    <row r="103" ht="42" customHeight="1" s="566">
      <c r="A103" s="583">
        <f t="array" ref="A103">IF('SSP - DoD SPRS &amp; FAR and Above'!M101&lt;&gt;"Fully Addressed",'SSP - DoD SPRS &amp; FAR and Above'!E101&amp;" - "&amp;IF('SSP - DoD SPRS &amp; FAR and Above'!I101&lt;&gt;"",'SSP - DoD SPRS &amp; FAR and Above'!I101,'SSP - DoD SPRS &amp; FAR and Above'!J101))</f>
        <v/>
      </c>
      <c r="B103" s="567" t="inlineStr">
        <is>
          <t>ISO/CISO</t>
        </is>
      </c>
      <c r="C103" s="568" t="inlineStr">
        <is>
          <t>Funded</t>
        </is>
      </c>
      <c r="D103" s="572" t="inlineStr">
        <is>
          <t>Provide badge/door access logs, visitor sign-in/escort records, CCTV spot-checks, access device inventory, and remote/alternate site safeguards.</t>
        </is>
      </c>
      <c r="E103" s="584" t="inlineStr">
        <is>
          <t>Estimate - 60 days to remediate
Policies and SSP available; attach configs/logs/records as noted</t>
        </is>
      </c>
      <c r="F103" s="574" t="n"/>
      <c r="G103" s="40" t="n"/>
      <c r="H103" s="40" t="n"/>
      <c r="I103" s="40" t="n"/>
      <c r="J103" s="40" t="n"/>
    </row>
    <row r="104" ht="42" customHeight="1" s="566">
      <c r="A104" s="583">
        <f t="array" ref="A104">IF('SSP - DoD SPRS &amp; FAR and Above'!M102&lt;&gt;"Fully Addressed",'SSP - DoD SPRS &amp; FAR and Above'!E102&amp;" - "&amp;IF('SSP - DoD SPRS &amp; FAR and Above'!I102&lt;&gt;"",'SSP - DoD SPRS &amp; FAR and Above'!I102,'SSP - DoD SPRS &amp; FAR and Above'!J102))</f>
        <v/>
      </c>
      <c r="B104" s="567" t="inlineStr">
        <is>
          <t>ISO/CISO</t>
        </is>
      </c>
      <c r="C104" s="568" t="inlineStr">
        <is>
          <t>Funded</t>
        </is>
      </c>
      <c r="D104" s="572" t="inlineStr">
        <is>
          <t>Provide badge/door access logs, visitor sign-in/escort records, CCTV spot-checks, access device inventory, and remote/alternate site safeguards.</t>
        </is>
      </c>
      <c r="E104" s="584" t="inlineStr">
        <is>
          <t>Estimate - 60 days to remediate
Policies and SSP available; attach configs/logs/records as noted</t>
        </is>
      </c>
      <c r="F104" s="574" t="n"/>
      <c r="G104" s="40" t="n"/>
      <c r="H104" s="40" t="n"/>
      <c r="I104" s="40" t="n"/>
      <c r="J104" s="40" t="n"/>
    </row>
    <row r="105" ht="42" customHeight="1" s="566">
      <c r="A105" s="583">
        <f t="array" ref="A105">IF('SSP - DoD SPRS &amp; FAR and Above'!M103&lt;&gt;"Fully Addressed",'SSP - DoD SPRS &amp; FAR and Above'!E103&amp;" - "&amp;IF('SSP - DoD SPRS &amp; FAR and Above'!I103&lt;&gt;"",'SSP - DoD SPRS &amp; FAR and Above'!I103,'SSP - DoD SPRS &amp; FAR and Above'!J103))</f>
        <v/>
      </c>
      <c r="B105" s="567" t="inlineStr">
        <is>
          <t>ISO/CISO</t>
        </is>
      </c>
      <c r="C105" s="568" t="inlineStr">
        <is>
          <t>Funded</t>
        </is>
      </c>
      <c r="D105" s="572" t="inlineStr">
        <is>
          <t>Provide badge/door access logs, visitor sign-in/escort records, CCTV spot-checks, access device inventory, and remote/alternate site safeguards.</t>
        </is>
      </c>
      <c r="E105" s="584" t="inlineStr">
        <is>
          <t>Estimate - 60 days to remediate
Policies and SSP available; attach configs/logs/records as noted</t>
        </is>
      </c>
      <c r="F105" s="574" t="n"/>
      <c r="G105" s="40" t="n"/>
      <c r="H105" s="40" t="n"/>
      <c r="I105" s="40" t="n"/>
      <c r="J105" s="40" t="n"/>
    </row>
    <row r="106" ht="42" customHeight="1" s="566">
      <c r="A106" s="583">
        <f t="array" ref="A106">IF('SSP - DoD SPRS &amp; FAR and Above'!M104&lt;&gt;"Fully Addressed",'SSP - DoD SPRS &amp; FAR and Above'!E104&amp;" - "&amp;IF('SSP - DoD SPRS &amp; FAR and Above'!I104&lt;&gt;"",'SSP - DoD SPRS &amp; FAR and Above'!I104,'SSP - DoD SPRS &amp; FAR and Above'!J104))</f>
        <v/>
      </c>
      <c r="B106" s="567" t="inlineStr">
        <is>
          <t>ISO/CISO</t>
        </is>
      </c>
      <c r="C106" s="568" t="inlineStr">
        <is>
          <t>Funded</t>
        </is>
      </c>
      <c r="D106" s="572" t="inlineStr">
        <is>
          <t>Provide badge/door access logs, visitor sign-in/escort records, CCTV spot-checks, access device inventory, and remote/alternate site safeguards.</t>
        </is>
      </c>
      <c r="E106" s="584" t="inlineStr">
        <is>
          <t>Estimate - 60 days to remediate
Policies and SSP available; attach configs/logs/records as noted</t>
        </is>
      </c>
      <c r="F106" s="574" t="n"/>
      <c r="G106" s="40" t="n"/>
      <c r="H106" s="40" t="n"/>
      <c r="I106" s="40" t="n"/>
      <c r="J106" s="40" t="n"/>
    </row>
    <row r="107" ht="42" customHeight="1" s="566">
      <c r="A107" s="583">
        <f t="array" ref="A107">IF('SSP - DoD SPRS &amp; FAR and Above'!M20&lt;&gt;"Fully Addressed",'SSP - DoD SPRS &amp; FAR and Above'!E20&amp;" - "&amp;IF('SSP - DoD SPRS &amp; FAR and Above'!I20&lt;&gt;"",'SSP - DoD SPRS &amp; FAR and Above'!I20,'SSP - DoD SPRS &amp; FAR and Above'!J20))</f>
        <v/>
      </c>
      <c r="B107" s="567" t="inlineStr">
        <is>
          <t>ISO/CISO</t>
        </is>
      </c>
      <c r="C107" s="568" t="inlineStr">
        <is>
          <t>Funded</t>
        </is>
      </c>
      <c r="D107" s="572" t="inlineStr">
        <is>
          <t>Provide badge/door access logs, visitor sign-in/escort records, CCTV spot-checks, access device inventory, and remote/alternate site safeguards.</t>
        </is>
      </c>
      <c r="E107" s="584" t="inlineStr">
        <is>
          <t>Estimate - 60 days to remediate
Policies and SSP available; attach configs/logs/records as noted</t>
        </is>
      </c>
      <c r="F107" s="574" t="n"/>
      <c r="G107" s="40" t="n"/>
      <c r="H107" s="40" t="n"/>
      <c r="I107" s="40" t="n"/>
      <c r="J107" s="40" t="n"/>
    </row>
    <row r="108" ht="42" customHeight="1" s="566">
      <c r="A108" s="583">
        <f t="array" ref="A108">IF('SSP - DoD SPRS &amp; FAR and Above'!M21&lt;&gt;"Fully Addressed",'SSP - DoD SPRS &amp; FAR and Above'!E21&amp;" - "&amp;IF('SSP - DoD SPRS &amp; FAR and Above'!I21&lt;&gt;"",'SSP - DoD SPRS &amp; FAR and Above'!I21,'SSP - DoD SPRS &amp; FAR and Above'!J21))</f>
        <v/>
      </c>
      <c r="B108" s="567" t="inlineStr">
        <is>
          <t>ISO/CISO</t>
        </is>
      </c>
      <c r="C108" s="568" t="inlineStr">
        <is>
          <t>Funded</t>
        </is>
      </c>
      <c r="D108" s="572" t="inlineStr">
        <is>
          <t>Provide badge/door access logs, visitor sign-in/escort records, CCTV spot-checks, access device inventory, and remote/alternate site safeguards.</t>
        </is>
      </c>
      <c r="E108" s="584" t="inlineStr">
        <is>
          <t>Estimate - 60 days to remediate
Policies and SSP available; attach configs/logs/records as noted</t>
        </is>
      </c>
      <c r="F108" s="574" t="n"/>
      <c r="G108" s="40" t="n"/>
      <c r="H108" s="40" t="n"/>
      <c r="I108" s="40" t="n"/>
      <c r="J108" s="40" t="n"/>
    </row>
    <row r="109" ht="42" customHeight="1" s="566">
      <c r="A109" s="583">
        <f t="array" ref="A109">IF('SSP - DoD SPRS &amp; FAR and Above'!M22&lt;&gt;"Fully Addressed",'SSP - DoD SPRS &amp; FAR and Above'!E22&amp;" - "&amp;IF('SSP - DoD SPRS &amp; FAR and Above'!I22&lt;&gt;"",'SSP - DoD SPRS &amp; FAR and Above'!I22,'SSP - DoD SPRS &amp; FAR and Above'!J22))</f>
        <v/>
      </c>
      <c r="B109" s="567" t="inlineStr">
        <is>
          <t>ISO/CISO</t>
        </is>
      </c>
      <c r="C109" s="568" t="inlineStr">
        <is>
          <t>Funded</t>
        </is>
      </c>
      <c r="D109" s="572" t="inlineStr">
        <is>
          <t>Provide badge/door access logs, visitor sign-in/escort records, CCTV spot-checks, access device inventory, and remote/alternate site safeguards.</t>
        </is>
      </c>
      <c r="E109" s="584" t="inlineStr">
        <is>
          <t>Estimate - 60 days to remediate
Policies and SSP available; attach configs/logs/records as noted</t>
        </is>
      </c>
      <c r="F109" s="574" t="n"/>
      <c r="G109" s="40" t="n"/>
      <c r="H109" s="40" t="n"/>
      <c r="I109" s="40" t="n"/>
      <c r="J109" s="40" t="n"/>
    </row>
    <row r="110" ht="42" customHeight="1" s="566">
      <c r="A110" s="583">
        <f t="array" ref="A110">IF('SSP - DoD SPRS &amp; FAR and Above'!M23&lt;&gt;"Fully Addressed",'SSP - DoD SPRS &amp; FAR and Above'!E23&amp;" - "&amp;IF('SSP - DoD SPRS &amp; FAR and Above'!I23&lt;&gt;"",'SSP - DoD SPRS &amp; FAR and Above'!I23,'SSP - DoD SPRS &amp; FAR and Above'!J23))</f>
        <v/>
      </c>
      <c r="B110" s="567" t="inlineStr">
        <is>
          <t>ISO/CISO</t>
        </is>
      </c>
      <c r="C110" s="568" t="inlineStr">
        <is>
          <t>Funded</t>
        </is>
      </c>
      <c r="D110" s="572" t="inlineStr">
        <is>
          <t>Provide badge/door access logs, visitor sign-in/escort records, CCTV spot-checks, access device inventory, and remote/alternate site safeguards.</t>
        </is>
      </c>
      <c r="E110" s="584" t="inlineStr">
        <is>
          <t>Estimate - 60 days to remediate
Policies and SSP available; attach configs/logs/records as noted</t>
        </is>
      </c>
      <c r="F110" s="574" t="n"/>
      <c r="G110" s="40" t="n"/>
      <c r="H110" s="40" t="n"/>
      <c r="I110" s="40" t="n"/>
      <c r="J110" s="40" t="n"/>
    </row>
    <row r="111" ht="42" customHeight="1" s="566">
      <c r="A111" s="583">
        <f t="array" ref="A111">IF('SSP - DoD SPRS &amp; FAR and Above'!M24&lt;&gt;"Fully Addressed",'SSP - DoD SPRS &amp; FAR and Above'!E24&amp;" - "&amp;IF('SSP - DoD SPRS &amp; FAR and Above'!I24&lt;&gt;"",'SSP - DoD SPRS &amp; FAR and Above'!I24,'SSP - DoD SPRS &amp; FAR and Above'!J24))</f>
        <v/>
      </c>
      <c r="B111" s="567" t="inlineStr">
        <is>
          <t>ISO/CISO</t>
        </is>
      </c>
      <c r="C111" s="568" t="inlineStr">
        <is>
          <t>Funded</t>
        </is>
      </c>
      <c r="D111" s="572" t="inlineStr">
        <is>
          <t>Provide badge/door access logs, visitor sign-in/escort records, CCTV spot-checks, access device inventory, and remote/alternate site safeguards.</t>
        </is>
      </c>
      <c r="E111" s="584" t="inlineStr">
        <is>
          <t>Estimate - 60 days to remediate
Policies and SSP available; attach configs/logs/records as noted</t>
        </is>
      </c>
      <c r="F111" s="574" t="n"/>
      <c r="G111" s="40" t="n"/>
      <c r="H111" s="40" t="n"/>
      <c r="I111" s="40" t="n"/>
      <c r="J111" s="40" t="n"/>
    </row>
    <row r="112" ht="42" customHeight="1" s="566">
      <c r="A112" s="583">
        <f t="array" ref="A112">IF('SSP - DoD SPRS &amp; FAR and Above'!M25&lt;&gt;"Fully Addressed",'SSP - DoD SPRS &amp; FAR and Above'!E25&amp;" - "&amp;IF('SSP - DoD SPRS &amp; FAR and Above'!I25&lt;&gt;"",'SSP - DoD SPRS &amp; FAR and Above'!I25,'SSP - DoD SPRS &amp; FAR and Above'!J25))</f>
        <v/>
      </c>
      <c r="B112" s="567" t="inlineStr">
        <is>
          <t>ISO/CISO</t>
        </is>
      </c>
      <c r="C112" s="568" t="inlineStr">
        <is>
          <t>Funded</t>
        </is>
      </c>
      <c r="D112" s="572" t="inlineStr">
        <is>
          <t>Provide badge/door access logs, visitor sign-in/escort records, CCTV spot-checks, access device inventory, and remote/alternate site safeguards.</t>
        </is>
      </c>
      <c r="E112" s="584" t="inlineStr">
        <is>
          <t>Estimate - 60 days to remediate
Policies and SSP available; attach configs/logs/records as noted</t>
        </is>
      </c>
      <c r="F112" s="574" t="n"/>
      <c r="G112" s="40" t="n"/>
      <c r="H112" s="40" t="n"/>
      <c r="I112" s="40" t="n"/>
      <c r="J112" s="40" t="n"/>
    </row>
    <row r="113" ht="42" customHeight="1" s="566">
      <c r="A113" s="583">
        <f t="array" ref="A113">IF('SSP - DoD SPRS &amp; FAR and Above'!M26&lt;&gt;"Fully Addressed",'SSP - DoD SPRS &amp; FAR and Above'!E26&amp;" - "&amp;IF('SSP - DoD SPRS &amp; FAR and Above'!I26&lt;&gt;"",'SSP - DoD SPRS &amp; FAR and Above'!I26,'SSP - DoD SPRS &amp; FAR and Above'!J26))</f>
        <v/>
      </c>
      <c r="B113" s="567" t="inlineStr">
        <is>
          <t>ISO/CISO</t>
        </is>
      </c>
      <c r="C113" s="568" t="inlineStr">
        <is>
          <t>Funded</t>
        </is>
      </c>
      <c r="D113" s="572" t="inlineStr">
        <is>
          <t>Provide badge/door access logs, visitor sign-in/escort records, CCTV spot-checks, access device inventory, and remote/alternate site safeguards.</t>
        </is>
      </c>
      <c r="E113" s="584" t="inlineStr">
        <is>
          <t>Estimate - 60 days to remediate
Policies and SSP available; attach configs/logs/records as noted</t>
        </is>
      </c>
      <c r="F113" s="574" t="n"/>
      <c r="G113" s="40" t="n"/>
      <c r="H113" s="40" t="n"/>
      <c r="I113" s="40" t="n"/>
      <c r="J113" s="40" t="n"/>
    </row>
    <row r="114" ht="42" customHeight="1" s="566">
      <c r="A114" s="583">
        <f t="array" ref="A114">IF('SSP - DoD SPRS &amp; FAR and Above'!M27&lt;&gt;"Fully Addressed",'SSP - DoD SPRS &amp; FAR and Above'!E27&amp;" - "&amp;IF('SSP - DoD SPRS &amp; FAR and Above'!I27&lt;&gt;"",'SSP - DoD SPRS &amp; FAR and Above'!I27,'SSP - DoD SPRS &amp; FAR and Above'!J27))</f>
        <v/>
      </c>
      <c r="B114" s="567" t="inlineStr">
        <is>
          <t>ISO/CISO</t>
        </is>
      </c>
      <c r="C114" s="568" t="inlineStr">
        <is>
          <t>Funded</t>
        </is>
      </c>
      <c r="D114" s="572" t="inlineStr">
        <is>
          <t>Provide badge/door access logs, visitor sign-in/escort records, CCTV spot-checks, access device inventory, and remote/alternate site safeguards.</t>
        </is>
      </c>
      <c r="E114" s="584" t="inlineStr">
        <is>
          <t>Estimate - 60 days to remediate
Policies and SSP available; attach configs/logs/records as noted</t>
        </is>
      </c>
      <c r="F114" s="574" t="n"/>
      <c r="G114" s="40" t="n"/>
      <c r="H114" s="40" t="n"/>
      <c r="I114" s="40" t="n"/>
      <c r="J114" s="40" t="n"/>
    </row>
    <row r="115" ht="42" customHeight="1" s="566">
      <c r="A115" s="583">
        <f t="array" ref="A115">IF('SSP - DoD SPRS &amp; FAR and Above'!M407&lt;&gt;"Fully Addressed",'SSP - DoD SPRS &amp; FAR and Above'!E407&amp;" - "&amp;IF('SSP - DoD SPRS &amp; FAR and Above'!I407&lt;&gt;"",'SSP - DoD SPRS &amp; FAR and Above'!I407,'SSP - DoD SPRS &amp; FAR and Above'!J407))</f>
        <v/>
      </c>
      <c r="B115" s="567" t="inlineStr">
        <is>
          <t>ISO/CISO</t>
        </is>
      </c>
      <c r="C115" s="568" t="inlineStr">
        <is>
          <t>Funded</t>
        </is>
      </c>
      <c r="D115" s="572" t="inlineStr">
        <is>
          <t>Provide badge/door access logs, visitor sign-in/escort records, CCTV spot-checks, access device inventory, and remote/alternate site safeguards.</t>
        </is>
      </c>
      <c r="E115" s="584" t="inlineStr">
        <is>
          <t>Estimate - 60 days to remediate
Policies and SSP available; attach configs/logs/records as noted</t>
        </is>
      </c>
      <c r="F115" s="574" t="n"/>
      <c r="G115" s="40" t="n"/>
      <c r="H115" s="40" t="n"/>
      <c r="I115" s="40" t="n"/>
      <c r="J115" s="40" t="n"/>
    </row>
    <row r="116" ht="42" customHeight="1" s="566">
      <c r="A116" s="583">
        <f t="array" ref="A116">IF('SSP - DoD SPRS &amp; FAR and Above'!M408&lt;&gt;"Fully Addressed",'SSP - DoD SPRS &amp; FAR and Above'!E408&amp;" - "&amp;IF('SSP - DoD SPRS &amp; FAR and Above'!I408&lt;&gt;"",'SSP - DoD SPRS &amp; FAR and Above'!I408,'SSP - DoD SPRS &amp; FAR and Above'!J408))</f>
        <v/>
      </c>
      <c r="B116" s="567" t="inlineStr">
        <is>
          <t>ISO/CISO</t>
        </is>
      </c>
      <c r="C116" s="568" t="inlineStr">
        <is>
          <t>Funded</t>
        </is>
      </c>
      <c r="D116" s="572" t="inlineStr">
        <is>
          <t>Provide badge/door access logs, visitor sign-in/escort records, CCTV spot-checks, access device inventory, and remote/alternate site safeguards.</t>
        </is>
      </c>
      <c r="E116" s="584" t="inlineStr">
        <is>
          <t>Estimate - 60 days to remediate
Policies and SSP available; attach configs/logs/records as noted</t>
        </is>
      </c>
      <c r="F116" s="574" t="n"/>
      <c r="G116" s="40" t="n"/>
      <c r="H116" s="40" t="n"/>
      <c r="I116" s="40" t="n"/>
      <c r="J116" s="40" t="n"/>
    </row>
    <row r="117" ht="42" customHeight="1" s="566">
      <c r="A117" s="583">
        <f t="array" ref="A117">IF('SSP - DoD SPRS &amp; FAR and Above'!M409&lt;&gt;"Fully Addressed",'SSP - DoD SPRS &amp; FAR and Above'!E409&amp;" - "&amp;IF('SSP - DoD SPRS &amp; FAR and Above'!I409&lt;&gt;"",'SSP - DoD SPRS &amp; FAR and Above'!I409,'SSP - DoD SPRS &amp; FAR and Above'!J409))</f>
        <v/>
      </c>
      <c r="B117" s="567" t="inlineStr">
        <is>
          <t>ISO/CISO</t>
        </is>
      </c>
      <c r="C117" s="568" t="inlineStr">
        <is>
          <t>Funded</t>
        </is>
      </c>
      <c r="D117" s="572" t="inlineStr">
        <is>
          <t>Provide badge/door access logs, visitor sign-in/escort records, CCTV spot-checks, access device inventory, and remote/alternate site safeguards.</t>
        </is>
      </c>
      <c r="E117" s="584" t="inlineStr">
        <is>
          <t>Estimate - 60 days to remediate
Policies and SSP available; attach configs/logs/records as noted</t>
        </is>
      </c>
      <c r="F117" s="574" t="n"/>
      <c r="G117" s="40" t="n"/>
      <c r="H117" s="40" t="n"/>
      <c r="I117" s="40" t="n"/>
      <c r="J117" s="40" t="n"/>
    </row>
    <row r="118" ht="42" customHeight="1" s="566">
      <c r="A118" s="583">
        <f t="array" ref="A118">IF('SSP - DoD SPRS &amp; FAR and Above'!M139&lt;&gt;"Fully Addressed",'SSP - DoD SPRS &amp; FAR and Above'!E139&amp;" - "&amp;IF('SSP - DoD SPRS &amp; FAR and Above'!I139&lt;&gt;"",'SSP - DoD SPRS &amp; FAR and Above'!I139,'SSP - DoD SPRS &amp; FAR and Above'!J139))</f>
        <v/>
      </c>
      <c r="B118" s="567" t="inlineStr">
        <is>
          <t>ISO/CISO</t>
        </is>
      </c>
      <c r="C118" s="568" t="inlineStr">
        <is>
          <t>Funded</t>
        </is>
      </c>
      <c r="D118" s="567" t="inlineStr">
        <is>
          <t>Upload current risk assessment report, vuln scan outputs (systems &amp; key apps) and remediation tickets mapped to findings and risk levels.</t>
        </is>
      </c>
      <c r="E118" s="584" t="inlineStr">
        <is>
          <t>Estimate - 60 days to remediate
Policies and SSP available; attach configs/logs/records as noted</t>
        </is>
      </c>
      <c r="F118" t="n">
        <v>60</v>
      </c>
      <c r="G118" s="40" t="n"/>
      <c r="H118" s="40" t="n"/>
      <c r="I118" s="40" t="n"/>
      <c r="J118" s="40" t="n"/>
    </row>
    <row r="119" ht="27.95" customHeight="1" s="566">
      <c r="A119" s="583">
        <f t="array" ref="A119">IF('SSP - DoD SPRS &amp; FAR and Above'!M140&lt;&gt;"Fully Addressed",'SSP - DoD SPRS &amp; FAR and Above'!E140&amp;" - "&amp;IF('SSP - DoD SPRS &amp; FAR and Above'!I140&lt;&gt;"",'SSP - DoD SPRS &amp; FAR and Above'!I140,'SSP - DoD SPRS &amp; FAR and Above'!J140))</f>
        <v/>
      </c>
      <c r="B119" s="567" t="inlineStr">
        <is>
          <t>ISO/CISO</t>
        </is>
      </c>
      <c r="C119" s="568" t="inlineStr">
        <is>
          <t>Funded</t>
        </is>
      </c>
      <c r="D119" s="567" t="inlineStr">
        <is>
          <t>Upload current risk assessment report, vuln scan outputs (systems &amp; key apps) and remediation tickets mapped to findings and risk levels.</t>
        </is>
      </c>
      <c r="E119" s="584" t="inlineStr">
        <is>
          <t>Estimate - 60 days to remediate
Policies and SSP available; attach configs/logs/records as noted</t>
        </is>
      </c>
      <c r="F119" s="574" t="n"/>
      <c r="G119" s="40" t="n"/>
      <c r="H119" s="40" t="n"/>
      <c r="I119" s="40" t="n"/>
      <c r="J119" s="40" t="n"/>
    </row>
    <row r="120" ht="27.95" customHeight="1" s="566">
      <c r="A120" s="583">
        <f t="array" ref="A120">IF('SSP - DoD SPRS &amp; FAR and Above'!M141&lt;&gt;"Fully Addressed",'SSP - DoD SPRS &amp; FAR and Above'!E141&amp;" - "&amp;IF('SSP - DoD SPRS &amp; FAR and Above'!I141&lt;&gt;"",'SSP - DoD SPRS &amp; FAR and Above'!I141,'SSP - DoD SPRS &amp; FAR and Above'!J141))</f>
        <v/>
      </c>
      <c r="B120" s="567" t="inlineStr">
        <is>
          <t>ISO/CISO</t>
        </is>
      </c>
      <c r="C120" s="568" t="inlineStr">
        <is>
          <t>Funded</t>
        </is>
      </c>
      <c r="D120" s="567" t="inlineStr">
        <is>
          <t>Upload current risk assessment report, vuln scan outputs (systems &amp; key apps) and remediation tickets mapped to findings and risk levels.</t>
        </is>
      </c>
      <c r="E120" s="584" t="inlineStr">
        <is>
          <t>Estimate - 60 days to remediate
Policies and SSP available; attach configs/logs/records as noted</t>
        </is>
      </c>
      <c r="F120" s="574" t="n"/>
      <c r="G120" s="40" t="n"/>
      <c r="H120" s="40" t="n"/>
      <c r="I120" s="40" t="n"/>
      <c r="J120" s="40" t="n"/>
    </row>
    <row r="121" ht="27.95" customHeight="1" s="566">
      <c r="A121" s="583">
        <f t="array" ref="A121">IF('SSP - DoD SPRS &amp; FAR and Above'!M133&lt;&gt;"Fully Addressed",'SSP - DoD SPRS &amp; FAR and Above'!E133&amp;" - "&amp;IF('SSP - DoD SPRS &amp; FAR and Above'!I133&lt;&gt;"",'SSP - DoD SPRS &amp; FAR and Above'!I133,'SSP - DoD SPRS &amp; FAR and Above'!J133))</f>
        <v/>
      </c>
      <c r="B121" s="567" t="inlineStr">
        <is>
          <t>ISO/CISO</t>
        </is>
      </c>
      <c r="C121" s="568" t="inlineStr">
        <is>
          <t>Funded</t>
        </is>
      </c>
      <c r="D121" s="567" t="inlineStr">
        <is>
          <t>Upload current risk assessment report, vuln scan outputs (systems &amp; key apps) and remediation tickets mapped to findings and risk levels.</t>
        </is>
      </c>
      <c r="E121" s="584" t="inlineStr">
        <is>
          <t>Estimate - 60 days to remediate
Policies and SSP available; attach configs/logs/records as noted</t>
        </is>
      </c>
      <c r="F121" s="574" t="n"/>
      <c r="G121" s="40" t="n"/>
      <c r="H121" s="40" t="n"/>
      <c r="I121" s="40" t="n"/>
      <c r="J121" s="40" t="n"/>
    </row>
    <row r="122" ht="27.95" customHeight="1" s="566">
      <c r="A122" s="583">
        <f t="array" ref="A122">IF('SSP - DoD SPRS &amp; FAR and Above'!M134&lt;&gt;"Fully Addressed",'SSP - DoD SPRS &amp; FAR and Above'!E134&amp;" - "&amp;IF('SSP - DoD SPRS &amp; FAR and Above'!I134&lt;&gt;"",'SSP - DoD SPRS &amp; FAR and Above'!I134,'SSP - DoD SPRS &amp; FAR and Above'!J134))</f>
        <v/>
      </c>
      <c r="B122" s="567" t="inlineStr">
        <is>
          <t>ISO/CISO</t>
        </is>
      </c>
      <c r="C122" s="568" t="inlineStr">
        <is>
          <t>Funded</t>
        </is>
      </c>
      <c r="D122" s="567" t="inlineStr">
        <is>
          <t>Upload current risk assessment report, vuln scan outputs (systems &amp; key apps) and remediation tickets mapped to findings and risk levels.</t>
        </is>
      </c>
      <c r="E122" s="584" t="inlineStr">
        <is>
          <t>Estimate - 60 days to remediate
Policies and SSP available; attach configs/logs/records as noted</t>
        </is>
      </c>
      <c r="F122" s="574" t="n"/>
      <c r="G122" s="40" t="n"/>
      <c r="H122" s="40" t="n"/>
      <c r="I122" s="40" t="n"/>
      <c r="J122" s="40" t="n"/>
    </row>
    <row r="123" ht="27.95" customHeight="1" s="566">
      <c r="A123" s="583">
        <f t="array" ref="A123">IF('SSP - DoD SPRS &amp; FAR and Above'!M135&lt;&gt;"Fully Addressed",'SSP - DoD SPRS &amp; FAR and Above'!E135&amp;" - "&amp;IF('SSP - DoD SPRS &amp; FAR and Above'!I135&lt;&gt;"",'SSP - DoD SPRS &amp; FAR and Above'!I135,'SSP - DoD SPRS &amp; FAR and Above'!J135))</f>
        <v/>
      </c>
      <c r="B123" s="567" t="inlineStr">
        <is>
          <t>ISO/CISO</t>
        </is>
      </c>
      <c r="C123" s="568" t="inlineStr">
        <is>
          <t>Funded</t>
        </is>
      </c>
      <c r="D123" s="567" t="inlineStr">
        <is>
          <t>Upload current risk assessment report, vuln scan outputs (systems &amp; key apps) and remediation tickets mapped to findings and risk levels.</t>
        </is>
      </c>
      <c r="E123" s="584" t="inlineStr">
        <is>
          <t>Estimate - 60 days to remediate
Policies and SSP available; attach configs/logs/records as noted</t>
        </is>
      </c>
      <c r="F123" s="574" t="n"/>
      <c r="G123" s="40" t="n"/>
      <c r="H123" s="40" t="n"/>
      <c r="I123" s="40" t="n"/>
      <c r="J123" s="40" t="n"/>
    </row>
    <row r="124" ht="27.95" customHeight="1" s="566">
      <c r="A124" s="583">
        <f t="array" ref="A124">IF('SSP - DoD SPRS &amp; FAR and Above'!M136&lt;&gt;"Fully Addressed",'SSP - DoD SPRS &amp; FAR and Above'!E136&amp;" - "&amp;IF('SSP - DoD SPRS &amp; FAR and Above'!I136&lt;&gt;"",'SSP - DoD SPRS &amp; FAR and Above'!I136,'SSP - DoD SPRS &amp; FAR and Above'!J136))</f>
        <v/>
      </c>
      <c r="B124" s="567" t="inlineStr">
        <is>
          <t>ISO/CISO</t>
        </is>
      </c>
      <c r="C124" s="568" t="inlineStr">
        <is>
          <t>Funded</t>
        </is>
      </c>
      <c r="D124" s="567" t="inlineStr">
        <is>
          <t>Upload current risk assessment report, vuln scan outputs (systems &amp; key apps) and remediation tickets mapped to findings and risk levels.</t>
        </is>
      </c>
      <c r="E124" s="584" t="inlineStr">
        <is>
          <t>Estimate - 60 days to remediate
Policies and SSP available; attach configs/logs/records as noted</t>
        </is>
      </c>
      <c r="F124" s="574" t="n"/>
      <c r="G124" s="40" t="n"/>
      <c r="H124" s="40" t="n"/>
      <c r="I124" s="40" t="n"/>
      <c r="J124" s="40" t="n"/>
    </row>
    <row r="125" ht="27.95" customHeight="1" s="566">
      <c r="A125" s="583">
        <f t="array" ref="A125">IF('SSP - DoD SPRS &amp; FAR and Above'!M137&lt;&gt;"Fully Addressed",'SSP - DoD SPRS &amp; FAR and Above'!E137&amp;" - "&amp;IF('SSP - DoD SPRS &amp; FAR and Above'!I137&lt;&gt;"",'SSP - DoD SPRS &amp; FAR and Above'!I137,'SSP - DoD SPRS &amp; FAR and Above'!J137))</f>
        <v/>
      </c>
      <c r="B125" s="567" t="inlineStr">
        <is>
          <t>ISO/CISO</t>
        </is>
      </c>
      <c r="C125" s="568" t="inlineStr">
        <is>
          <t>Funded</t>
        </is>
      </c>
      <c r="D125" s="567" t="inlineStr">
        <is>
          <t>Upload current risk assessment report, vuln scan outputs (systems &amp; key apps) and remediation tickets mapped to findings and risk levels.</t>
        </is>
      </c>
      <c r="E125" s="584" t="inlineStr">
        <is>
          <t>Estimate - 60 days to remediate
Policies and SSP available; attach configs/logs/records as noted</t>
        </is>
      </c>
      <c r="F125" s="574" t="n"/>
      <c r="G125" s="40" t="n"/>
      <c r="H125" s="40" t="n"/>
      <c r="I125" s="40" t="n"/>
      <c r="J125" s="40" t="n"/>
    </row>
    <row r="126" ht="27.95" customHeight="1" s="566">
      <c r="A126" s="583">
        <f t="array" ref="A126">IF('SSP - DoD SPRS &amp; FAR and Above'!M138&lt;&gt;"Fully Addressed",'SSP - DoD SPRS &amp; FAR and Above'!E138&amp;" - "&amp;IF('SSP - DoD SPRS &amp; FAR and Above'!I138&lt;&gt;"",'SSP - DoD SPRS &amp; FAR and Above'!I138,'SSP - DoD SPRS &amp; FAR and Above'!J138))</f>
        <v/>
      </c>
      <c r="B126" s="567" t="inlineStr">
        <is>
          <t>ISO/CISO</t>
        </is>
      </c>
      <c r="C126" s="568" t="inlineStr">
        <is>
          <t>Funded</t>
        </is>
      </c>
      <c r="D126" s="567" t="inlineStr">
        <is>
          <t>Upload current risk assessment report, vuln scan outputs (systems &amp; key apps) and remediation tickets mapped to findings and risk levels.</t>
        </is>
      </c>
      <c r="E126" s="584" t="inlineStr">
        <is>
          <t>Estimate - 60 days to remediate
Policies and SSP available; attach configs/logs/records as noted</t>
        </is>
      </c>
      <c r="F126" s="574" t="n"/>
      <c r="G126" s="40" t="n"/>
      <c r="H126" s="40" t="n"/>
      <c r="I126" s="40" t="n"/>
      <c r="J126" s="40" t="n"/>
    </row>
    <row r="127" ht="27.95" customHeight="1" s="566">
      <c r="A127" s="583">
        <f t="array" ref="A127">IF('SSP - DoD SPRS &amp; FAR and Above'!M142&lt;&gt;"Fully Addressed",'SSP - DoD SPRS &amp; FAR and Above'!E142&amp;" - "&amp;IF('SSP - DoD SPRS &amp; FAR and Above'!I142&lt;&gt;"",'SSP - DoD SPRS &amp; FAR and Above'!I142,'SSP - DoD SPRS &amp; FAR and Above'!J142))</f>
        <v/>
      </c>
      <c r="B127" s="567" t="inlineStr">
        <is>
          <t>ISO/CISO</t>
        </is>
      </c>
      <c r="C127" s="568" t="inlineStr">
        <is>
          <t>Funded</t>
        </is>
      </c>
      <c r="D127" s="567" t="inlineStr">
        <is>
          <t>Upload current risk assessment report, vuln scan outputs (systems &amp; key apps) and remediation tickets mapped to findings and risk levels.</t>
        </is>
      </c>
      <c r="E127" s="584" t="inlineStr">
        <is>
          <t>Estimate - 60 days to remediate
Policies and SSP available; attach configs/logs/records as noted</t>
        </is>
      </c>
      <c r="F127" s="574" t="n"/>
      <c r="G127" s="40" t="n"/>
      <c r="H127" s="40" t="n"/>
      <c r="I127" s="40" t="n"/>
      <c r="J127" s="40" t="n"/>
    </row>
    <row r="128" ht="27.95" customHeight="1" s="566">
      <c r="A128" s="583">
        <f t="array" ref="A128">IF('SSP - DoD SPRS &amp; FAR and Above'!M143&lt;&gt;"Fully Addressed",'SSP - DoD SPRS &amp; FAR and Above'!E143&amp;" - "&amp;IF('SSP - DoD SPRS &amp; FAR and Above'!I143&lt;&gt;"",'SSP - DoD SPRS &amp; FAR and Above'!I143,'SSP - DoD SPRS &amp; FAR and Above'!J143))</f>
        <v/>
      </c>
      <c r="B128" s="567" t="inlineStr">
        <is>
          <t>ISO/CISO</t>
        </is>
      </c>
      <c r="C128" s="568" t="inlineStr">
        <is>
          <t>Funded</t>
        </is>
      </c>
      <c r="D128" s="567" t="inlineStr">
        <is>
          <t>Upload current risk assessment report, vuln scan outputs (systems &amp; key apps) and remediation tickets mapped to findings and risk levels.</t>
        </is>
      </c>
      <c r="E128" s="584" t="inlineStr">
        <is>
          <t>Estimate - 60 days to remediate
Policies and SSP available; attach configs/logs/records as noted</t>
        </is>
      </c>
      <c r="F128" s="574" t="n"/>
      <c r="G128" s="40" t="n"/>
      <c r="H128" s="40" t="n"/>
      <c r="I128" s="40" t="n"/>
      <c r="J128" s="40" t="n"/>
    </row>
    <row r="129" ht="27.95" customHeight="1" s="566">
      <c r="A129" s="583">
        <f t="array" ref="A129">IF('SSP - DoD SPRS &amp; FAR and Above'!M144&lt;&gt;"Fully Addressed",'SSP - DoD SPRS &amp; FAR and Above'!E144&amp;" - "&amp;IF('SSP - DoD SPRS &amp; FAR and Above'!I144&lt;&gt;"",'SSP - DoD SPRS &amp; FAR and Above'!I144,'SSP - DoD SPRS &amp; FAR and Above'!J144))</f>
        <v/>
      </c>
      <c r="B129" s="567" t="inlineStr">
        <is>
          <t>ISO/CISO</t>
        </is>
      </c>
      <c r="C129" s="568" t="inlineStr">
        <is>
          <t>Funded</t>
        </is>
      </c>
      <c r="D129" s="567" t="inlineStr">
        <is>
          <t>Upload current risk assessment report, vuln scan outputs (systems &amp; key apps) and remediation tickets mapped to findings and risk levels.</t>
        </is>
      </c>
      <c r="E129" s="584" t="inlineStr">
        <is>
          <t>Estimate - 60 days to remediate
Policies and SSP available; attach configs/logs/records as noted</t>
        </is>
      </c>
      <c r="F129" s="574" t="n"/>
      <c r="G129" s="40" t="n"/>
      <c r="H129" s="40" t="n"/>
      <c r="I129" s="40" t="n"/>
      <c r="J129" s="40" t="n"/>
    </row>
    <row r="130" ht="42" customHeight="1" s="566">
      <c r="A130" s="583">
        <f t="array" ref="A130">IF('SSP - DoD SPRS &amp; FAR and Above'!M77&lt;&gt;"Fully Addressed",'SSP - DoD SPRS &amp; FAR and Above'!E77&amp;" - "&amp;IF('SSP - DoD SPRS &amp; FAR and Above'!I77&lt;&gt;"",'SSP - DoD SPRS &amp; FAR and Above'!I77,'SSP - DoD SPRS &amp; FAR and Above'!J77))</f>
        <v/>
      </c>
      <c r="B130" s="567" t="inlineStr">
        <is>
          <t>ISO/CISO</t>
        </is>
      </c>
      <c r="C130" s="568" t="inlineStr">
        <is>
          <t>Funded</t>
        </is>
      </c>
      <c r="D130" s="572" t="inlineStr">
        <is>
          <t>Provide annual control assessment results (or 800-171 score detail), active POA&amp;M, and monitoring plan + outputs; SSP already present/covered (3.12.4).</t>
        </is>
      </c>
      <c r="E130" s="584" t="inlineStr">
        <is>
          <t>Estimate - 60 days to remediate
Policies and SSP available; attach configs/logs/records as noted</t>
        </is>
      </c>
      <c r="F130" s="574" t="n"/>
      <c r="G130" s="40" t="n"/>
      <c r="H130" s="40" t="n"/>
      <c r="I130" s="40" t="n"/>
      <c r="J130" s="40" t="n"/>
    </row>
    <row r="131" ht="42" customHeight="1" s="566">
      <c r="A131" s="583">
        <f t="array" ref="A131">IF('SSP - DoD SPRS &amp; FAR and Above'!M78&lt;&gt;"Fully Addressed",'SSP - DoD SPRS &amp; FAR and Above'!E78&amp;" - "&amp;IF('SSP - DoD SPRS &amp; FAR and Above'!I78&lt;&gt;"",'SSP - DoD SPRS &amp; FAR and Above'!I78,'SSP - DoD SPRS &amp; FAR and Above'!J78))</f>
        <v/>
      </c>
      <c r="B131" s="567" t="inlineStr">
        <is>
          <t>ISO/CISO</t>
        </is>
      </c>
      <c r="C131" s="568" t="inlineStr">
        <is>
          <t>Funded</t>
        </is>
      </c>
      <c r="D131" s="572" t="inlineStr">
        <is>
          <t>Provide annual control assessment results (or 800-171 score detail), active POA&amp;M, and monitoring plan + outputs; SSP already present/covered (3.12.4).</t>
        </is>
      </c>
      <c r="E131" s="584" t="inlineStr">
        <is>
          <t>Estimate - 60 days to remediate
Policies and SSP available; attach configs/logs/records as noted</t>
        </is>
      </c>
      <c r="F131" s="574" t="n"/>
      <c r="G131" s="40" t="n"/>
      <c r="H131" s="40" t="n"/>
      <c r="I131" s="40" t="n"/>
      <c r="J131" s="40" t="n"/>
    </row>
    <row r="132" ht="42" customHeight="1" s="566">
      <c r="A132" s="583">
        <f t="array" ref="A132">IF('SSP - DoD SPRS &amp; FAR and Above'!M79&lt;&gt;"Fully Addressed",'SSP - DoD SPRS &amp; FAR and Above'!E79&amp;" - "&amp;IF('SSP - DoD SPRS &amp; FAR and Above'!I79&lt;&gt;"",'SSP - DoD SPRS &amp; FAR and Above'!I79,'SSP - DoD SPRS &amp; FAR and Above'!J79))</f>
        <v/>
      </c>
      <c r="B132" s="567" t="inlineStr">
        <is>
          <t>ISO/CISO</t>
        </is>
      </c>
      <c r="C132" s="568" t="inlineStr">
        <is>
          <t>Funded</t>
        </is>
      </c>
      <c r="D132" s="572" t="inlineStr">
        <is>
          <t>Provide annual control assessment results (or 800-171 score detail), active POA&amp;M, and monitoring plan + outputs; SSP already present/covered (3.12.4).</t>
        </is>
      </c>
      <c r="E132" s="584" t="inlineStr">
        <is>
          <t>Estimate - 60 days to remediate
Policies and SSP available; attach configs/logs/records as noted</t>
        </is>
      </c>
      <c r="F132" s="574" t="n"/>
      <c r="G132" s="40" t="n"/>
      <c r="H132" s="40" t="n"/>
      <c r="I132" s="40" t="n"/>
      <c r="J132" s="40" t="n"/>
    </row>
    <row r="133" ht="42" customHeight="1" s="566">
      <c r="A133" s="583">
        <f t="array" ref="A133">IF('SSP - DoD SPRS &amp; FAR and Above'!M160&lt;&gt;"Fully Addressed",'SSP - DoD SPRS &amp; FAR and Above'!E160&amp;" - "&amp;IF('SSP - DoD SPRS &amp; FAR and Above'!I160&lt;&gt;"",'SSP - DoD SPRS &amp; FAR and Above'!I160,'SSP - DoD SPRS &amp; FAR and Above'!J160))</f>
        <v/>
      </c>
      <c r="B133" s="567" t="inlineStr">
        <is>
          <t>ISO/CISO</t>
        </is>
      </c>
      <c r="C133" s="568" t="inlineStr">
        <is>
          <t>Funded</t>
        </is>
      </c>
      <c r="D133" s="572" t="inlineStr">
        <is>
          <t>Provide annual control assessment results (or 800-171 score detail), active POA&amp;M, and monitoring plan + outputs; SSP already present/covered (3.12.4).</t>
        </is>
      </c>
      <c r="E133" s="584" t="inlineStr">
        <is>
          <t>Estimate - 60 days to remediate
Policies and SSP available; attach configs/logs/records as noted</t>
        </is>
      </c>
      <c r="F133" s="574" t="n"/>
      <c r="G133" s="40" t="n"/>
      <c r="H133" s="40" t="n"/>
      <c r="I133" s="40" t="n"/>
      <c r="J133" s="40" t="n"/>
    </row>
    <row r="134" ht="42" customHeight="1" s="566">
      <c r="A134" s="583">
        <f t="array" ref="A134">IF('SSP - DoD SPRS &amp; FAR and Above'!M161&lt;&gt;"Fully Addressed",'SSP - DoD SPRS &amp; FAR and Above'!E161&amp;" - "&amp;IF('SSP - DoD SPRS &amp; FAR and Above'!I161&lt;&gt;"",'SSP - DoD SPRS &amp; FAR and Above'!I161,'SSP - DoD SPRS &amp; FAR and Above'!J161))</f>
        <v/>
      </c>
      <c r="B134" s="567" t="inlineStr">
        <is>
          <t>ISO/CISO</t>
        </is>
      </c>
      <c r="C134" s="568" t="inlineStr">
        <is>
          <t>Funded</t>
        </is>
      </c>
      <c r="D134" s="572" t="inlineStr">
        <is>
          <t>Provide annual control assessment results (or 800-171 score detail), active POA&amp;M, and monitoring plan + outputs; SSP already present/covered (3.12.4).</t>
        </is>
      </c>
      <c r="E134" s="584" t="inlineStr">
        <is>
          <t>Estimate - 60 days to remediate
Policies and SSP available; attach configs/logs/records as noted</t>
        </is>
      </c>
      <c r="F134" s="574" t="n"/>
      <c r="G134" s="40" t="n"/>
      <c r="H134" s="40" t="n"/>
      <c r="I134" s="40" t="n"/>
      <c r="J134" s="40" t="n"/>
    </row>
    <row r="135" ht="42" customHeight="1" s="566">
      <c r="A135" s="583">
        <f t="array" ref="A135">IF('SSP - DoD SPRS &amp; FAR and Above'!M162&lt;&gt;"Fully Addressed",'SSP - DoD SPRS &amp; FAR and Above'!E162&amp;" - "&amp;IF('SSP - DoD SPRS &amp; FAR and Above'!I162&lt;&gt;"",'SSP - DoD SPRS &amp; FAR and Above'!I162,'SSP - DoD SPRS &amp; FAR and Above'!J162))</f>
        <v/>
      </c>
      <c r="B135" s="567" t="inlineStr">
        <is>
          <t>ISO/CISO</t>
        </is>
      </c>
      <c r="C135" s="568" t="inlineStr">
        <is>
          <t>Funded</t>
        </is>
      </c>
      <c r="D135" s="572" t="inlineStr">
        <is>
          <t>Provide annual control assessment results (or 800-171 score detail), active POA&amp;M, and monitoring plan + outputs; SSP already present/covered (3.12.4).</t>
        </is>
      </c>
      <c r="E135" s="584" t="inlineStr">
        <is>
          <t>Estimate - 60 days to remediate
Policies and SSP available; attach configs/logs/records as noted</t>
        </is>
      </c>
      <c r="F135" s="574" t="n"/>
      <c r="G135" s="40" t="n"/>
      <c r="H135" s="40" t="n"/>
      <c r="I135" s="40" t="n"/>
      <c r="J135" s="40" t="n"/>
    </row>
    <row r="136" ht="42" customHeight="1" s="566">
      <c r="A136" s="583">
        <f t="array" ref="A136">IF('SSP - DoD SPRS &amp; FAR and Above'!M163&lt;&gt;"Fully Addressed",'SSP - DoD SPRS &amp; FAR and Above'!E163&amp;" - "&amp;IF('SSP - DoD SPRS &amp; FAR and Above'!I163&lt;&gt;"",'SSP - DoD SPRS &amp; FAR and Above'!I163,'SSP - DoD SPRS &amp; FAR and Above'!J163))</f>
        <v/>
      </c>
      <c r="B136" s="567" t="inlineStr">
        <is>
          <t>ISO/CISO</t>
        </is>
      </c>
      <c r="C136" s="568" t="inlineStr">
        <is>
          <t>Funded</t>
        </is>
      </c>
      <c r="D136" s="572" t="inlineStr">
        <is>
          <t>Provide annual control assessment results (or 800-171 score detail), active POA&amp;M, and monitoring plan + outputs; SSP already present/covered (3.12.4).</t>
        </is>
      </c>
      <c r="E136" s="584" t="inlineStr">
        <is>
          <t>Estimate - 60 days to remediate
Policies and SSP available; attach configs/logs/records as noted</t>
        </is>
      </c>
      <c r="F136" s="574" t="n"/>
      <c r="G136" s="40" t="n"/>
      <c r="H136" s="40" t="n"/>
      <c r="I136" s="40" t="n"/>
      <c r="J136" s="40" t="n"/>
    </row>
    <row r="137" ht="42" customHeight="1" s="566">
      <c r="A137" s="583">
        <f t="array" ref="A137">IF('SSP - DoD SPRS &amp; FAR and Above'!M350&lt;&gt;"Fully Addressed",'SSP - DoD SPRS &amp; FAR and Above'!E350&amp;" - "&amp;IF('SSP - DoD SPRS &amp; FAR and Above'!I350&lt;&gt;"",'SSP - DoD SPRS &amp; FAR and Above'!I350,'SSP - DoD SPRS &amp; FAR and Above'!J350))</f>
        <v/>
      </c>
      <c r="B137" s="567" t="inlineStr">
        <is>
          <t>ISO/CISO</t>
        </is>
      </c>
      <c r="C137" s="568" t="inlineStr">
        <is>
          <t>Funded</t>
        </is>
      </c>
      <c r="D137" s="572" t="inlineStr">
        <is>
          <t>Provide annual control assessment results (or 800-171 score detail), active POA&amp;M, and monitoring plan + outputs; SSP already present/covered (3.12.4).</t>
        </is>
      </c>
      <c r="E137" s="584" t="inlineStr">
        <is>
          <t>Estimate - 60 days to remediate
Policies and SSP available; attach configs/logs/records as noted</t>
        </is>
      </c>
      <c r="F137" s="574" t="n"/>
      <c r="G137" s="40" t="n"/>
      <c r="H137" s="40" t="n"/>
      <c r="I137" s="40" t="n"/>
      <c r="J137" s="40" t="n"/>
    </row>
    <row r="138" ht="42" customHeight="1" s="566">
      <c r="A138" s="583">
        <f t="array" ref="A138">IF('SSP - DoD SPRS &amp; FAR and Above'!M80&lt;&gt;"Fully Addressed",'SSP - DoD SPRS &amp; FAR and Above'!E80&amp;" - "&amp;IF('SSP - DoD SPRS &amp; FAR and Above'!I80&lt;&gt;"",'SSP - DoD SPRS &amp; FAR and Above'!I80,'SSP - DoD SPRS &amp; FAR and Above'!J80))</f>
        <v/>
      </c>
      <c r="B138" s="567" t="inlineStr">
        <is>
          <t>ISO/CISO</t>
        </is>
      </c>
      <c r="C138" s="568" t="inlineStr">
        <is>
          <t>Funded</t>
        </is>
      </c>
      <c r="D138" s="572" t="inlineStr">
        <is>
          <t>Provide annual control assessment results (or 800-171 score detail), active POA&amp;M, and monitoring plan + outputs; SSP already present/covered (3.12.4).</t>
        </is>
      </c>
      <c r="E138" s="584" t="inlineStr">
        <is>
          <t>Estimate - 60 days to remediate
Policies and SSP available; attach configs/logs/records as noted</t>
        </is>
      </c>
      <c r="F138" s="574" t="n"/>
      <c r="G138" s="40" t="n"/>
      <c r="H138" s="40" t="n"/>
      <c r="I138" s="40" t="n"/>
      <c r="J138" s="40" t="n"/>
    </row>
    <row r="139" ht="42" customHeight="1" s="566">
      <c r="A139" s="583">
        <f t="array" ref="A139">IF('SSP - DoD SPRS &amp; FAR and Above'!M81&lt;&gt;"Fully Addressed",'SSP - DoD SPRS &amp; FAR and Above'!E81&amp;" - "&amp;IF('SSP - DoD SPRS &amp; FAR and Above'!I81&lt;&gt;"",'SSP - DoD SPRS &amp; FAR and Above'!I81,'SSP - DoD SPRS &amp; FAR and Above'!J81))</f>
        <v/>
      </c>
      <c r="B139" s="567" t="inlineStr">
        <is>
          <t>ISO/CISO</t>
        </is>
      </c>
      <c r="C139" s="568" t="inlineStr">
        <is>
          <t>Funded</t>
        </is>
      </c>
      <c r="D139" s="572" t="inlineStr">
        <is>
          <t>Provide annual control assessment results (or 800-171 score detail), active POA&amp;M, and monitoring plan + outputs; SSP already present/covered (3.12.4).</t>
        </is>
      </c>
      <c r="E139" s="584" t="inlineStr">
        <is>
          <t>Estimate - 60 days to remediate
Policies and SSP available; attach configs/logs/records as noted</t>
        </is>
      </c>
      <c r="F139" s="574" t="n"/>
      <c r="G139" s="40" t="n"/>
      <c r="H139" s="40" t="n"/>
      <c r="I139" s="40" t="n"/>
      <c r="J139" s="40" t="n"/>
    </row>
    <row r="140" ht="42" customHeight="1" s="566">
      <c r="A140" s="583">
        <f t="array" ref="A140">IF('SSP - DoD SPRS &amp; FAR and Above'!M82&lt;&gt;"Fully Addressed",'SSP - DoD SPRS &amp; FAR and Above'!E82&amp;" - "&amp;IF('SSP - DoD SPRS &amp; FAR and Above'!I82&lt;&gt;"",'SSP - DoD SPRS &amp; FAR and Above'!I82,'SSP - DoD SPRS &amp; FAR and Above'!J82))</f>
        <v/>
      </c>
      <c r="B140" s="567" t="inlineStr">
        <is>
          <t>ISO/CISO</t>
        </is>
      </c>
      <c r="C140" s="568" t="inlineStr">
        <is>
          <t>Funded</t>
        </is>
      </c>
      <c r="D140" s="572" t="inlineStr">
        <is>
          <t>Provide annual control assessment results (or 800-171 score detail), active POA&amp;M, and monitoring plan + outputs; SSP already present/covered (3.12.4).</t>
        </is>
      </c>
      <c r="E140" s="584" t="inlineStr">
        <is>
          <t>Estimate - 60 days to remediate
Policies and SSP available; attach configs/logs/records as noted</t>
        </is>
      </c>
      <c r="F140" s="574" t="n"/>
      <c r="G140" s="40" t="n"/>
      <c r="H140" s="40" t="n"/>
      <c r="I140" s="40" t="n"/>
      <c r="J140" s="40" t="n"/>
    </row>
    <row r="141" ht="42" customHeight="1" s="566">
      <c r="A141" s="583">
        <f t="array" ref="A141">IF('SSP - DoD SPRS &amp; FAR and Above'!M83&lt;&gt;"Fully Addressed",'SSP - DoD SPRS &amp; FAR and Above'!E83&amp;" - "&amp;IF('SSP - DoD SPRS &amp; FAR and Above'!I83&lt;&gt;"",'SSP - DoD SPRS &amp; FAR and Above'!I83,'SSP - DoD SPRS &amp; FAR and Above'!J83))</f>
        <v/>
      </c>
      <c r="B141" s="567" t="inlineStr">
        <is>
          <t>ISO/CISO</t>
        </is>
      </c>
      <c r="C141" s="568" t="inlineStr">
        <is>
          <t>Funded</t>
        </is>
      </c>
      <c r="D141" s="572" t="inlineStr">
        <is>
          <t>Provide annual control assessment results (or 800-171 score detail), active POA&amp;M, and monitoring plan + outputs; SSP already present/covered (3.12.4).</t>
        </is>
      </c>
      <c r="E141" s="584" t="inlineStr">
        <is>
          <t>Estimate - 60 days to remediate
Policies and SSP available; attach configs/logs/records as noted</t>
        </is>
      </c>
      <c r="F141" s="574" t="n"/>
      <c r="G141" s="40" t="n"/>
      <c r="H141" s="40" t="n"/>
      <c r="I141" s="40" t="n"/>
      <c r="J141" s="40" t="n"/>
    </row>
    <row r="142" ht="42" customHeight="1" s="566">
      <c r="A142" s="583">
        <f t="array" ref="A142">IF('SSP - DoD SPRS &amp; FAR and Above'!M84&lt;&gt;"Fully Addressed",'SSP - DoD SPRS &amp; FAR and Above'!E84&amp;" - "&amp;IF('SSP - DoD SPRS &amp; FAR and Above'!I84&lt;&gt;"",'SSP - DoD SPRS &amp; FAR and Above'!I84,'SSP - DoD SPRS &amp; FAR and Above'!J84))</f>
        <v/>
      </c>
      <c r="B142" s="567" t="inlineStr">
        <is>
          <t>ISO/CISO</t>
        </is>
      </c>
      <c r="C142" s="568" t="inlineStr">
        <is>
          <t>Funded</t>
        </is>
      </c>
      <c r="D142" s="572" t="inlineStr">
        <is>
          <t>Provide annual control assessment results (or 800-171 score detail), active POA&amp;M, and monitoring plan + outputs; SSP already present/covered (3.12.4).</t>
        </is>
      </c>
      <c r="E142" s="584" t="inlineStr">
        <is>
          <t>Estimate - 60 days to remediate
Policies and SSP available; attach configs/logs/records as noted</t>
        </is>
      </c>
      <c r="F142" s="574" t="n"/>
      <c r="G142" s="40" t="n"/>
      <c r="H142" s="40" t="n"/>
      <c r="I142" s="40" t="n"/>
      <c r="J142" s="40" t="n"/>
    </row>
    <row r="143" ht="42" customHeight="1" s="566">
      <c r="A143" s="583">
        <f t="array" ref="A143">IF('SSP - DoD SPRS &amp; FAR and Above'!M85&lt;&gt;"Fully Addressed",'SSP - DoD SPRS &amp; FAR and Above'!E85&amp;" - "&amp;IF('SSP - DoD SPRS &amp; FAR and Above'!I85&lt;&gt;"",'SSP - DoD SPRS &amp; FAR and Above'!I85,'SSP - DoD SPRS &amp; FAR and Above'!J85))</f>
        <v/>
      </c>
      <c r="B143" s="567" t="inlineStr">
        <is>
          <t>ISO/CISO</t>
        </is>
      </c>
      <c r="C143" s="568" t="inlineStr">
        <is>
          <t>Funded</t>
        </is>
      </c>
      <c r="D143" s="572" t="inlineStr">
        <is>
          <t>Provide annual control assessment results (or 800-171 score detail), active POA&amp;M, and monitoring plan + outputs; SSP already present/covered (3.12.4).</t>
        </is>
      </c>
      <c r="E143" s="584" t="inlineStr">
        <is>
          <t>Estimate - 60 days to remediate
Policies and SSP available; attach configs/logs/records as noted</t>
        </is>
      </c>
      <c r="F143" s="574" t="n"/>
      <c r="G143" s="40" t="n"/>
      <c r="H143" s="40" t="n"/>
      <c r="I143" s="40" t="n"/>
      <c r="J143" s="40" t="n"/>
    </row>
    <row r="144" ht="42" customHeight="1" s="566">
      <c r="A144" s="583">
        <f t="array" ref="A144">IF('SSP - DoD SPRS &amp; FAR and Above'!M86&lt;&gt;"Fully Addressed",'SSP - DoD SPRS &amp; FAR and Above'!E86&amp;" - "&amp;IF('SSP - DoD SPRS &amp; FAR and Above'!I86&lt;&gt;"",'SSP - DoD SPRS &amp; FAR and Above'!I86,'SSP - DoD SPRS &amp; FAR and Above'!J86))</f>
        <v/>
      </c>
      <c r="B144" s="567" t="inlineStr">
        <is>
          <t>ISO/CISO</t>
        </is>
      </c>
      <c r="C144" s="568" t="inlineStr">
        <is>
          <t>Funded</t>
        </is>
      </c>
      <c r="D144" s="572" t="inlineStr">
        <is>
          <t>Provide annual control assessment results (or 800-171 score detail), active POA&amp;M, and monitoring plan + outputs; SSP already present/covered (3.12.4).</t>
        </is>
      </c>
      <c r="E144" s="584" t="inlineStr">
        <is>
          <t>Estimate - 60 days to remediate
Policies and SSP available; attach configs/logs/records as noted</t>
        </is>
      </c>
      <c r="F144" s="574" t="n"/>
      <c r="G144" s="40" t="n"/>
      <c r="H144" s="40" t="n"/>
      <c r="I144" s="40" t="n"/>
      <c r="J144" s="40" t="n"/>
    </row>
    <row r="145" ht="42" customHeight="1" s="566">
      <c r="A145" s="583">
        <f t="array" ref="A145">IF('SSP - DoD SPRS &amp; FAR and Above'!M87&lt;&gt;"Fully Addressed",'SSP - DoD SPRS &amp; FAR and Above'!E87&amp;" - "&amp;IF('SSP - DoD SPRS &amp; FAR and Above'!I87&lt;&gt;"",'SSP - DoD SPRS &amp; FAR and Above'!I87,'SSP - DoD SPRS &amp; FAR and Above'!J87))</f>
        <v/>
      </c>
      <c r="B145" s="567" t="inlineStr">
        <is>
          <t>ISO/CISO</t>
        </is>
      </c>
      <c r="C145" s="568" t="inlineStr">
        <is>
          <t>Funded</t>
        </is>
      </c>
      <c r="D145" s="572" t="inlineStr">
        <is>
          <t>Provide annual control assessment results (or 800-171 score detail), active POA&amp;M, and monitoring plan + outputs; SSP already present/covered (3.12.4).</t>
        </is>
      </c>
      <c r="E145" s="584" t="inlineStr">
        <is>
          <t>Estimate - 60 days to remediate
Policies and SSP available; attach configs/logs/records as noted</t>
        </is>
      </c>
      <c r="F145" s="574" t="n"/>
      <c r="G145" s="40" t="n"/>
      <c r="H145" s="40" t="n"/>
      <c r="I145" s="40" t="n"/>
      <c r="J145" s="40" t="n"/>
    </row>
    <row r="146" ht="56.1" customHeight="1" s="566">
      <c r="A146" s="583">
        <f>IF('SSP - DoD SPRS &amp; FAR and Above'!M3&lt;&gt;"Fully Addressed",'SSP - DoD SPRS &amp; FAR and Above'!E3&amp;" - "&amp;IF('SSP - DoD SPRS &amp; FAR and Above'!I3&lt;&gt;"",'SSP - DoD SPRS &amp; FAR and Above'!I3,'SSP - DoD SPRS &amp; FAR and Above'!J3))</f>
        <v/>
      </c>
      <c r="B146" s="567" t="inlineStr">
        <is>
          <t>ISO/CISO</t>
        </is>
      </c>
      <c r="C146" s="568" t="inlineStr">
        <is>
          <t>Funded</t>
        </is>
      </c>
      <c r="D146" s="572" t="inlineStr">
        <is>
          <t>Provide firewall/VPN configs (deny-all, allow-by-exception), diagrams with zones/VLANs, split-tunneling disabled in GP profiles, TLS/IPSec FIPS settings, Key Vault/HSM procedures, VoIP encryption configs and logs.</t>
        </is>
      </c>
      <c r="E146" s="585" t="inlineStr">
        <is>
          <t>Estimate - 90 days to remediate
Policies and SSP available; attach configs/logs/records as noted</t>
        </is>
      </c>
      <c r="F146" s="574" t="n"/>
      <c r="G146" s="40" t="n"/>
      <c r="H146" s="40" t="n"/>
      <c r="I146" s="40" t="n"/>
      <c r="J146" s="40" t="n"/>
    </row>
    <row r="147" ht="126" customHeight="1" s="566">
      <c r="A147" s="583">
        <f t="array" ref="A147">IF(AND('SSP - DoD SPRS &amp; FAR and Above'!M4&lt;&gt;"Fully Addressed",'SSP - DoD SPRS &amp; FAR and Above'!M4&lt;&gt;"Not Assessed"),'SSP - DoD SPRS &amp; FAR and Above'!E4&amp;" - "&amp;IF('SSP - DoD SPRS &amp; FAR and Above'!I4&lt;&gt;"",'SSP - DoD SPRS &amp; FAR and Above'!I4,'SSP - DoD SPRS &amp; FAR and Above'!J4))</f>
        <v/>
      </c>
      <c r="B147" s="568" t="inlineStr">
        <is>
          <t>AirGap Labs, Tim Files</t>
        </is>
      </c>
      <c r="C147" s="568" t="inlineStr">
        <is>
          <t>Funded</t>
        </is>
      </c>
      <c r="D147" s="568" t="inlineStr">
        <is>
          <t>(1) Complete asset inventory.
(1.1) Network Devices
(1.2) Mobile Devices
(1.3) Appliances (If applicable)
(2) Narrative for external boundaries 
(2.1) Append references to documentation (Network Diagrams, References Architecture, and Hera All Sites IP Subnets-11-15-2025)
(3) (Review for changes/impact) 
Cloudflare / Intune GCC / VLAN Projects</t>
        </is>
      </c>
      <c r="E147" s="585" t="inlineStr">
        <is>
          <t>Estimate - 90 days to remediate
Policies and SSP available; attach configs/logs/records as noted</t>
        </is>
      </c>
      <c r="F147" s="574" t="n"/>
      <c r="G147" s="40" t="n"/>
      <c r="H147" s="40" t="n"/>
      <c r="I147" s="40" t="n"/>
      <c r="J147" s="40" t="n"/>
    </row>
    <row r="148" ht="168" customHeight="1" s="566">
      <c r="A148" s="583">
        <f t="array" ref="A148">IF('SSP - DoD SPRS &amp; FAR and Above'!M5&lt;&gt;"Fully Addressed",'SSP - DoD SPRS &amp; FAR and Above'!E5&amp;" - "&amp;IF('SSP - DoD SPRS &amp; FAR and Above'!I5&lt;&gt;"",'SSP - DoD SPRS &amp; FAR and Above'!I5,'SSP - DoD SPRS &amp; FAR and Above'!J5))</f>
        <v/>
      </c>
      <c r="B148" s="568" t="inlineStr">
        <is>
          <t>AirGap Labs, Tim Files</t>
        </is>
      </c>
      <c r="C148" s="568" t="inlineStr">
        <is>
          <t>Funded</t>
        </is>
      </c>
      <c r="D148" s="568" t="inlineStr">
        <is>
          <t>(1) Key internal boundaries
(1.1) CUI Segmentation
Confirm the location in the following documentation: 
Hera All Sites IP Subnets-11-15-2025 (Ontario, CA)
10.10.10.1 (VLAN)
(1.2) DMZ
(1.3) Dev/Prod
Confirm SDLC Activities. 
(1.4) OT
(1.5) IT
(2) (Review for changes/impact) 
Cloudflare / Intune GCC / VLAN Projects</t>
        </is>
      </c>
      <c r="E148" s="585" t="inlineStr">
        <is>
          <t>Estimate - 90 days to remediate
Policies and SSP available; attach configs/logs/records as noted</t>
        </is>
      </c>
      <c r="F148" s="574" t="n"/>
      <c r="G148" s="40" t="n"/>
      <c r="H148" s="40" t="n"/>
      <c r="I148" s="40" t="n"/>
      <c r="J148" s="40" t="n"/>
    </row>
    <row r="149" ht="98.09999999999999" customHeight="1" s="566">
      <c r="A149" s="583">
        <f t="array" ref="A149">IF('SSP - DoD SPRS &amp; FAR and Above'!M6&lt;&gt;"Fully Addressed",'SSP - DoD SPRS &amp; FAR and Above'!E6&amp;" - "&amp;IF('SSP - DoD SPRS &amp; FAR and Above'!I6&lt;&gt;"",'SSP - DoD SPRS &amp; FAR and Above'!I6,'SSP - DoD SPRS &amp; FAR and Above'!J6))</f>
        <v/>
      </c>
      <c r="B149" s="567" t="inlineStr">
        <is>
          <t>ISO/CISO</t>
        </is>
      </c>
      <c r="C149" s="568" t="inlineStr">
        <is>
          <t>Funded</t>
        </is>
      </c>
      <c r="D149" s="568" t="inlineStr">
        <is>
          <t>(1) Verify monitoring at external boundary via Crowdstrike SIEM
(1.1) Review SIEM dashboards/queries
(1.2) Review Edge firewall  configurations
(1.3) Review Proxy logs
(1.4) Review IDS logs
(1.5) Review Alert rules
(1.6) Review Incident tickets</t>
        </is>
      </c>
      <c r="E149" s="585" t="inlineStr">
        <is>
          <t>Estimate - 90 days to remediate
Policies and SSP available; attach configs/logs/records as noted</t>
        </is>
      </c>
      <c r="F149" s="574" t="n"/>
      <c r="G149" s="40" t="n"/>
      <c r="H149" s="40" t="n"/>
      <c r="I149" s="40" t="n"/>
      <c r="J149" s="40" t="n"/>
    </row>
    <row r="150" ht="90.95" customHeight="1" s="566">
      <c r="A150" s="583">
        <f t="array" ref="A150">IF('SSP - DoD SPRS &amp; FAR and Above'!M7&lt;&gt;"Fully Addressed",'SSP - DoD SPRS &amp; FAR and Above'!E7&amp;" - "&amp;IF('SSP - DoD SPRS &amp; FAR and Above'!I7&lt;&gt;"",'SSP - DoD SPRS &amp; FAR and Above'!I7,'SSP - DoD SPRS &amp; FAR and Above'!J7))</f>
        <v/>
      </c>
      <c r="B150" s="567" t="inlineStr">
        <is>
          <t>ISO/CISO</t>
        </is>
      </c>
      <c r="C150" s="568" t="inlineStr">
        <is>
          <t>Funded</t>
        </is>
      </c>
      <c r="D150" s="579" t="inlineStr">
        <is>
          <t>(1) Review monitoring at key internal boundries via Crowdstrike SIEM
(1.1) Review logs for internal FW
(1.2) Review DFW alerts 
(1.3) Review IDS configurations
(1.4) Review IDS alerts
(1.5) East‑west flow logs
(1.6) Review records of review</t>
        </is>
      </c>
      <c r="E150" s="585" t="inlineStr">
        <is>
          <t>Estimate - 90 days to remediate
Policies and SSP available; attach configs/logs/records as noted</t>
        </is>
      </c>
      <c r="F150" s="574" t="n"/>
      <c r="G150" s="40" t="n"/>
      <c r="H150" s="40" t="n"/>
      <c r="I150" s="40" t="n"/>
      <c r="J150" s="40" t="n"/>
    </row>
    <row r="151" ht="56.1" customHeight="1" s="566">
      <c r="A151" s="583">
        <f t="array" ref="A151">IF('SSP - DoD SPRS &amp; FAR and Above'!M8&lt;&gt;"Fully Addressed",'SSP - DoD SPRS &amp; FAR and Above'!E8&amp;" - "&amp;IF('SSP - DoD SPRS &amp; FAR and Above'!I8&lt;&gt;"",'SSP - DoD SPRS &amp; FAR and Above'!I8,'SSP - DoD SPRS &amp; FAR and Above'!J8))</f>
        <v/>
      </c>
      <c r="B151" s="568" t="inlineStr">
        <is>
          <t>AirGap Labs, Tim Files</t>
        </is>
      </c>
      <c r="C151" s="568" t="inlineStr">
        <is>
          <t>Funded</t>
        </is>
      </c>
      <c r="D151" s="568" t="inlineStr">
        <is>
          <t xml:space="preserve">(1) Cloudflare
(2) Intune GCC (MDM) 
(3) Palo Alto Firewall 
</t>
        </is>
      </c>
      <c r="E151" s="585" t="inlineStr">
        <is>
          <t>Estimate - 90 days to remediate
Policies and SSP available; attach configs/logs/records as noted</t>
        </is>
      </c>
      <c r="F151" s="574" t="n"/>
      <c r="G151" s="40" t="n"/>
      <c r="H151" s="40" t="n"/>
      <c r="I151" s="40" t="n"/>
      <c r="J151" s="40" t="n"/>
    </row>
    <row r="152" ht="153.95" customHeight="1" s="566">
      <c r="A152" s="583">
        <f t="array" ref="A152">IF('SSP - DoD SPRS &amp; FAR and Above'!M9&lt;&gt;"Fully Addressed",'SSP - DoD SPRS &amp; FAR and Above'!E9&amp;" - "&amp;IF('SSP - DoD SPRS &amp; FAR and Above'!I9&lt;&gt;"",'SSP - DoD SPRS &amp; FAR and Above'!I9,'SSP - DoD SPRS &amp; FAR and Above'!J9))</f>
        <v/>
      </c>
      <c r="B152" s="567" t="inlineStr">
        <is>
          <t>ISO/CISO</t>
        </is>
      </c>
      <c r="C152" s="568" t="inlineStr">
        <is>
          <t>Funded</t>
        </is>
      </c>
      <c r="D152" s="568" t="inlineStr">
        <is>
          <t>(1) Review configurations
(1.1) VLAN Rules
(1.2) ACL Rules
(1.3) Zone
(1.4) Cloud SG
(1.5) DFW rules Cloudflare
Review for impact
(1) Cloudflare
(2) Intune GCC (MDM) 
(3) Palo Alto Firewall 
(4) VLAN Project</t>
        </is>
      </c>
      <c r="E152" s="585" t="inlineStr">
        <is>
          <t>Estimate - 90 days to remediate
Policies and SSP available; attach configs/logs/records as noted</t>
        </is>
      </c>
      <c r="F152" s="574" t="n"/>
      <c r="G152" s="40" t="n"/>
      <c r="H152" s="40" t="n"/>
      <c r="I152" s="40" t="n"/>
      <c r="J152" s="40" t="n"/>
    </row>
    <row r="153" ht="84" customHeight="1" s="566">
      <c r="A153" s="583">
        <f t="array" ref="A153">IF('SSP - DoD SPRS &amp; FAR and Above'!M10&lt;&gt;"Fully Addressed",'SSP - DoD SPRS &amp; FAR and Above'!E10&amp;" - "&amp;IF('SSP - DoD SPRS &amp; FAR and Above'!I10&lt;&gt;"",'SSP - DoD SPRS &amp; FAR and Above'!I10,'SSP - DoD SPRS &amp; FAR and Above'!J10))</f>
        <v/>
      </c>
      <c r="B153" s="567" t="inlineStr">
        <is>
          <t>ISO/CISO</t>
        </is>
      </c>
      <c r="C153" s="568" t="inlineStr">
        <is>
          <t>Funded</t>
        </is>
      </c>
      <c r="D153" s="568" t="inlineStr">
        <is>
          <t xml:space="preserve">(1) Run Test Scripts
(2) Cloudflare
(3) Intune GCC (MDM) 
(4) Palo Alto Firewall 
(5) VLAN Project
</t>
        </is>
      </c>
      <c r="E153" s="585" t="inlineStr">
        <is>
          <t>Estimate - 90 days to remediate
Policies and SSP available; attach configs/logs/records as noted</t>
        </is>
      </c>
      <c r="F153" s="574" t="n"/>
      <c r="G153" s="40" t="n"/>
      <c r="H153" s="40" t="n"/>
      <c r="I153" s="40" t="n"/>
      <c r="J153" s="40" t="n"/>
    </row>
    <row r="154" ht="84" customHeight="1" s="566">
      <c r="A154" s="583">
        <f t="array" ref="A154">IF('SSP - DoD SPRS &amp; FAR and Above'!M11&lt;&gt;"Fully Addressed",'SSP - DoD SPRS &amp; FAR and Above'!E11&amp;" - "&amp;IF('SSP - DoD SPRS &amp; FAR and Above'!I11&lt;&gt;"",'SSP - DoD SPRS &amp; FAR and Above'!I11,'SSP - DoD SPRS &amp; FAR and Above'!J11))</f>
        <v/>
      </c>
      <c r="B154" s="567" t="inlineStr">
        <is>
          <t>ISO/CISO</t>
        </is>
      </c>
      <c r="C154" s="568" t="inlineStr">
        <is>
          <t>Funded</t>
        </is>
      </c>
      <c r="D154" s="568" t="inlineStr">
        <is>
          <t>(1) Run Test Scripts
Review for impacts
(2) Cloudflare
(3) Intune GCC (MDM) 
(4) Palo Alto Firewall 
(5) VLAN Project</t>
        </is>
      </c>
      <c r="E154" s="585" t="inlineStr">
        <is>
          <t>Estimate - 90 days to remediate
Policies and SSP available; attach configs/logs/records as noted</t>
        </is>
      </c>
      <c r="F154" s="574" t="n"/>
      <c r="G154" s="40" t="n"/>
      <c r="H154" s="40" t="n"/>
      <c r="I154" s="40" t="n"/>
      <c r="J154" s="40" t="n"/>
    </row>
    <row r="155" ht="56.1" customHeight="1" s="566">
      <c r="A155" s="583">
        <f t="array" ref="A155">IF('SSP - DoD SPRS &amp; FAR and Above'!M164&lt;&gt;"Fully Addressed",'SSP - DoD SPRS &amp; FAR and Above'!E164&amp;" - "&amp;IF('SSP - DoD SPRS &amp; FAR and Above'!I164&lt;&gt;"",'SSP - DoD SPRS &amp; FAR and Above'!I164,'SSP - DoD SPRS &amp; FAR and Above'!J164))</f>
        <v/>
      </c>
      <c r="B155" s="567" t="inlineStr">
        <is>
          <t>ISO/CISO</t>
        </is>
      </c>
      <c r="C155" s="568" t="inlineStr">
        <is>
          <t>Funded</t>
        </is>
      </c>
      <c r="D155" s="567" t="inlineStr">
        <is>
          <t>Provide firewall/VPN configs (deny-all, allow-by-exception), diagrams with zones/VLANs, split-tunneling disabled in GP profiles, TLS/IPSec FIPS settings, Key Vault/HSM procedures, VoIP encryption configs and logs.</t>
        </is>
      </c>
      <c r="E155" s="585" t="inlineStr">
        <is>
          <t>Estimate - 90 days to remediate
Policies and SSP available; attach configs/logs/records as noted</t>
        </is>
      </c>
      <c r="F155" s="574" t="n"/>
      <c r="G155" s="40" t="n"/>
      <c r="H155" s="40" t="n"/>
      <c r="I155" s="40" t="n"/>
      <c r="J155" s="40" t="n"/>
    </row>
    <row r="156" ht="56.1" customHeight="1" s="566">
      <c r="A156" s="583">
        <f t="array" ref="A156">IF('SSP - DoD SPRS &amp; FAR and Above'!M165&lt;&gt;"Fully Addressed",'SSP - DoD SPRS &amp; FAR and Above'!E165&amp;" - "&amp;IF('SSP - DoD SPRS &amp; FAR and Above'!I165&lt;&gt;"",'SSP - DoD SPRS &amp; FAR and Above'!I165,'SSP - DoD SPRS &amp; FAR and Above'!J165))</f>
        <v/>
      </c>
      <c r="B156" s="567" t="inlineStr">
        <is>
          <t>ISO/CISO</t>
        </is>
      </c>
      <c r="C156" s="568" t="inlineStr">
        <is>
          <t>Funded</t>
        </is>
      </c>
      <c r="D156" s="567" t="inlineStr">
        <is>
          <t>Provide firewall/VPN configs (deny-all, allow-by-exception), diagrams with zones/VLANs, split-tunneling disabled in GP profiles, TLS/IPSec FIPS settings, Key Vault/HSM procedures, VoIP encryption configs and logs.</t>
        </is>
      </c>
      <c r="E156" s="585" t="inlineStr">
        <is>
          <t>Estimate - 90 days to remediate
Policies and SSP available; attach configs/logs/records as noted</t>
        </is>
      </c>
      <c r="F156" s="574" t="n"/>
      <c r="G156" s="40" t="n"/>
      <c r="H156" s="40" t="n"/>
      <c r="I156" s="40" t="n"/>
      <c r="J156" s="40" t="n"/>
    </row>
    <row r="157" ht="56.1" customHeight="1" s="566">
      <c r="A157" s="583">
        <f t="array" ref="A157">IF('SSP - DoD SPRS &amp; FAR and Above'!M166&lt;&gt;"Fully Addressed",'SSP - DoD SPRS &amp; FAR and Above'!E166&amp;" - "&amp;IF('SSP - DoD SPRS &amp; FAR and Above'!I166&lt;&gt;"",'SSP - DoD SPRS &amp; FAR and Above'!I166,'SSP - DoD SPRS &amp; FAR and Above'!J166))</f>
        <v/>
      </c>
      <c r="B157" s="567" t="inlineStr">
        <is>
          <t>ISO/CISO</t>
        </is>
      </c>
      <c r="C157" s="568" t="inlineStr">
        <is>
          <t>Funded</t>
        </is>
      </c>
      <c r="D157" s="567" t="inlineStr">
        <is>
          <t>Provide firewall/VPN configs (deny-all, allow-by-exception), diagrams with zones/VLANs, split-tunneling disabled in GP profiles, TLS/IPSec FIPS settings, Key Vault/HSM procedures, VoIP encryption configs and logs.</t>
        </is>
      </c>
      <c r="E157" s="585" t="inlineStr">
        <is>
          <t>Estimate - 90 days to remediate
Policies and SSP available; attach configs/logs/records as noted</t>
        </is>
      </c>
      <c r="F157" s="574" t="n"/>
      <c r="G157" s="40" t="n"/>
      <c r="H157" s="40" t="n"/>
      <c r="I157" s="40" t="n"/>
      <c r="J157" s="40" t="n"/>
    </row>
    <row r="158" ht="56.1" customHeight="1" s="566">
      <c r="A158" s="583">
        <f t="array" ref="A158">IF('SSP - DoD SPRS &amp; FAR and Above'!M159&lt;&gt;"Fully Addressed",'SSP - DoD SPRS &amp; FAR and Above'!E159&amp;" - "&amp;IF('SSP - DoD SPRS &amp; FAR and Above'!I159&lt;&gt;"",'SSP - DoD SPRS &amp; FAR and Above'!I159,'SSP - DoD SPRS &amp; FAR and Above'!J159))</f>
        <v/>
      </c>
      <c r="B158" s="567" t="inlineStr">
        <is>
          <t>ISO/CISO</t>
        </is>
      </c>
      <c r="C158" s="568" t="inlineStr">
        <is>
          <t>Funded</t>
        </is>
      </c>
      <c r="D158" s="567" t="inlineStr">
        <is>
          <t>Provide firewall/VPN configs (deny-all, allow-by-exception), diagrams with zones/VLANs, split-tunneling disabled in GP profiles, TLS/IPSec FIPS settings, Key Vault/HSM procedures, VoIP encryption configs and logs.</t>
        </is>
      </c>
      <c r="E158" s="585" t="inlineStr">
        <is>
          <t>Estimate - 90 days to remediate
Policies and SSP available; attach configs/logs/records as noted</t>
        </is>
      </c>
      <c r="F158" s="574" t="n"/>
      <c r="G158" s="40" t="n"/>
      <c r="H158" s="40" t="n"/>
      <c r="I158" s="40" t="n"/>
      <c r="J158" s="40" t="n"/>
    </row>
    <row r="159" ht="56.1" customHeight="1" s="566">
      <c r="A159" s="583">
        <f t="array" ref="A159">IF('SSP - DoD SPRS &amp; FAR and Above'!M281&lt;&gt;"Fully Addressed",'SSP - DoD SPRS &amp; FAR and Above'!E281&amp;" - "&amp;IF('SSP - DoD SPRS &amp; FAR and Above'!I281&lt;&gt;"",'SSP - DoD SPRS &amp; FAR and Above'!I281,'SSP - DoD SPRS &amp; FAR and Above'!J281))</f>
        <v/>
      </c>
      <c r="B159" s="567" t="inlineStr">
        <is>
          <t>ISO/CISO</t>
        </is>
      </c>
      <c r="C159" s="568" t="inlineStr">
        <is>
          <t>Funded</t>
        </is>
      </c>
      <c r="D159" s="567" t="inlineStr">
        <is>
          <t>Provide firewall/VPN configs (deny-all, allow-by-exception), diagrams with zones/VLANs, split-tunneling disabled in GP profiles, TLS/IPSec FIPS settings, Key Vault/HSM procedures, VoIP encryption configs and logs.</t>
        </is>
      </c>
      <c r="E159" s="585" t="inlineStr">
        <is>
          <t>Estimate - 90 days to remediate
Policies and SSP available; attach configs/logs/records as noted</t>
        </is>
      </c>
      <c r="F159" s="574" t="n"/>
      <c r="G159" s="40" t="n"/>
      <c r="H159" s="40" t="n"/>
      <c r="I159" s="40" t="n"/>
      <c r="J159" s="40" t="n"/>
    </row>
    <row r="160" ht="56.1" customHeight="1" s="566">
      <c r="A160" s="583">
        <f t="array" ref="A160">IF('SSP - DoD SPRS &amp; FAR and Above'!M282&lt;&gt;"Fully Addressed",'SSP - DoD SPRS &amp; FAR and Above'!E282&amp;" - "&amp;IF('SSP - DoD SPRS &amp; FAR and Above'!I282&lt;&gt;"",'SSP - DoD SPRS &amp; FAR and Above'!I282,'SSP - DoD SPRS &amp; FAR and Above'!J282))</f>
        <v/>
      </c>
      <c r="B160" s="567" t="inlineStr">
        <is>
          <t>ISO/CISO</t>
        </is>
      </c>
      <c r="C160" s="568" t="inlineStr">
        <is>
          <t>Funded</t>
        </is>
      </c>
      <c r="D160" s="567" t="inlineStr">
        <is>
          <t>Provide firewall/VPN configs (deny-all, allow-by-exception), diagrams with zones/VLANs, split-tunneling disabled in GP profiles, TLS/IPSec FIPS settings, Key Vault/HSM procedures, VoIP encryption configs and logs.</t>
        </is>
      </c>
      <c r="E160" s="585" t="inlineStr">
        <is>
          <t>Estimate - 90 days to remediate
Policies and SSP available; attach configs/logs/records as noted</t>
        </is>
      </c>
      <c r="F160" s="574" t="n"/>
      <c r="G160" s="40" t="n"/>
      <c r="H160" s="40" t="n"/>
      <c r="I160" s="40" t="n"/>
      <c r="J160" s="40" t="n"/>
    </row>
    <row r="161" ht="56.1" customHeight="1" s="566">
      <c r="A161" s="583">
        <f t="array" ref="A161">IF('SSP - DoD SPRS &amp; FAR and Above'!M283&lt;&gt;"Fully Addressed",'SSP - DoD SPRS &amp; FAR and Above'!E283&amp;" - "&amp;IF('SSP - DoD SPRS &amp; FAR and Above'!I283&lt;&gt;"",'SSP - DoD SPRS &amp; FAR and Above'!I283,'SSP - DoD SPRS &amp; FAR and Above'!J283))</f>
        <v/>
      </c>
      <c r="B161" s="567" t="inlineStr">
        <is>
          <t>ISO/CISO</t>
        </is>
      </c>
      <c r="C161" s="568" t="inlineStr">
        <is>
          <t>Funded</t>
        </is>
      </c>
      <c r="D161" s="567" t="inlineStr">
        <is>
          <t>Provide firewall/VPN configs (deny-all, allow-by-exception), diagrams with zones/VLANs, split-tunneling disabled in GP profiles, TLS/IPSec FIPS settings, Key Vault/HSM procedures, VoIP encryption configs and logs.</t>
        </is>
      </c>
      <c r="E161" s="585" t="inlineStr">
        <is>
          <t>Estimate - 90 days to remediate
Policies and SSP available; attach configs/logs/records as noted</t>
        </is>
      </c>
      <c r="F161" s="574" t="n"/>
      <c r="G161" s="40" t="n"/>
      <c r="H161" s="40" t="n"/>
      <c r="I161" s="40" t="n"/>
      <c r="J161" s="40" t="n"/>
    </row>
    <row r="162" ht="56.1" customHeight="1" s="566">
      <c r="A162" s="583">
        <f t="array" ref="A162">IF('SSP - DoD SPRS &amp; FAR and Above'!M284&lt;&gt;"Fully Addressed",'SSP - DoD SPRS &amp; FAR and Above'!E284&amp;" - "&amp;IF('SSP - DoD SPRS &amp; FAR and Above'!I284&lt;&gt;"",'SSP - DoD SPRS &amp; FAR and Above'!I284,'SSP - DoD SPRS &amp; FAR and Above'!J284))</f>
        <v/>
      </c>
      <c r="B162" s="567" t="inlineStr">
        <is>
          <t>ISO/CISO</t>
        </is>
      </c>
      <c r="C162" s="568" t="inlineStr">
        <is>
          <t>Funded</t>
        </is>
      </c>
      <c r="D162" s="567" t="inlineStr">
        <is>
          <t>Provide firewall/VPN configs (deny-all, allow-by-exception), diagrams with zones/VLANs, split-tunneling disabled in GP profiles, TLS/IPSec FIPS settings, Key Vault/HSM procedures, VoIP encryption configs and logs.</t>
        </is>
      </c>
      <c r="E162" s="585" t="inlineStr">
        <is>
          <t>Estimate - 90 days to remediate
Policies and SSP available; attach configs/logs/records as noted</t>
        </is>
      </c>
      <c r="F162" s="574" t="n"/>
      <c r="G162" s="40" t="n"/>
      <c r="H162" s="40" t="n"/>
      <c r="I162" s="40" t="n"/>
      <c r="J162" s="40" t="n"/>
    </row>
    <row r="163" ht="56.1" customHeight="1" s="566">
      <c r="A163" s="583">
        <f t="array" ref="A163">IF('SSP - DoD SPRS &amp; FAR and Above'!M393&lt;&gt;"Fully Addressed",'SSP - DoD SPRS &amp; FAR and Above'!E393&amp;" - "&amp;IF('SSP - DoD SPRS &amp; FAR and Above'!I393&lt;&gt;"",'SSP - DoD SPRS &amp; FAR and Above'!I393,'SSP - DoD SPRS &amp; FAR and Above'!J393))</f>
        <v/>
      </c>
      <c r="B163" s="567" t="inlineStr">
        <is>
          <t>ISO/CISO</t>
        </is>
      </c>
      <c r="C163" s="568" t="inlineStr">
        <is>
          <t>Funded</t>
        </is>
      </c>
      <c r="D163" s="567" t="inlineStr">
        <is>
          <t>Provide firewall/VPN configs (deny-all, allow-by-exception), diagrams with zones/VLANs, split-tunneling disabled in GP profiles, TLS/IPSec FIPS settings, Key Vault/HSM procedures, VoIP encryption configs and logs.</t>
        </is>
      </c>
      <c r="E163" s="585" t="inlineStr">
        <is>
          <t>Estimate - 90 days to remediate
Policies and SSP available; attach configs/logs/records as noted</t>
        </is>
      </c>
      <c r="F163" s="574" t="n"/>
      <c r="G163" s="40" t="n"/>
      <c r="H163" s="40" t="n"/>
      <c r="I163" s="40" t="n"/>
      <c r="J163" s="40" t="n"/>
    </row>
    <row r="164" ht="56.1" customHeight="1" s="566">
      <c r="A164" s="583">
        <f t="array" ref="A164">IF('SSP - DoD SPRS &amp; FAR and Above'!M394&lt;&gt;"Fully Addressed",'SSP - DoD SPRS &amp; FAR and Above'!E394&amp;" - "&amp;IF('SSP - DoD SPRS &amp; FAR and Above'!I394&lt;&gt;"",'SSP - DoD SPRS &amp; FAR and Above'!I394,'SSP - DoD SPRS &amp; FAR and Above'!J394))</f>
        <v/>
      </c>
      <c r="B164" s="567" t="inlineStr">
        <is>
          <t>ISO/CISO</t>
        </is>
      </c>
      <c r="C164" s="568" t="inlineStr">
        <is>
          <t>Funded</t>
        </is>
      </c>
      <c r="D164" s="567" t="inlineStr">
        <is>
          <t>Provide firewall/VPN configs (deny-all, allow-by-exception), diagrams with zones/VLANs, split-tunneling disabled in GP profiles, TLS/IPSec FIPS settings, Key Vault/HSM procedures, VoIP encryption configs and logs.</t>
        </is>
      </c>
      <c r="E164" s="585" t="inlineStr">
        <is>
          <t>Estimate - 90 days to remediate
Policies and SSP available; attach configs/logs/records as noted</t>
        </is>
      </c>
      <c r="F164" s="574" t="n"/>
      <c r="G164" s="40" t="n"/>
      <c r="H164" s="40" t="n"/>
      <c r="I164" s="40" t="n"/>
      <c r="J164" s="40" t="n"/>
    </row>
    <row r="165" ht="56.1" customHeight="1" s="566">
      <c r="A165" s="583">
        <f t="array" ref="A165">IF('SSP - DoD SPRS &amp; FAR and Above'!M395&lt;&gt;"Fully Addressed",'SSP - DoD SPRS &amp; FAR and Above'!E395&amp;" - "&amp;IF('SSP - DoD SPRS &amp; FAR and Above'!I395&lt;&gt;"",'SSP - DoD SPRS &amp; FAR and Above'!I395,'SSP - DoD SPRS &amp; FAR and Above'!J395))</f>
        <v/>
      </c>
      <c r="B165" s="567" t="inlineStr">
        <is>
          <t>ISO/CISO</t>
        </is>
      </c>
      <c r="C165" s="568" t="inlineStr">
        <is>
          <t>Funded</t>
        </is>
      </c>
      <c r="D165" s="567" t="inlineStr">
        <is>
          <t>Provide firewall/VPN configs (deny-all, allow-by-exception), diagrams with zones/VLANs, split-tunneling disabled in GP profiles, TLS/IPSec FIPS settings, Key Vault/HSM procedures, VoIP encryption configs and logs.</t>
        </is>
      </c>
      <c r="E165" s="585" t="inlineStr">
        <is>
          <t>Estimate - 90 days to remediate
Policies and SSP available; attach configs/logs/records as noted</t>
        </is>
      </c>
      <c r="F165" s="574" t="n"/>
      <c r="G165" s="40" t="n"/>
      <c r="H165" s="40" t="n"/>
      <c r="I165" s="40" t="n"/>
      <c r="J165" s="40" t="n"/>
    </row>
    <row r="166" ht="56.1" customHeight="1" s="566">
      <c r="A166" s="583">
        <f t="array" ref="A166">IF('SSP - DoD SPRS &amp; FAR and Above'!M396&lt;&gt;"Fully Addressed",'SSP - DoD SPRS &amp; FAR and Above'!E396&amp;" - "&amp;IF('SSP - DoD SPRS &amp; FAR and Above'!I396&lt;&gt;"",'SSP - DoD SPRS &amp; FAR and Above'!I396,'SSP - DoD SPRS &amp; FAR and Above'!J396))</f>
        <v/>
      </c>
      <c r="B166" s="567" t="inlineStr">
        <is>
          <t>ISO/CISO</t>
        </is>
      </c>
      <c r="C166" s="568" t="inlineStr">
        <is>
          <t>Funded</t>
        </is>
      </c>
      <c r="D166" s="567" t="inlineStr">
        <is>
          <t>Provide firewall/VPN configs (deny-all, allow-by-exception), diagrams with zones/VLANs, split-tunneling disabled in GP profiles, TLS/IPSec FIPS settings, Key Vault/HSM procedures, VoIP encryption configs and logs.</t>
        </is>
      </c>
      <c r="E166" s="585" t="inlineStr">
        <is>
          <t>Estimate - 90 days to remediate
Policies and SSP available; attach configs/logs/records as noted</t>
        </is>
      </c>
      <c r="F166" s="574" t="n"/>
      <c r="G166" s="40" t="n"/>
      <c r="H166" s="40" t="n"/>
      <c r="I166" s="40" t="n"/>
      <c r="J166" s="40" t="n"/>
    </row>
    <row r="167" ht="56.1" customHeight="1" s="566">
      <c r="A167" s="583">
        <f t="array" ref="A167">IF('SSP - DoD SPRS &amp; FAR and Above'!M397&lt;&gt;"Fully Addressed",'SSP - DoD SPRS &amp; FAR and Above'!E397&amp;" - "&amp;IF('SSP - DoD SPRS &amp; FAR and Above'!I397&lt;&gt;"",'SSP - DoD SPRS &amp; FAR and Above'!I397,'SSP - DoD SPRS &amp; FAR and Above'!J397))</f>
        <v/>
      </c>
      <c r="B167" s="567" t="inlineStr">
        <is>
          <t>ISO/CISO</t>
        </is>
      </c>
      <c r="C167" s="568" t="inlineStr">
        <is>
          <t>Funded</t>
        </is>
      </c>
      <c r="D167" s="567" t="inlineStr">
        <is>
          <t>Provide firewall/VPN configs (deny-all, allow-by-exception), diagrams with zones/VLANs, split-tunneling disabled in GP profiles, TLS/IPSec FIPS settings, Key Vault/HSM procedures, VoIP encryption configs and logs.</t>
        </is>
      </c>
      <c r="E167" s="585" t="inlineStr">
        <is>
          <t>Estimate - 90 days to remediate
Policies and SSP available; attach configs/logs/records as noted</t>
        </is>
      </c>
      <c r="F167" s="574" t="n"/>
      <c r="G167" s="40" t="n"/>
      <c r="H167" s="40" t="n"/>
      <c r="I167" s="40" t="n"/>
      <c r="J167" s="40" t="n"/>
    </row>
    <row r="168" ht="56.1" customHeight="1" s="566">
      <c r="A168" s="583">
        <f t="array" ref="A168">IF('SSP - DoD SPRS &amp; FAR and Above'!M398&lt;&gt;"Fully Addressed",'SSP - DoD SPRS &amp; FAR and Above'!E398&amp;" - "&amp;IF('SSP - DoD SPRS &amp; FAR and Above'!I398&lt;&gt;"",'SSP - DoD SPRS &amp; FAR and Above'!I398,'SSP - DoD SPRS &amp; FAR and Above'!J398))</f>
        <v/>
      </c>
      <c r="B168" s="567" t="inlineStr">
        <is>
          <t>ISO/CISO</t>
        </is>
      </c>
      <c r="C168" s="568" t="inlineStr">
        <is>
          <t>Funded</t>
        </is>
      </c>
      <c r="D168" s="567" t="inlineStr">
        <is>
          <t>Provide firewall/VPN configs (deny-all, allow-by-exception), diagrams with zones/VLANs, split-tunneling disabled in GP profiles, TLS/IPSec FIPS settings, Key Vault/HSM procedures, VoIP encryption configs and logs.</t>
        </is>
      </c>
      <c r="E168" s="585" t="inlineStr">
        <is>
          <t>Estimate - 90 days to remediate
Policies and SSP available; attach configs/logs/records as noted</t>
        </is>
      </c>
      <c r="F168" s="574" t="n"/>
      <c r="G168" s="40" t="n"/>
      <c r="H168" s="40" t="n"/>
      <c r="I168" s="40" t="n"/>
      <c r="J168" s="40" t="n"/>
    </row>
    <row r="169" ht="56.1" customHeight="1" s="566">
      <c r="A169" s="583">
        <f t="array" ref="A169">IF('SSP - DoD SPRS &amp; FAR and Above'!M184&lt;&gt;"Fully Addressed",'SSP - DoD SPRS &amp; FAR and Above'!E184&amp;" - "&amp;IF('SSP - DoD SPRS &amp; FAR and Above'!I184&lt;&gt;"",'SSP - DoD SPRS &amp; FAR and Above'!I184,'SSP - DoD SPRS &amp; FAR and Above'!J184))</f>
        <v/>
      </c>
      <c r="B169" s="567" t="inlineStr">
        <is>
          <t>ISO/CISO</t>
        </is>
      </c>
      <c r="C169" s="568" t="inlineStr">
        <is>
          <t>Funded</t>
        </is>
      </c>
      <c r="D169" s="567" t="inlineStr">
        <is>
          <t>Export Entra Conditional Access &amp; PIM/PAM approvals; provide VPN/VDI/firewall configs enforcing managed access points and FIPS-validated crypto; wireless WPA-Enterprise configs; GPO/MDM for session lock/termination.</t>
        </is>
      </c>
      <c r="E169" s="584" t="inlineStr">
        <is>
          <t>Estimate - 60 days to remediate
Policies and SSP available; attach configs/logs/records as noted</t>
        </is>
      </c>
      <c r="F169" s="574" t="n"/>
      <c r="G169" s="40" t="n"/>
      <c r="H169" s="40" t="n"/>
      <c r="I169" s="40" t="n"/>
      <c r="J169" s="40" t="n"/>
    </row>
    <row r="170" ht="56.1" customHeight="1" s="566">
      <c r="A170" s="583">
        <f t="array" ref="A170">IF('SSP - DoD SPRS &amp; FAR and Above'!M357&lt;&gt;"Fully Addressed",'SSP - DoD SPRS &amp; FAR and Above'!E357&amp;" - "&amp;IF('SSP - DoD SPRS &amp; FAR and Above'!I357&lt;&gt;"",'SSP - DoD SPRS &amp; FAR and Above'!I357,'SSP - DoD SPRS &amp; FAR and Above'!J357))</f>
        <v/>
      </c>
      <c r="B170" s="567" t="inlineStr">
        <is>
          <t>ISO/CISO</t>
        </is>
      </c>
      <c r="C170" s="568" t="inlineStr">
        <is>
          <t>Funded</t>
        </is>
      </c>
      <c r="D170" s="567" t="inlineStr">
        <is>
          <t>Provide firewall/VPN configs (deny-all, allow-by-exception), diagrams with zones/VLANs, split-tunneling disabled in GP profiles, TLS/IPSec FIPS settings, Key Vault/HSM procedures, VoIP encryption configs and logs.</t>
        </is>
      </c>
      <c r="E170" s="585" t="inlineStr">
        <is>
          <t>Estimate - 90 days to remediate
Policies and SSP available; attach configs/logs/records as noted</t>
        </is>
      </c>
      <c r="F170" s="574" t="n"/>
      <c r="G170" s="40" t="n"/>
      <c r="H170" s="40" t="n"/>
      <c r="I170" s="40" t="n"/>
      <c r="J170" s="40" t="n"/>
    </row>
    <row r="171" ht="56.1" customHeight="1" s="566">
      <c r="A171" s="583">
        <f t="array" ref="A171">IF('SSP - DoD SPRS &amp; FAR and Above'!M152&lt;&gt;"Fully Addressed",'SSP - DoD SPRS &amp; FAR and Above'!E152&amp;" - "&amp;IF('SSP - DoD SPRS &amp; FAR and Above'!I152&lt;&gt;"",'SSP - DoD SPRS &amp; FAR and Above'!I152,'SSP - DoD SPRS &amp; FAR and Above'!J152))</f>
        <v/>
      </c>
      <c r="B171" s="567" t="inlineStr">
        <is>
          <t>ISO/CISO</t>
        </is>
      </c>
      <c r="C171" s="568" t="inlineStr">
        <is>
          <t>Funded</t>
        </is>
      </c>
      <c r="D171" s="567" t="inlineStr">
        <is>
          <t>Provide firewall/VPN configs (deny-all, allow-by-exception), diagrams with zones/VLANs, split-tunneling disabled in GP profiles, TLS/IPSec FIPS settings, Key Vault/HSM procedures, VoIP encryption configs and logs.</t>
        </is>
      </c>
      <c r="E171" s="585" t="inlineStr">
        <is>
          <t>Estimate - 90 days to remediate
Policies and SSP available; attach configs/logs/records as noted</t>
        </is>
      </c>
      <c r="F171" s="574" t="n"/>
      <c r="G171" s="40" t="n"/>
      <c r="H171" s="40" t="n"/>
      <c r="I171" s="40" t="n"/>
      <c r="J171" s="40" t="n"/>
    </row>
    <row r="172" ht="56.1" customHeight="1" s="566">
      <c r="A172" s="583">
        <f t="array" ref="A172">IF('SSP - DoD SPRS &amp; FAR and Above'!M153&lt;&gt;"Fully Addressed",'SSP - DoD SPRS &amp; FAR and Above'!E153&amp;" - "&amp;IF('SSP - DoD SPRS &amp; FAR and Above'!I153&lt;&gt;"",'SSP - DoD SPRS &amp; FAR and Above'!I153,'SSP - DoD SPRS &amp; FAR and Above'!J153))</f>
        <v/>
      </c>
      <c r="B172" s="567" t="inlineStr">
        <is>
          <t>ISO/CISO</t>
        </is>
      </c>
      <c r="C172" s="568" t="inlineStr">
        <is>
          <t>Funded</t>
        </is>
      </c>
      <c r="D172" s="567" t="inlineStr">
        <is>
          <t>Provide firewall/VPN configs (deny-all, allow-by-exception), diagrams with zones/VLANs, split-tunneling disabled in GP profiles, TLS/IPSec FIPS settings, Key Vault/HSM procedures, VoIP encryption configs and logs.</t>
        </is>
      </c>
      <c r="E172" s="585" t="inlineStr">
        <is>
          <t>Estimate - 90 days to remediate
Policies and SSP available; attach configs/logs/records as noted</t>
        </is>
      </c>
      <c r="F172" s="574" t="n"/>
      <c r="G172" s="40" t="n"/>
      <c r="H172" s="40" t="n"/>
      <c r="I172" s="40" t="n"/>
      <c r="J172" s="40" t="n"/>
    </row>
    <row r="173" ht="56.1" customHeight="1" s="566">
      <c r="A173" s="583">
        <f t="array" ref="A173">IF('SSP - DoD SPRS &amp; FAR and Above'!M154&lt;&gt;"Fully Addressed",'SSP - DoD SPRS &amp; FAR and Above'!E154&amp;" - "&amp;IF('SSP - DoD SPRS &amp; FAR and Above'!I154&lt;&gt;"",'SSP - DoD SPRS &amp; FAR and Above'!I154,'SSP - DoD SPRS &amp; FAR and Above'!J154))</f>
        <v/>
      </c>
      <c r="B173" s="567" t="inlineStr">
        <is>
          <t>ISO/CISO</t>
        </is>
      </c>
      <c r="C173" s="568" t="inlineStr">
        <is>
          <t>Funded</t>
        </is>
      </c>
      <c r="D173" s="567" t="inlineStr">
        <is>
          <t>Provide firewall/VPN configs (deny-all, allow-by-exception), diagrams with zones/VLANs, split-tunneling disabled in GP profiles, TLS/IPSec FIPS settings, Key Vault/HSM procedures, VoIP encryption configs and logs.</t>
        </is>
      </c>
      <c r="E173" s="585" t="inlineStr">
        <is>
          <t>Estimate - 90 days to remediate
Policies and SSP available; attach configs/logs/records as noted</t>
        </is>
      </c>
      <c r="F173" s="574" t="n"/>
      <c r="G173" s="40" t="n"/>
      <c r="H173" s="40" t="n"/>
      <c r="I173" s="40" t="n"/>
      <c r="J173" s="40" t="n"/>
    </row>
    <row r="174" ht="56.1" customHeight="1" s="566">
      <c r="A174" s="583">
        <f t="array" ref="A174">IF('SSP - DoD SPRS &amp; FAR and Above'!M155&lt;&gt;"Fully Addressed",'SSP - DoD SPRS &amp; FAR and Above'!E155&amp;" - "&amp;IF('SSP - DoD SPRS &amp; FAR and Above'!I155&lt;&gt;"",'SSP - DoD SPRS &amp; FAR and Above'!I155,'SSP - DoD SPRS &amp; FAR and Above'!J155))</f>
        <v/>
      </c>
      <c r="B174" s="567" t="inlineStr">
        <is>
          <t>ISO/CISO</t>
        </is>
      </c>
      <c r="C174" s="568" t="inlineStr">
        <is>
          <t>Funded</t>
        </is>
      </c>
      <c r="D174" s="567" t="inlineStr">
        <is>
          <t>Provide firewall/VPN configs (deny-all, allow-by-exception), diagrams with zones/VLANs, split-tunneling disabled in GP profiles, TLS/IPSec FIPS settings, Key Vault/HSM procedures, VoIP encryption configs and logs.</t>
        </is>
      </c>
      <c r="E174" s="585" t="inlineStr">
        <is>
          <t>Estimate - 90 days to remediate
Policies and SSP available; attach configs/logs/records as noted</t>
        </is>
      </c>
      <c r="F174" s="574" t="n"/>
      <c r="G174" s="40" t="n"/>
      <c r="H174" s="40" t="n"/>
      <c r="I174" s="40" t="n"/>
      <c r="J174" s="40" t="n"/>
    </row>
    <row r="175" ht="56.1" customHeight="1" s="566">
      <c r="A175" s="583">
        <f t="array" ref="A175">IF('SSP - DoD SPRS &amp; FAR and Above'!M156&lt;&gt;"Fully Addressed",'SSP - DoD SPRS &amp; FAR and Above'!E156&amp;" - "&amp;IF('SSP - DoD SPRS &amp; FAR and Above'!I156&lt;&gt;"",'SSP - DoD SPRS &amp; FAR and Above'!I156,'SSP - DoD SPRS &amp; FAR and Above'!J156))</f>
        <v/>
      </c>
      <c r="B175" s="567" t="inlineStr">
        <is>
          <t>ISO/CISO</t>
        </is>
      </c>
      <c r="C175" s="568" t="inlineStr">
        <is>
          <t>Funded</t>
        </is>
      </c>
      <c r="D175" s="567" t="inlineStr">
        <is>
          <t>Provide firewall/VPN configs (deny-all, allow-by-exception), diagrams with zones/VLANs, split-tunneling disabled in GP profiles, TLS/IPSec FIPS settings, Key Vault/HSM procedures, VoIP encryption configs and logs.</t>
        </is>
      </c>
      <c r="E175" s="585" t="inlineStr">
        <is>
          <t>Estimate - 90 days to remediate
Policies and SSP available; attach configs/logs/records as noted</t>
        </is>
      </c>
      <c r="F175" s="574" t="n"/>
      <c r="G175" s="40" t="n"/>
      <c r="H175" s="40" t="n"/>
      <c r="I175" s="40" t="n"/>
      <c r="J175" s="40" t="n"/>
    </row>
    <row r="176" ht="56.1" customHeight="1" s="566">
      <c r="A176" s="583">
        <f t="array" ref="A176">IF('SSP - DoD SPRS &amp; FAR and Above'!M157&lt;&gt;"Fully Addressed",'SSP - DoD SPRS &amp; FAR and Above'!E157&amp;" - "&amp;IF('SSP - DoD SPRS &amp; FAR and Above'!I157&lt;&gt;"",'SSP - DoD SPRS &amp; FAR and Above'!I157,'SSP - DoD SPRS &amp; FAR and Above'!J157))</f>
        <v/>
      </c>
      <c r="B176" s="567" t="inlineStr">
        <is>
          <t>ISO/CISO</t>
        </is>
      </c>
      <c r="C176" s="568" t="inlineStr">
        <is>
          <t>Funded</t>
        </is>
      </c>
      <c r="D176" s="567" t="inlineStr">
        <is>
          <t>Provide firewall/VPN configs (deny-all, allow-by-exception), diagrams with zones/VLANs, split-tunneling disabled in GP profiles, TLS/IPSec FIPS settings, Key Vault/HSM procedures, VoIP encryption configs and logs.</t>
        </is>
      </c>
      <c r="E176" s="585" t="inlineStr">
        <is>
          <t>Estimate - 90 days to remediate
Policies and SSP available; attach configs/logs/records as noted</t>
        </is>
      </c>
      <c r="F176" s="574" t="n"/>
      <c r="G176" s="40" t="n"/>
      <c r="H176" s="40" t="n"/>
      <c r="I176" s="40" t="n"/>
      <c r="J176" s="40" t="n"/>
    </row>
    <row r="177" ht="56.1" customHeight="1" s="566">
      <c r="A177" s="583">
        <f t="array" ref="A177">IF('SSP - DoD SPRS &amp; FAR and Above'!M158&lt;&gt;"Fully Addressed",'SSP - DoD SPRS &amp; FAR and Above'!E158&amp;" - "&amp;IF('SSP - DoD SPRS &amp; FAR and Above'!I158&lt;&gt;"",'SSP - DoD SPRS &amp; FAR and Above'!I158,'SSP - DoD SPRS &amp; FAR and Above'!J158))</f>
        <v/>
      </c>
      <c r="B177" s="567" t="inlineStr">
        <is>
          <t>ISO/CISO</t>
        </is>
      </c>
      <c r="C177" s="568" t="inlineStr">
        <is>
          <t>Funded</t>
        </is>
      </c>
      <c r="D177" s="567" t="inlineStr">
        <is>
          <t>Provide firewall/VPN configs (deny-all, allow-by-exception), diagrams with zones/VLANs, split-tunneling disabled in GP profiles, TLS/IPSec FIPS settings, Key Vault/HSM procedures, VoIP encryption configs and logs.</t>
        </is>
      </c>
      <c r="E177" s="585" t="inlineStr">
        <is>
          <t>Estimate - 90 days to remediate
Policies and SSP available; attach configs/logs/records as noted</t>
        </is>
      </c>
      <c r="F177" s="574" t="n"/>
      <c r="G177" s="40" t="n"/>
      <c r="H177" s="40" t="n"/>
      <c r="I177" s="40" t="n"/>
      <c r="J177" s="40" t="n"/>
    </row>
    <row r="178" ht="56.1" customHeight="1" s="566">
      <c r="A178" s="583">
        <f t="array" ref="A178">IF('SSP - DoD SPRS &amp; FAR and Above'!M116&lt;&gt;"Fully Addressed",'SSP - DoD SPRS &amp; FAR and Above'!E116&amp;" - "&amp;IF('SSP - DoD SPRS &amp; FAR and Above'!I116&lt;&gt;"",'SSP - DoD SPRS &amp; FAR and Above'!I116,'SSP - DoD SPRS &amp; FAR and Above'!J116))</f>
        <v/>
      </c>
      <c r="B178" s="567" t="inlineStr">
        <is>
          <t>ISO/CISO</t>
        </is>
      </c>
      <c r="C178" s="568" t="inlineStr">
        <is>
          <t>Funded</t>
        </is>
      </c>
      <c r="D178" s="567" t="inlineStr">
        <is>
          <t>Provide firewall/VPN configs (deny-all, allow-by-exception), diagrams with zones/VLANs, split-tunneling disabled in GP profiles, TLS/IPSec FIPS settings, Key Vault/HSM procedures, VoIP encryption configs and logs.</t>
        </is>
      </c>
      <c r="E178" s="585" t="inlineStr">
        <is>
          <t>Estimate - 90 days to remediate
Policies and SSP available; attach configs/logs/records as noted</t>
        </is>
      </c>
      <c r="F178" s="574" t="n"/>
      <c r="G178" s="40" t="n"/>
      <c r="H178" s="40" t="n"/>
      <c r="I178" s="40" t="n"/>
      <c r="J178" s="40" t="n"/>
    </row>
    <row r="179" ht="56.1" customHeight="1" s="566">
      <c r="A179" s="583">
        <f t="array" ref="A179">IF('SSP - DoD SPRS &amp; FAR and Above'!M117&lt;&gt;"Fully Addressed",'SSP - DoD SPRS &amp; FAR and Above'!E117&amp;" - "&amp;IF('SSP - DoD SPRS &amp; FAR and Above'!I117&lt;&gt;"",'SSP - DoD SPRS &amp; FAR and Above'!I117,'SSP - DoD SPRS &amp; FAR and Above'!J117))</f>
        <v/>
      </c>
      <c r="B179" s="567" t="inlineStr">
        <is>
          <t>ISO/CISO</t>
        </is>
      </c>
      <c r="C179" s="568" t="inlineStr">
        <is>
          <t>Funded</t>
        </is>
      </c>
      <c r="D179" s="567" t="inlineStr">
        <is>
          <t>Provide firewall/VPN configs (deny-all, allow-by-exception), diagrams with zones/VLANs, split-tunneling disabled in GP profiles, TLS/IPSec FIPS settings, Key Vault/HSM procedures, VoIP encryption configs and logs.</t>
        </is>
      </c>
      <c r="E179" s="585" t="inlineStr">
        <is>
          <t>Estimate - 90 days to remediate
Policies and SSP available; attach configs/logs/records as noted</t>
        </is>
      </c>
      <c r="F179" s="574" t="n"/>
      <c r="G179" s="40" t="n"/>
      <c r="H179" s="40" t="n"/>
      <c r="I179" s="40" t="n"/>
      <c r="J179" s="40" t="n"/>
    </row>
    <row r="180" ht="56.1" customHeight="1" s="566">
      <c r="A180" s="583">
        <f t="array" ref="A180">IF('SSP - DoD SPRS &amp; FAR and Above'!M118&lt;&gt;"Fully Addressed",'SSP - DoD SPRS &amp; FAR and Above'!E118&amp;" - "&amp;IF('SSP - DoD SPRS &amp; FAR and Above'!I118&lt;&gt;"",'SSP - DoD SPRS &amp; FAR and Above'!I118,'SSP - DoD SPRS &amp; FAR and Above'!J118))</f>
        <v/>
      </c>
      <c r="B180" s="567" t="inlineStr">
        <is>
          <t>ISO/CISO</t>
        </is>
      </c>
      <c r="C180" s="568" t="inlineStr">
        <is>
          <t>Funded</t>
        </is>
      </c>
      <c r="D180" s="567" t="inlineStr">
        <is>
          <t>Provide firewall/VPN configs (deny-all, allow-by-exception), diagrams with zones/VLANs, split-tunneling disabled in GP profiles, TLS/IPSec FIPS settings, Key Vault/HSM procedures, VoIP encryption configs and logs.</t>
        </is>
      </c>
      <c r="E180" s="585" t="inlineStr">
        <is>
          <t>Estimate - 90 days to remediate
Policies and SSP available; attach configs/logs/records as noted</t>
        </is>
      </c>
      <c r="F180" s="574" t="n"/>
      <c r="G180" s="40" t="n"/>
      <c r="H180" s="40" t="n"/>
      <c r="I180" s="40" t="n"/>
      <c r="J180" s="40" t="n"/>
    </row>
    <row r="181" ht="56.1" customHeight="1" s="566">
      <c r="A181" s="583">
        <f t="array" ref="A181">IF('SSP - DoD SPRS &amp; FAR and Above'!M119&lt;&gt;"Fully Addressed",'SSP - DoD SPRS &amp; FAR and Above'!E119&amp;" - "&amp;IF('SSP - DoD SPRS &amp; FAR and Above'!I119&lt;&gt;"",'SSP - DoD SPRS &amp; FAR and Above'!I119,'SSP - DoD SPRS &amp; FAR and Above'!J119))</f>
        <v/>
      </c>
      <c r="B181" s="567" t="inlineStr">
        <is>
          <t>ISO/CISO</t>
        </is>
      </c>
      <c r="C181" s="568" t="inlineStr">
        <is>
          <t>Funded</t>
        </is>
      </c>
      <c r="D181" s="567" t="inlineStr">
        <is>
          <t>Provide firewall/VPN configs (deny-all, allow-by-exception), diagrams with zones/VLANs, split-tunneling disabled in GP profiles, TLS/IPSec FIPS settings, Key Vault/HSM procedures, VoIP encryption configs and logs.</t>
        </is>
      </c>
      <c r="E181" s="585" t="inlineStr">
        <is>
          <t>Estimate - 90 days to remediate
Policies and SSP available; attach configs/logs/records as noted</t>
        </is>
      </c>
      <c r="F181" s="574" t="n"/>
      <c r="G181" s="40" t="n"/>
      <c r="H181" s="40" t="n"/>
      <c r="I181" s="40" t="n"/>
      <c r="J181" s="40" t="n"/>
    </row>
    <row r="182" ht="56.1" customHeight="1" s="566">
      <c r="A182" s="583">
        <f t="array" ref="A182">IF('SSP - DoD SPRS &amp; FAR and Above'!M285&lt;&gt;"Fully Addressed",'SSP - DoD SPRS &amp; FAR and Above'!E285&amp;" - "&amp;IF('SSP - DoD SPRS &amp; FAR and Above'!I285&lt;&gt;"",'SSP - DoD SPRS &amp; FAR and Above'!I285,'SSP - DoD SPRS &amp; FAR and Above'!J285))</f>
        <v/>
      </c>
      <c r="B182" s="567" t="inlineStr">
        <is>
          <t>ISO/CISO</t>
        </is>
      </c>
      <c r="C182" s="568" t="inlineStr">
        <is>
          <t>Funded</t>
        </is>
      </c>
      <c r="D182" s="567" t="inlineStr">
        <is>
          <t>Provide firewall/VPN configs (deny-all, allow-by-exception), diagrams with zones/VLANs, split-tunneling disabled in GP profiles, TLS/IPSec FIPS settings, Key Vault/HSM procedures, VoIP encryption configs and logs.</t>
        </is>
      </c>
      <c r="E182" s="585" t="inlineStr">
        <is>
          <t>Estimate - 90 days to remediate
Policies and SSP available; attach configs/logs/records as noted</t>
        </is>
      </c>
      <c r="F182" s="574" t="n"/>
      <c r="G182" s="40" t="n"/>
      <c r="H182" s="40" t="n"/>
      <c r="I182" s="40" t="n"/>
      <c r="J182" s="40" t="n"/>
    </row>
    <row r="183" ht="56.1" customHeight="1" s="566">
      <c r="A183" s="583">
        <f t="array" ref="A183">IF('SSP - DoD SPRS &amp; FAR and Above'!M12&lt;&gt;"Fully Addressed",'SSP - DoD SPRS &amp; FAR and Above'!E12&amp;" - "&amp;IF('SSP - DoD SPRS &amp; FAR and Above'!I12&lt;&gt;"",'SSP - DoD SPRS &amp; FAR and Above'!I12,'SSP - DoD SPRS &amp; FAR and Above'!J12))</f>
        <v/>
      </c>
      <c r="B183" s="567" t="inlineStr">
        <is>
          <t>ISO/CISO</t>
        </is>
      </c>
      <c r="C183" s="568" t="inlineStr">
        <is>
          <t>Funded</t>
        </is>
      </c>
      <c r="D183" s="567" t="inlineStr">
        <is>
          <t>Provide firewall/VPN configs (deny-all, allow-by-exception), diagrams with zones/VLANs, split-tunneling disabled in GP profiles, TLS/IPSec FIPS settings, Key Vault/HSM procedures, VoIP encryption configs and logs.</t>
        </is>
      </c>
      <c r="E183" s="585" t="inlineStr">
        <is>
          <t>Estimate - 90 days to remediate
Policies and SSP available; attach configs/logs/records as noted</t>
        </is>
      </c>
      <c r="F183" s="574" t="n"/>
      <c r="G183" s="40" t="n"/>
      <c r="H183" s="40" t="n"/>
      <c r="I183" s="40" t="n"/>
      <c r="J183" s="40" t="n"/>
    </row>
    <row r="184" ht="111.95" customHeight="1" s="566">
      <c r="A184" s="583">
        <f t="array" ref="A184">IF('SSP - DoD SPRS &amp; FAR and Above'!M13&lt;&gt;"Fully Addressed",'SSP - DoD SPRS &amp; FAR and Above'!E13&amp;" - "&amp;IF('SSP - DoD SPRS &amp; FAR and Above'!I13&lt;&gt;"",'SSP - DoD SPRS &amp; FAR and Above'!I13,'SSP - DoD SPRS &amp; FAR and Above'!J13))</f>
        <v/>
      </c>
      <c r="B184" s="567" t="inlineStr">
        <is>
          <t>ISO/CISO</t>
        </is>
      </c>
      <c r="C184" s="568" t="inlineStr">
        <is>
          <t>Funded</t>
        </is>
      </c>
      <c r="D184" s="573" t="inlineStr">
        <is>
          <t xml:space="preserve">a.1. Public-facing component inventory 
(FQDN/IP/service/owner/purpose)
See testing for 3.13.1 for below)
a.2. Network/boundary diagrams labeling public endpoints
a.3. Mapped to endpoints
a.4. Change approvals/tickets 
a.5.  Firewall/NAT/WAF/VPN exposure configuration proof
</t>
        </is>
      </c>
      <c r="E184" s="585" t="inlineStr">
        <is>
          <t>Estimate - 90 days to remediate
Policies and SSP available; attach configs/logs/records as noted</t>
        </is>
      </c>
      <c r="F184" s="574" t="n"/>
      <c r="G184" s="40" t="n"/>
      <c r="H184" s="40" t="n"/>
      <c r="I184" s="40" t="n"/>
      <c r="J184" s="40" t="n"/>
    </row>
    <row r="185" ht="126" customHeight="1" s="566">
      <c r="A185" s="583">
        <f t="array" ref="A185">IF('SSP - DoD SPRS &amp; FAR and Above'!M14&lt;&gt;"Fully Addressed",'SSP - DoD SPRS &amp; FAR and Above'!E14&amp;" - "&amp;IF('SSP - DoD SPRS &amp; FAR and Above'!I14&lt;&gt;"",'SSP - DoD SPRS &amp; FAR and Above'!I14,'SSP - DoD SPRS &amp; FAR and Above'!J14))</f>
        <v/>
      </c>
      <c r="B185" s="567" t="inlineStr">
        <is>
          <t>ISO/CISO</t>
        </is>
      </c>
      <c r="C185" s="568" t="inlineStr">
        <is>
          <t>Funded</t>
        </is>
      </c>
      <c r="D185" s="573" t="inlineStr">
        <is>
          <t>See testing for 3.13.1 for below)
b.1. Segmentation/zone diagram 
(Internet↔Public zone/DMZ↔Internal)
b.2. Subnet/VLAN/VPC definitions and routing tables
b.3. Firewall/SG/NSG rule exports or screenshots proving separation
b.4. Logs showing enforcement (denies/permits)
b.5. Hosted-provider separation evidence if outsourced.
b.6. Test Scripts</t>
        </is>
      </c>
      <c r="E185" s="585" t="inlineStr">
        <is>
          <t>Estimate - 90 days to remediate
Policies and SSP available; attach configs/logs/records as noted</t>
        </is>
      </c>
      <c r="F185" s="574" t="n"/>
      <c r="G185" s="40" t="n"/>
      <c r="H185" s="40" t="n"/>
      <c r="I185" s="40" t="n"/>
      <c r="J185" s="40" t="n"/>
    </row>
    <row r="186" ht="56.1" customHeight="1" s="566">
      <c r="A186" s="583">
        <f t="array" ref="A186">IF('SSP - DoD SPRS &amp; FAR and Above'!M323&lt;&gt;"Fully Addressed",'SSP - DoD SPRS &amp; FAR and Above'!E323&amp;" - "&amp;IF('SSP - DoD SPRS &amp; FAR and Above'!I323&lt;&gt;"",'SSP - DoD SPRS &amp; FAR and Above'!I323,'SSP - DoD SPRS &amp; FAR and Above'!J323))</f>
        <v/>
      </c>
      <c r="B186" s="567" t="inlineStr">
        <is>
          <t>ISO/CISO</t>
        </is>
      </c>
      <c r="C186" s="568" t="inlineStr">
        <is>
          <t>Funded</t>
        </is>
      </c>
      <c r="D186" s="567" t="inlineStr">
        <is>
          <t>Provide firewall/VPN configs (deny-all, allow-by-exception), diagrams with zones/VLANs, split-tunneling disabled in GP profiles, TLS/IPSec FIPS settings, Key Vault/HSM procedures, VoIP encryption configs and logs.</t>
        </is>
      </c>
      <c r="E186" s="585" t="inlineStr">
        <is>
          <t>Estimate - 90 days to remediate
Policies and SSP available; attach configs/logs/records as noted</t>
        </is>
      </c>
      <c r="F186" s="574" t="n"/>
      <c r="G186" s="40" t="n"/>
      <c r="H186" s="40" t="n"/>
      <c r="I186" s="40" t="n"/>
      <c r="J186" s="40" t="n"/>
    </row>
    <row r="187" ht="56.1" customHeight="1" s="566">
      <c r="A187" s="583">
        <f t="array" ref="A187">IF('SSP - DoD SPRS &amp; FAR and Above'!M324&lt;&gt;"Fully Addressed",'SSP - DoD SPRS &amp; FAR and Above'!E324&amp;" - "&amp;IF('SSP - DoD SPRS &amp; FAR and Above'!I324&lt;&gt;"",'SSP - DoD SPRS &amp; FAR and Above'!I324,'SSP - DoD SPRS &amp; FAR and Above'!J324))</f>
        <v/>
      </c>
      <c r="B187" s="567" t="inlineStr">
        <is>
          <t>ISO/CISO</t>
        </is>
      </c>
      <c r="C187" s="568" t="inlineStr">
        <is>
          <t>Funded</t>
        </is>
      </c>
      <c r="D187" s="567" t="inlineStr">
        <is>
          <t>Provide firewall/VPN configs (deny-all, allow-by-exception), diagrams with zones/VLANs, split-tunneling disabled in GP profiles, TLS/IPSec FIPS settings, Key Vault/HSM procedures, VoIP encryption configs and logs.</t>
        </is>
      </c>
      <c r="E187" s="585" t="inlineStr">
        <is>
          <t>Estimate - 90 days to remediate
Policies and SSP available; attach configs/logs/records as noted</t>
        </is>
      </c>
      <c r="F187" s="574" t="n"/>
      <c r="G187" s="40" t="n"/>
      <c r="H187" s="40" t="n"/>
      <c r="I187" s="40" t="n"/>
      <c r="J187" s="40" t="n"/>
    </row>
    <row r="188" ht="56.1" customHeight="1" s="566">
      <c r="A188" s="583">
        <f t="array" ref="A188">IF('SSP - DoD SPRS &amp; FAR and Above'!M325&lt;&gt;"Fully Addressed",'SSP - DoD SPRS &amp; FAR and Above'!E325&amp;" - "&amp;IF('SSP - DoD SPRS &amp; FAR and Above'!I325&lt;&gt;"",'SSP - DoD SPRS &amp; FAR and Above'!I325,'SSP - DoD SPRS &amp; FAR and Above'!J325))</f>
        <v/>
      </c>
      <c r="B188" s="567" t="inlineStr">
        <is>
          <t>ISO/CISO</t>
        </is>
      </c>
      <c r="C188" s="568" t="inlineStr">
        <is>
          <t>Funded</t>
        </is>
      </c>
      <c r="D188" s="567" t="inlineStr">
        <is>
          <t>Provide firewall/VPN configs (deny-all, allow-by-exception), diagrams with zones/VLANs, split-tunneling disabled in GP profiles, TLS/IPSec FIPS settings, Key Vault/HSM procedures, VoIP encryption configs and logs.</t>
        </is>
      </c>
      <c r="E188" s="585" t="inlineStr">
        <is>
          <t>Estimate - 90 days to remediate
Policies and SSP available; attach configs/logs/records as noted</t>
        </is>
      </c>
      <c r="F188" s="574" t="n"/>
      <c r="G188" s="40" t="n"/>
      <c r="H188" s="40" t="n"/>
      <c r="I188" s="40" t="n"/>
      <c r="J188" s="40" t="n"/>
    </row>
    <row r="189" ht="56.1" customHeight="1" s="566">
      <c r="A189" s="583">
        <f t="array" ref="A189">IF('SSP - DoD SPRS &amp; FAR and Above'!M326&lt;&gt;"Fully Addressed",'SSP - DoD SPRS &amp; FAR and Above'!E326&amp;" - "&amp;IF('SSP - DoD SPRS &amp; FAR and Above'!I326&lt;&gt;"",'SSP - DoD SPRS &amp; FAR and Above'!I326,'SSP - DoD SPRS &amp; FAR and Above'!J326))</f>
        <v/>
      </c>
      <c r="B189" s="567" t="inlineStr">
        <is>
          <t>ISO/CISO</t>
        </is>
      </c>
      <c r="C189" s="568" t="inlineStr">
        <is>
          <t>Funded</t>
        </is>
      </c>
      <c r="D189" s="567" t="inlineStr">
        <is>
          <t>Provide firewall/VPN configs (deny-all, allow-by-exception), diagrams with zones/VLANs, split-tunneling disabled in GP profiles, TLS/IPSec FIPS settings, Key Vault/HSM procedures, VoIP encryption configs and logs.</t>
        </is>
      </c>
      <c r="E189" s="585" t="inlineStr">
        <is>
          <t>Estimate - 90 days to remediate
Policies and SSP available; attach configs/logs/records as noted</t>
        </is>
      </c>
      <c r="F189" s="574" t="n"/>
      <c r="G189" s="40" t="n"/>
      <c r="H189" s="40" t="n"/>
      <c r="I189" s="40" t="n"/>
      <c r="J189" s="40" t="n"/>
    </row>
    <row r="190" ht="56.1" customHeight="1" s="566">
      <c r="A190" s="583">
        <f t="array" ref="A190">IF('SSP - DoD SPRS &amp; FAR and Above'!M368&lt;&gt;"Fully Addressed",'SSP - DoD SPRS &amp; FAR and Above'!E368&amp;" - "&amp;IF('SSP - DoD SPRS &amp; FAR and Above'!I368&lt;&gt;"",'SSP - DoD SPRS &amp; FAR and Above'!I368,'SSP - DoD SPRS &amp; FAR and Above'!J368))</f>
        <v/>
      </c>
      <c r="B190" s="567" t="inlineStr">
        <is>
          <t>ISO/CISO</t>
        </is>
      </c>
      <c r="C190" s="568" t="inlineStr">
        <is>
          <t>Funded</t>
        </is>
      </c>
      <c r="D190" s="567" t="inlineStr">
        <is>
          <t>Provide firewall/VPN configs (deny-all, allow-by-exception), diagrams with zones/VLANs, split-tunneling disabled in GP profiles, TLS/IPSec FIPS settings, Key Vault/HSM procedures, VoIP encryption configs and logs.</t>
        </is>
      </c>
      <c r="E190" s="585" t="inlineStr">
        <is>
          <t>Estimate - 90 days to remediate
Policies and SSP available; attach configs/logs/records as noted</t>
        </is>
      </c>
      <c r="F190" s="574" t="n"/>
      <c r="G190" s="40" t="n"/>
      <c r="H190" s="40" t="n"/>
      <c r="I190" s="40" t="n"/>
      <c r="J190" s="40" t="n"/>
    </row>
    <row r="191" ht="56.1" customHeight="1" s="566">
      <c r="A191" s="583">
        <f t="array" ref="A191">IF('SSP - DoD SPRS &amp; FAR and Above'!M369&lt;&gt;"Fully Addressed",'SSP - DoD SPRS &amp; FAR and Above'!E369&amp;" - "&amp;IF('SSP - DoD SPRS &amp; FAR and Above'!I369&lt;&gt;"",'SSP - DoD SPRS &amp; FAR and Above'!I369,'SSP - DoD SPRS &amp; FAR and Above'!J369))</f>
        <v/>
      </c>
      <c r="B191" s="567" t="inlineStr">
        <is>
          <t>ISO/CISO</t>
        </is>
      </c>
      <c r="C191" s="568" t="inlineStr">
        <is>
          <t>Funded</t>
        </is>
      </c>
      <c r="D191" s="567" t="inlineStr">
        <is>
          <t>Provide firewall/VPN configs (deny-all, allow-by-exception), diagrams with zones/VLANs, split-tunneling disabled in GP profiles, TLS/IPSec FIPS settings, Key Vault/HSM procedures, VoIP encryption configs and logs.</t>
        </is>
      </c>
      <c r="E191" s="585" t="inlineStr">
        <is>
          <t>Estimate - 90 days to remediate
Policies and SSP available; attach configs/logs/records as noted</t>
        </is>
      </c>
      <c r="F191" s="574" t="n"/>
      <c r="G191" s="40" t="n"/>
      <c r="H191" s="40" t="n"/>
      <c r="I191" s="40" t="n"/>
      <c r="J191" s="40" t="n"/>
    </row>
    <row r="192" ht="56.1" customHeight="1" s="566">
      <c r="A192" s="583">
        <f t="array" ref="A192">IF('SSP - DoD SPRS &amp; FAR and Above'!M370&lt;&gt;"Fully Addressed",'SSP - DoD SPRS &amp; FAR and Above'!E370&amp;" - "&amp;IF('SSP - DoD SPRS &amp; FAR and Above'!I370&lt;&gt;"",'SSP - DoD SPRS &amp; FAR and Above'!I370,'SSP - DoD SPRS &amp; FAR and Above'!J370))</f>
        <v/>
      </c>
      <c r="B192" s="567" t="inlineStr">
        <is>
          <t>ISO/CISO</t>
        </is>
      </c>
      <c r="C192" s="568" t="inlineStr">
        <is>
          <t>Funded</t>
        </is>
      </c>
      <c r="D192" s="567" t="inlineStr">
        <is>
          <t>Provide firewall/VPN configs (deny-all, allow-by-exception), diagrams with zones/VLANs, split-tunneling disabled in GP profiles, TLS/IPSec FIPS settings, Key Vault/HSM procedures, VoIP encryption configs and logs.</t>
        </is>
      </c>
      <c r="E192" s="585" t="inlineStr">
        <is>
          <t>Estimate - 90 days to remediate
Policies and SSP available; attach configs/logs/records as noted</t>
        </is>
      </c>
      <c r="F192" s="574" t="n"/>
      <c r="G192" s="40" t="n"/>
      <c r="H192" s="40" t="n"/>
      <c r="I192" s="40" t="n"/>
      <c r="J192" s="40" t="n"/>
    </row>
    <row r="193" ht="56.1" customHeight="1" s="566">
      <c r="A193" s="583">
        <f t="array" ref="A193">IF('SSP - DoD SPRS &amp; FAR and Above'!M371&lt;&gt;"Fully Addressed",'SSP - DoD SPRS &amp; FAR and Above'!E371&amp;" - "&amp;IF('SSP - DoD SPRS &amp; FAR and Above'!I371&lt;&gt;"",'SSP - DoD SPRS &amp; FAR and Above'!I371,'SSP - DoD SPRS &amp; FAR and Above'!J371))</f>
        <v/>
      </c>
      <c r="B193" s="567" t="inlineStr">
        <is>
          <t>ISO/CISO</t>
        </is>
      </c>
      <c r="C193" s="568" t="inlineStr">
        <is>
          <t>Funded</t>
        </is>
      </c>
      <c r="D193" s="567" t="inlineStr">
        <is>
          <t>Provide firewall/VPN configs (deny-all, allow-by-exception), diagrams with zones/VLANs, split-tunneling disabled in GP profiles, TLS/IPSec FIPS settings, Key Vault/HSM procedures, VoIP encryption configs and logs.</t>
        </is>
      </c>
      <c r="E193" s="585" t="inlineStr">
        <is>
          <t>Estimate - 90 days to remediate
Policies and SSP available; attach configs/logs/records as noted</t>
        </is>
      </c>
      <c r="F193" s="574" t="n"/>
      <c r="G193" s="40" t="n"/>
      <c r="H193" s="40" t="n"/>
      <c r="I193" s="40" t="n"/>
      <c r="J193" s="40" t="n"/>
    </row>
    <row r="194" ht="56.1" customHeight="1" s="566">
      <c r="A194" s="583">
        <f t="array" ref="A194">IF('SSP - DoD SPRS &amp; FAR and Above'!M382&lt;&gt;"Fully Addressed",'SSP - DoD SPRS &amp; FAR and Above'!E382&amp;" - "&amp;IF('SSP - DoD SPRS &amp; FAR and Above'!I382&lt;&gt;"",'SSP - DoD SPRS &amp; FAR and Above'!I382,'SSP - DoD SPRS &amp; FAR and Above'!J382))</f>
        <v/>
      </c>
      <c r="B194" s="567" t="inlineStr">
        <is>
          <t>ISO/CISO</t>
        </is>
      </c>
      <c r="C194" s="568" t="inlineStr">
        <is>
          <t>Funded</t>
        </is>
      </c>
      <c r="D194" s="567" t="inlineStr">
        <is>
          <t>Provide firewall/VPN configs (deny-all, allow-by-exception), diagrams with zones/VLANs, split-tunneling disabled in GP profiles, TLS/IPSec FIPS settings, Key Vault/HSM procedures, VoIP encryption configs and logs.</t>
        </is>
      </c>
      <c r="E194" s="585" t="inlineStr">
        <is>
          <t>Estimate - 90 days to remediate
Policies and SSP available; attach configs/logs/records as noted</t>
        </is>
      </c>
      <c r="F194" s="574" t="n"/>
      <c r="G194" s="40" t="n"/>
      <c r="H194" s="40" t="n"/>
      <c r="I194" s="40" t="n"/>
      <c r="J194" s="40" t="n"/>
    </row>
    <row r="195" ht="56.1" customHeight="1" s="566">
      <c r="A195" s="583">
        <f t="array" ref="A195">IF('SSP - DoD SPRS &amp; FAR and Above'!M383&lt;&gt;"Fully Addressed",'SSP - DoD SPRS &amp; FAR and Above'!E383&amp;" - "&amp;IF('SSP - DoD SPRS &amp; FAR and Above'!I383&lt;&gt;"",'SSP - DoD SPRS &amp; FAR and Above'!I383,'SSP - DoD SPRS &amp; FAR and Above'!J383))</f>
        <v/>
      </c>
      <c r="B195" s="567" t="inlineStr">
        <is>
          <t>ISO/CISO</t>
        </is>
      </c>
      <c r="C195" s="568" t="inlineStr">
        <is>
          <t>Funded</t>
        </is>
      </c>
      <c r="D195" s="567" t="inlineStr">
        <is>
          <t>Provide firewall/VPN configs (deny-all, allow-by-exception), diagrams with zones/VLANs, split-tunneling disabled in GP profiles, TLS/IPSec FIPS settings, Key Vault/HSM procedures, VoIP encryption configs and logs.</t>
        </is>
      </c>
      <c r="E195" s="585" t="inlineStr">
        <is>
          <t>Estimate - 90 days to remediate
Policies and SSP available; attach configs/logs/records as noted</t>
        </is>
      </c>
      <c r="F195" s="574" t="n"/>
      <c r="G195" s="40" t="n"/>
      <c r="H195" s="40" t="n"/>
      <c r="I195" s="40" t="n"/>
      <c r="J195" s="40" t="n"/>
    </row>
    <row r="196" ht="56.1" customHeight="1" s="566">
      <c r="A196" s="583">
        <f t="array" ref="A196">IF('SSP - DoD SPRS &amp; FAR and Above'!M384&lt;&gt;"Fully Addressed",'SSP - DoD SPRS &amp; FAR and Above'!E384&amp;" - "&amp;IF('SSP - DoD SPRS &amp; FAR and Above'!I384&lt;&gt;"",'SSP - DoD SPRS &amp; FAR and Above'!I384,'SSP - DoD SPRS &amp; FAR and Above'!J384))</f>
        <v/>
      </c>
      <c r="B196" s="567" t="inlineStr">
        <is>
          <t>ISO/CISO</t>
        </is>
      </c>
      <c r="C196" s="568" t="inlineStr">
        <is>
          <t>Funded</t>
        </is>
      </c>
      <c r="D196" s="567" t="inlineStr">
        <is>
          <t>Provide firewall/VPN configs (deny-all, allow-by-exception), diagrams with zones/VLANs, split-tunneling disabled in GP profiles, TLS/IPSec FIPS settings, Key Vault/HSM procedures, VoIP encryption configs and logs.</t>
        </is>
      </c>
      <c r="E196" s="585" t="inlineStr">
        <is>
          <t>Estimate - 90 days to remediate
Policies and SSP available; attach configs/logs/records as noted</t>
        </is>
      </c>
      <c r="F196" s="574" t="n"/>
      <c r="G196" s="40" t="n"/>
      <c r="H196" s="40" t="n"/>
      <c r="I196" s="40" t="n"/>
      <c r="J196" s="40" t="n"/>
    </row>
    <row r="197" ht="56.1" customHeight="1" s="566">
      <c r="A197" s="583">
        <f t="array" ref="A197">IF('SSP - DoD SPRS &amp; FAR and Above'!M385&lt;&gt;"Fully Addressed",'SSP - DoD SPRS &amp; FAR and Above'!E385&amp;" - "&amp;IF('SSP - DoD SPRS &amp; FAR and Above'!I385&lt;&gt;"",'SSP - DoD SPRS &amp; FAR and Above'!I385,'SSP - DoD SPRS &amp; FAR and Above'!J385))</f>
        <v/>
      </c>
      <c r="B197" s="567" t="inlineStr">
        <is>
          <t>ISO/CISO</t>
        </is>
      </c>
      <c r="C197" s="568" t="inlineStr">
        <is>
          <t>Funded</t>
        </is>
      </c>
      <c r="D197" s="567" t="inlineStr">
        <is>
          <t>Provide firewall/VPN configs (deny-all, allow-by-exception), diagrams with zones/VLANs, split-tunneling disabled in GP profiles, TLS/IPSec FIPS settings, Key Vault/HSM procedures, VoIP encryption configs and logs.</t>
        </is>
      </c>
      <c r="E197" s="585" t="inlineStr">
        <is>
          <t>Estimate - 90 days to remediate
Policies and SSP available; attach configs/logs/records as noted</t>
        </is>
      </c>
      <c r="F197" s="574" t="n"/>
      <c r="G197" s="40" t="n"/>
      <c r="H197" s="40" t="n"/>
      <c r="I197" s="40" t="n"/>
      <c r="J197" s="40" t="n"/>
    </row>
    <row r="198" ht="42" customHeight="1" s="566">
      <c r="A198" s="583">
        <f t="array" ref="A198">IF('SSP - DoD SPRS &amp; FAR and Above'!M31&lt;&gt;"Fully Addressed",'SSP - DoD SPRS &amp; FAR and Above'!E31&amp;" - "&amp;IF('SSP - DoD SPRS &amp; FAR and Above'!I31&lt;&gt;"",'SSP - DoD SPRS &amp; FAR and Above'!I31,'SSP - DoD SPRS &amp; FAR and Above'!J31))</f>
        <v/>
      </c>
      <c r="B198" s="567" t="inlineStr">
        <is>
          <t>ISO/CISO</t>
        </is>
      </c>
      <c r="C198" s="568" t="inlineStr">
        <is>
          <t>Funded</t>
        </is>
      </c>
      <c r="D198" s="572" t="inlineStr">
        <is>
          <t>Provide patch SLA evidence by severity, EDR/AV configurations and scan schedules, alert intake logs and weekly reviews, IDS/NSM telemetry and unauthorized-use detections.</t>
        </is>
      </c>
      <c r="E198" s="585" t="inlineStr">
        <is>
          <t>Estimate - 90 days to remediate
Policies and SSP available; attach configs/logs/records as noted</t>
        </is>
      </c>
      <c r="F198" s="574" t="n"/>
      <c r="G198" s="40" t="n"/>
      <c r="H198" s="40" t="n"/>
      <c r="I198" s="40" t="n"/>
      <c r="J198" s="40" t="n"/>
    </row>
    <row r="199" ht="42" customHeight="1" s="566">
      <c r="A199" s="583">
        <f t="array" ref="A199">IF('SSP - DoD SPRS &amp; FAR and Above'!M32&lt;&gt;"Fully Addressed",'SSP - DoD SPRS &amp; FAR and Above'!E32&amp;" - "&amp;IF('SSP - DoD SPRS &amp; FAR and Above'!I32&lt;&gt;"",'SSP - DoD SPRS &amp; FAR and Above'!I32,'SSP - DoD SPRS &amp; FAR and Above'!J32))</f>
        <v/>
      </c>
      <c r="B199" s="567" t="inlineStr">
        <is>
          <t>ISO/CISO</t>
        </is>
      </c>
      <c r="C199" s="568" t="inlineStr">
        <is>
          <t>Funded</t>
        </is>
      </c>
      <c r="D199" s="572" t="inlineStr">
        <is>
          <t>Provide patch SLA evidence by severity, EDR/AV configurations and scan schedules, alert intake logs and weekly reviews, IDS/NSM telemetry and unauthorized-use detections.</t>
        </is>
      </c>
      <c r="E199" s="585" t="inlineStr">
        <is>
          <t>Estimate - 90 days to remediate
Policies and SSP available; attach configs/logs/records as noted</t>
        </is>
      </c>
      <c r="F199" s="574" t="n"/>
      <c r="G199" s="40" t="n"/>
      <c r="H199" s="40" t="n"/>
      <c r="I199" s="40" t="n"/>
      <c r="J199" s="40" t="n"/>
    </row>
    <row r="200" ht="42" customHeight="1" s="566">
      <c r="A200" s="583">
        <f t="array" ref="A200">IF('SSP - DoD SPRS &amp; FAR and Above'!M33&lt;&gt;"Fully Addressed",'SSP - DoD SPRS &amp; FAR and Above'!E33&amp;" - "&amp;IF('SSP - DoD SPRS &amp; FAR and Above'!I33&lt;&gt;"",'SSP - DoD SPRS &amp; FAR and Above'!I33,'SSP - DoD SPRS &amp; FAR and Above'!J33))</f>
        <v/>
      </c>
      <c r="B200" s="567" t="inlineStr">
        <is>
          <t>ISO/CISO</t>
        </is>
      </c>
      <c r="C200" s="568" t="inlineStr">
        <is>
          <t>Funded</t>
        </is>
      </c>
      <c r="D200" s="572" t="inlineStr">
        <is>
          <t>Provide patch SLA evidence by severity, EDR/AV configurations and scan schedules, alert intake logs and weekly reviews, IDS/NSM telemetry and unauthorized-use detections.</t>
        </is>
      </c>
      <c r="E200" s="585" t="inlineStr">
        <is>
          <t>Estimate - 90 days to remediate
Policies and SSP available; attach configs/logs/records as noted</t>
        </is>
      </c>
      <c r="F200" s="574" t="n"/>
      <c r="G200" s="40" t="n"/>
      <c r="H200" s="40" t="n"/>
      <c r="I200" s="40" t="n"/>
      <c r="J200" s="40" t="n"/>
    </row>
    <row r="201" ht="42" customHeight="1" s="566">
      <c r="A201" s="583">
        <f t="array" ref="A201">IF('SSP - DoD SPRS &amp; FAR and Above'!M34&lt;&gt;"Fully Addressed",'SSP - DoD SPRS &amp; FAR and Above'!E34&amp;" - "&amp;IF('SSP - DoD SPRS &amp; FAR and Above'!I34&lt;&gt;"",'SSP - DoD SPRS &amp; FAR and Above'!I34,'SSP - DoD SPRS &amp; FAR and Above'!J34))</f>
        <v/>
      </c>
      <c r="B201" s="567" t="inlineStr">
        <is>
          <t>ISO/CISO</t>
        </is>
      </c>
      <c r="C201" s="568" t="inlineStr">
        <is>
          <t>Funded</t>
        </is>
      </c>
      <c r="D201" s="572" t="inlineStr">
        <is>
          <t>Provide patch SLA evidence by severity, EDR/AV configurations and scan schedules, alert intake logs and weekly reviews, IDS/NSM telemetry and unauthorized-use detections.</t>
        </is>
      </c>
      <c r="E201" s="585" t="inlineStr">
        <is>
          <t>Estimate - 90 days to remediate
Policies and SSP available; attach configs/logs/records as noted</t>
        </is>
      </c>
      <c r="F201" s="574" t="n"/>
      <c r="G201" s="40" t="n"/>
      <c r="H201" s="40" t="n"/>
      <c r="I201" s="40" t="n"/>
      <c r="J201" s="40" t="n"/>
    </row>
    <row r="202" ht="42" customHeight="1" s="566">
      <c r="A202" s="583">
        <f t="array" ref="A202">IF('SSP - DoD SPRS &amp; FAR and Above'!M35&lt;&gt;"Fully Addressed",'SSP - DoD SPRS &amp; FAR and Above'!E35&amp;" - "&amp;IF('SSP - DoD SPRS &amp; FAR and Above'!I35&lt;&gt;"",'SSP - DoD SPRS &amp; FAR and Above'!I35,'SSP - DoD SPRS &amp; FAR and Above'!J35))</f>
        <v/>
      </c>
      <c r="B202" s="567" t="inlineStr">
        <is>
          <t>ISO/CISO</t>
        </is>
      </c>
      <c r="C202" s="568" t="inlineStr">
        <is>
          <t>Funded</t>
        </is>
      </c>
      <c r="D202" s="572" t="inlineStr">
        <is>
          <t>Provide patch SLA evidence by severity, EDR/AV configurations and scan schedules, alert intake logs and weekly reviews, IDS/NSM telemetry and unauthorized-use detections.</t>
        </is>
      </c>
      <c r="E202" s="585" t="inlineStr">
        <is>
          <t>Estimate - 90 days to remediate
Policies and SSP available; attach configs/logs/records as noted</t>
        </is>
      </c>
      <c r="F202" s="574" t="n"/>
      <c r="G202" s="40" t="n"/>
      <c r="H202" s="40" t="n"/>
      <c r="I202" s="40" t="n"/>
      <c r="J202" s="40" t="n"/>
    </row>
    <row r="203" ht="42" customHeight="1" s="566">
      <c r="A203" s="583">
        <f t="array" ref="A203">IF('SSP - DoD SPRS &amp; FAR and Above'!M36&lt;&gt;"Fully Addressed",'SSP - DoD SPRS &amp; FAR and Above'!E36&amp;" - "&amp;IF('SSP - DoD SPRS &amp; FAR and Above'!I36&lt;&gt;"",'SSP - DoD SPRS &amp; FAR and Above'!I36,'SSP - DoD SPRS &amp; FAR and Above'!J36))</f>
        <v/>
      </c>
      <c r="B203" s="567" t="inlineStr">
        <is>
          <t>ISO/CISO</t>
        </is>
      </c>
      <c r="C203" s="568" t="inlineStr">
        <is>
          <t>Funded</t>
        </is>
      </c>
      <c r="D203" s="572" t="inlineStr">
        <is>
          <t>Provide patch SLA evidence by severity, EDR/AV configurations and scan schedules, alert intake logs and weekly reviews, IDS/NSM telemetry and unauthorized-use detections.</t>
        </is>
      </c>
      <c r="E203" s="585" t="inlineStr">
        <is>
          <t>Estimate - 90 days to remediate
Policies and SSP available; attach configs/logs/records as noted</t>
        </is>
      </c>
      <c r="F203" s="574" t="n"/>
      <c r="G203" s="40" t="n"/>
      <c r="H203" s="40" t="n"/>
      <c r="I203" s="40" t="n"/>
      <c r="J203" s="40" t="n"/>
    </row>
    <row r="204" ht="42" customHeight="1" s="566">
      <c r="A204" s="583">
        <f t="array" ref="A204">IF('SSP - DoD SPRS &amp; FAR and Above'!M37&lt;&gt;"Fully Addressed",'SSP - DoD SPRS &amp; FAR and Above'!E37&amp;" - "&amp;IF('SSP - DoD SPRS &amp; FAR and Above'!I37&lt;&gt;"",'SSP - DoD SPRS &amp; FAR and Above'!I37,'SSP - DoD SPRS &amp; FAR and Above'!J37))</f>
        <v/>
      </c>
      <c r="B204" s="567" t="inlineStr">
        <is>
          <t>ISO/CISO</t>
        </is>
      </c>
      <c r="C204" s="568" t="inlineStr">
        <is>
          <t>Funded</t>
        </is>
      </c>
      <c r="D204" s="572" t="inlineStr">
        <is>
          <t>Provide patch SLA evidence by severity, EDR/AV configurations and scan schedules, alert intake logs and weekly reviews, IDS/NSM telemetry and unauthorized-use detections.</t>
        </is>
      </c>
      <c r="E204" s="585" t="inlineStr">
        <is>
          <t>Estimate - 90 days to remediate
Policies and SSP available; attach configs/logs/records as noted</t>
        </is>
      </c>
      <c r="F204" s="574" t="n"/>
      <c r="G204" s="40" t="n"/>
      <c r="H204" s="40" t="n"/>
      <c r="I204" s="40" t="n"/>
      <c r="J204" s="40" t="n"/>
    </row>
    <row r="205" ht="42" customHeight="1" s="566">
      <c r="A205" s="583">
        <f t="array" ref="A205">IF('SSP - DoD SPRS &amp; FAR and Above'!M38&lt;&gt;"Fully Addressed",'SSP - DoD SPRS &amp; FAR and Above'!E38&amp;" - "&amp;IF('SSP - DoD SPRS &amp; FAR and Above'!I38&lt;&gt;"",'SSP - DoD SPRS &amp; FAR and Above'!I38,'SSP - DoD SPRS &amp; FAR and Above'!J38))</f>
        <v/>
      </c>
      <c r="B205" s="567" t="inlineStr">
        <is>
          <t>ISO/CISO</t>
        </is>
      </c>
      <c r="C205" s="568" t="inlineStr">
        <is>
          <t>Funded</t>
        </is>
      </c>
      <c r="D205" s="572" t="inlineStr">
        <is>
          <t>Provide patch SLA evidence by severity, EDR/AV configurations and scan schedules, alert intake logs and weekly reviews, IDS/NSM telemetry and unauthorized-use detections.</t>
        </is>
      </c>
      <c r="E205" s="585" t="inlineStr">
        <is>
          <t>Estimate - 90 days to remediate
Policies and SSP available; attach configs/logs/records as noted</t>
        </is>
      </c>
      <c r="F205" s="574" t="n"/>
      <c r="G205" s="40" t="n"/>
      <c r="H205" s="40" t="n"/>
      <c r="I205" s="40" t="n"/>
      <c r="J205" s="40" t="n"/>
    </row>
    <row r="206" ht="42" customHeight="1" s="566">
      <c r="A206" s="583">
        <f t="array" ref="A206">IF('SSP - DoD SPRS &amp; FAR and Above'!M39&lt;&gt;"Fully Addressed",'SSP - DoD SPRS &amp; FAR and Above'!E39&amp;" - "&amp;IF('SSP - DoD SPRS &amp; FAR and Above'!I39&lt;&gt;"",'SSP - DoD SPRS &amp; FAR and Above'!I39,'SSP - DoD SPRS &amp; FAR and Above'!J39))</f>
        <v/>
      </c>
      <c r="B206" s="567" t="inlineStr">
        <is>
          <t>ISO/CISO</t>
        </is>
      </c>
      <c r="C206" s="568" t="inlineStr">
        <is>
          <t>Funded</t>
        </is>
      </c>
      <c r="D206" s="572" t="inlineStr">
        <is>
          <t>Provide patch SLA evidence by severity, EDR/AV configurations and scan schedules, alert intake logs and weekly reviews, IDS/NSM telemetry and unauthorized-use detections.</t>
        </is>
      </c>
      <c r="E206" s="585" t="inlineStr">
        <is>
          <t>Estimate - 90 days to remediate
Policies and SSP available; attach configs/logs/records as noted</t>
        </is>
      </c>
      <c r="F206" s="574" t="n"/>
      <c r="G206" s="40" t="n"/>
      <c r="H206" s="40" t="n"/>
      <c r="I206" s="40" t="n"/>
      <c r="J206" s="40" t="n"/>
    </row>
    <row r="207" ht="42" customHeight="1" s="566">
      <c r="A207" s="583">
        <f t="array" ref="A207">IF('SSP - DoD SPRS &amp; FAR and Above'!M40&lt;&gt;"Fully Addressed",'SSP - DoD SPRS &amp; FAR and Above'!E40&amp;" - "&amp;IF('SSP - DoD SPRS &amp; FAR and Above'!I40&lt;&gt;"",'SSP - DoD SPRS &amp; FAR and Above'!I40,'SSP - DoD SPRS &amp; FAR and Above'!J40))</f>
        <v/>
      </c>
      <c r="B207" s="567" t="inlineStr">
        <is>
          <t>ISO/CISO</t>
        </is>
      </c>
      <c r="C207" s="568" t="inlineStr">
        <is>
          <t>Funded</t>
        </is>
      </c>
      <c r="D207" s="572" t="inlineStr">
        <is>
          <t>Provide patch SLA evidence by severity, EDR/AV configurations and scan schedules, alert intake logs and weekly reviews, IDS/NSM telemetry and unauthorized-use detections.</t>
        </is>
      </c>
      <c r="E207" s="585" t="inlineStr">
        <is>
          <t>Estimate - 90 days to remediate
Policies and SSP available; attach configs/logs/records as noted</t>
        </is>
      </c>
      <c r="F207" s="574" t="n"/>
      <c r="G207" s="40" t="n"/>
      <c r="H207" s="40" t="n"/>
      <c r="I207" s="40" t="n"/>
      <c r="J207" s="40" t="n"/>
    </row>
    <row r="208" ht="42" customHeight="1" s="566">
      <c r="A208" s="583">
        <f t="array" ref="A208">IF('SSP - DoD SPRS &amp; FAR and Above'!M185&lt;&gt;"Fully Addressed",'SSP - DoD SPRS &amp; FAR and Above'!E185&amp;" - "&amp;IF('SSP - DoD SPRS &amp; FAR and Above'!I185&lt;&gt;"",'SSP - DoD SPRS &amp; FAR and Above'!I185,'SSP - DoD SPRS &amp; FAR and Above'!J185))</f>
        <v/>
      </c>
      <c r="B208" s="567" t="inlineStr">
        <is>
          <t>ISO/CISO</t>
        </is>
      </c>
      <c r="C208" s="568" t="inlineStr">
        <is>
          <t>Funded</t>
        </is>
      </c>
      <c r="D208" s="572" t="inlineStr">
        <is>
          <t>Provide patch SLA evidence by severity, EDR/AV configurations and scan schedules, alert intake logs and weekly reviews, IDS/NSM telemetry and unauthorized-use detections.</t>
        </is>
      </c>
      <c r="E208" s="585" t="inlineStr">
        <is>
          <t>Estimate - 90 days to remediate
Policies and SSP available; attach configs/logs/records as noted</t>
        </is>
      </c>
      <c r="F208" s="574" t="n"/>
      <c r="G208" s="40" t="n"/>
      <c r="H208" s="40" t="n"/>
      <c r="I208" s="40" t="n"/>
      <c r="J208" s="40" t="n"/>
    </row>
    <row r="209" ht="42" customHeight="1" s="566">
      <c r="A209" s="583">
        <f t="array" ref="A209">IF('SSP - DoD SPRS &amp; FAR and Above'!M186&lt;&gt;"Fully Addressed",'SSP - DoD SPRS &amp; FAR and Above'!E186&amp;" - "&amp;IF('SSP - DoD SPRS &amp; FAR and Above'!I186&lt;&gt;"",'SSP - DoD SPRS &amp; FAR and Above'!I186,'SSP - DoD SPRS &amp; FAR and Above'!J186))</f>
        <v/>
      </c>
      <c r="B209" s="567" t="inlineStr">
        <is>
          <t>ISO/CISO</t>
        </is>
      </c>
      <c r="C209" s="568" t="inlineStr">
        <is>
          <t>Funded</t>
        </is>
      </c>
      <c r="D209" s="572" t="inlineStr">
        <is>
          <t>Provide patch SLA evidence by severity, EDR/AV configurations and scan schedules, alert intake logs and weekly reviews, IDS/NSM telemetry and unauthorized-use detections.</t>
        </is>
      </c>
      <c r="E209" s="585" t="inlineStr">
        <is>
          <t>Estimate - 90 days to remediate
Policies and SSP available; attach configs/logs/records as noted</t>
        </is>
      </c>
      <c r="F209" s="574" t="n"/>
      <c r="G209" s="40" t="n"/>
      <c r="H209" s="40" t="n"/>
      <c r="I209" s="40" t="n"/>
      <c r="J209" s="40" t="n"/>
    </row>
    <row r="210" ht="42" customHeight="1" s="566">
      <c r="A210" s="583">
        <f t="array" ref="A210">IF('SSP - DoD SPRS &amp; FAR and Above'!M187&lt;&gt;"Fully Addressed",'SSP - DoD SPRS &amp; FAR and Above'!E187&amp;" - "&amp;IF('SSP - DoD SPRS &amp; FAR and Above'!I187&lt;&gt;"",'SSP - DoD SPRS &amp; FAR and Above'!I187,'SSP - DoD SPRS &amp; FAR and Above'!J187))</f>
        <v/>
      </c>
      <c r="B210" s="567" t="inlineStr">
        <is>
          <t>ISO/CISO</t>
        </is>
      </c>
      <c r="C210" s="568" t="inlineStr">
        <is>
          <t>Funded</t>
        </is>
      </c>
      <c r="D210" s="572" t="inlineStr">
        <is>
          <t>Provide patch SLA evidence by severity, EDR/AV configurations and scan schedules, alert intake logs and weekly reviews, IDS/NSM telemetry and unauthorized-use detections.</t>
        </is>
      </c>
      <c r="E210" s="585" t="inlineStr">
        <is>
          <t>Estimate - 90 days to remediate
Policies and SSP available; attach configs/logs/records as noted</t>
        </is>
      </c>
      <c r="F210" s="574" t="n"/>
      <c r="G210" s="40" t="n"/>
      <c r="H210" s="40" t="n"/>
      <c r="I210" s="40" t="n"/>
      <c r="J210" s="40" t="n"/>
    </row>
    <row r="211" ht="42" customHeight="1" s="566">
      <c r="A211" s="583">
        <f t="array" ref="A211">IF('SSP - DoD SPRS &amp; FAR and Above'!M188&lt;&gt;"Fully Addressed",'SSP - DoD SPRS &amp; FAR and Above'!E188&amp;" - "&amp;IF('SSP - DoD SPRS &amp; FAR and Above'!I188&lt;&gt;"",'SSP - DoD SPRS &amp; FAR and Above'!I188,'SSP - DoD SPRS &amp; FAR and Above'!J188))</f>
        <v/>
      </c>
      <c r="B211" s="567" t="inlineStr">
        <is>
          <t>ISO/CISO</t>
        </is>
      </c>
      <c r="C211" s="568" t="inlineStr">
        <is>
          <t>Funded</t>
        </is>
      </c>
      <c r="D211" s="572" t="inlineStr">
        <is>
          <t>Provide patch SLA evidence by severity, EDR/AV configurations and scan schedules, alert intake logs and weekly reviews, IDS/NSM telemetry and unauthorized-use detections.</t>
        </is>
      </c>
      <c r="E211" s="585" t="inlineStr">
        <is>
          <t>Estimate - 90 days to remediate
Policies and SSP available; attach configs/logs/records as noted</t>
        </is>
      </c>
      <c r="F211" s="574" t="n"/>
      <c r="G211" s="40" t="n"/>
      <c r="H211" s="40" t="n"/>
      <c r="I211" s="40" t="n"/>
      <c r="J211" s="40" t="n"/>
    </row>
    <row r="212" ht="42" customHeight="1" s="566">
      <c r="A212" s="583">
        <f t="array" ref="A212">IF('SSP - DoD SPRS &amp; FAR and Above'!M41&lt;&gt;"Fully Addressed",'SSP - DoD SPRS &amp; FAR and Above'!E41&amp;" - "&amp;IF('SSP - DoD SPRS &amp; FAR and Above'!I41&lt;&gt;"",'SSP - DoD SPRS &amp; FAR and Above'!I41,'SSP - DoD SPRS &amp; FAR and Above'!J41))</f>
        <v/>
      </c>
      <c r="B212" s="567" t="inlineStr">
        <is>
          <t>ISO/CISO</t>
        </is>
      </c>
      <c r="C212" s="568" t="inlineStr">
        <is>
          <t>Funded</t>
        </is>
      </c>
      <c r="D212" s="572" t="inlineStr">
        <is>
          <t>Provide patch SLA evidence by severity, EDR/AV configurations and scan schedules, alert intake logs and weekly reviews, IDS/NSM telemetry and unauthorized-use detections.</t>
        </is>
      </c>
      <c r="E212" s="585" t="inlineStr">
        <is>
          <t>Estimate - 90 days to remediate
Policies and SSP available; attach configs/logs/records as noted</t>
        </is>
      </c>
      <c r="F212" s="574" t="n"/>
      <c r="G212" s="40" t="n"/>
      <c r="H212" s="40" t="n"/>
      <c r="I212" s="40" t="n"/>
      <c r="J212" s="40" t="n"/>
    </row>
    <row r="213" ht="42" customHeight="1" s="566">
      <c r="A213" s="583">
        <f t="array" ref="A213">IF('SSP - DoD SPRS &amp; FAR and Above'!M42&lt;&gt;"Fully Addressed",'SSP - DoD SPRS &amp; FAR and Above'!E42&amp;" - "&amp;IF('SSP - DoD SPRS &amp; FAR and Above'!I42&lt;&gt;"",'SSP - DoD SPRS &amp; FAR and Above'!I42,'SSP - DoD SPRS &amp; FAR and Above'!J42))</f>
        <v/>
      </c>
      <c r="B213" s="567" t="inlineStr">
        <is>
          <t>ISO/CISO</t>
        </is>
      </c>
      <c r="C213" s="568" t="inlineStr">
        <is>
          <t>Funded</t>
        </is>
      </c>
      <c r="D213" s="572" t="inlineStr">
        <is>
          <t>Provide patch SLA evidence by severity, EDR/AV configurations and scan schedules, alert intake logs and weekly reviews, IDS/NSM telemetry and unauthorized-use detections.</t>
        </is>
      </c>
      <c r="E213" s="585" t="inlineStr">
        <is>
          <t>Estimate - 90 days to remediate
Policies and SSP available; attach configs/logs/records as noted</t>
        </is>
      </c>
      <c r="F213" s="574" t="n"/>
      <c r="G213" s="40" t="n"/>
      <c r="H213" s="40" t="n"/>
      <c r="I213" s="40" t="n"/>
      <c r="J213" s="40" t="n"/>
    </row>
    <row r="214" ht="42" customHeight="1" s="566">
      <c r="A214" s="583">
        <f t="array" ref="A214">IF('SSP - DoD SPRS &amp; FAR and Above'!M43&lt;&gt;"Fully Addressed",'SSP - DoD SPRS &amp; FAR and Above'!E43&amp;" - "&amp;IF('SSP - DoD SPRS &amp; FAR and Above'!I43&lt;&gt;"",'SSP - DoD SPRS &amp; FAR and Above'!I43,'SSP - DoD SPRS &amp; FAR and Above'!J43))</f>
        <v/>
      </c>
      <c r="B214" s="567" t="inlineStr">
        <is>
          <t>ISO/CISO</t>
        </is>
      </c>
      <c r="C214" s="568" t="inlineStr">
        <is>
          <t>Funded</t>
        </is>
      </c>
      <c r="D214" s="572" t="inlineStr">
        <is>
          <t>Provide patch SLA evidence by severity, EDR/AV configurations and scan schedules, alert intake logs and weekly reviews, IDS/NSM telemetry and unauthorized-use detections.</t>
        </is>
      </c>
      <c r="E214" s="585" t="inlineStr">
        <is>
          <t>Estimate - 90 days to remediate
Policies and SSP available; attach configs/logs/records as noted</t>
        </is>
      </c>
      <c r="F214" s="574" t="n"/>
      <c r="G214" s="40" t="n"/>
      <c r="H214" s="40" t="n"/>
      <c r="I214" s="40" t="n"/>
      <c r="J214" s="40" t="n"/>
    </row>
    <row r="215" ht="42" customHeight="1" s="566">
      <c r="A215" s="583">
        <f t="array" ref="A215">IF('SSP - DoD SPRS &amp; FAR and Above'!M44&lt;&gt;"Fully Addressed",'SSP - DoD SPRS &amp; FAR and Above'!E44&amp;" - "&amp;IF('SSP - DoD SPRS &amp; FAR and Above'!I44&lt;&gt;"",'SSP - DoD SPRS &amp; FAR and Above'!I44,'SSP - DoD SPRS &amp; FAR and Above'!J44))</f>
        <v/>
      </c>
      <c r="B215" s="567" t="inlineStr">
        <is>
          <t>ISO/CISO</t>
        </is>
      </c>
      <c r="C215" s="568" t="inlineStr">
        <is>
          <t>Funded</t>
        </is>
      </c>
      <c r="D215" s="572" t="inlineStr">
        <is>
          <t>Provide patch SLA evidence by severity, EDR/AV configurations and scan schedules, alert intake logs and weekly reviews, IDS/NSM telemetry and unauthorized-use detections.</t>
        </is>
      </c>
      <c r="E215" s="585" t="inlineStr">
        <is>
          <t>Estimate - 90 days to remediate
Policies and SSP available; attach configs/logs/records as noted</t>
        </is>
      </c>
      <c r="F215" s="574" t="n"/>
      <c r="G215" s="40" t="n"/>
      <c r="H215" s="40" t="n"/>
      <c r="I215" s="40" t="n"/>
      <c r="J215" s="40" t="n"/>
    </row>
    <row r="216" ht="42" customHeight="1" s="566">
      <c r="A216" s="583">
        <f t="array" ref="A216">IF('SSP - DoD SPRS &amp; FAR and Above'!M45&lt;&gt;"Fully Addressed",'SSP - DoD SPRS &amp; FAR and Above'!E45&amp;" - "&amp;IF('SSP - DoD SPRS &amp; FAR and Above'!I45&lt;&gt;"",'SSP - DoD SPRS &amp; FAR and Above'!I45,'SSP - DoD SPRS &amp; FAR and Above'!J45))</f>
        <v/>
      </c>
      <c r="B216" s="567" t="inlineStr">
        <is>
          <t>ISO/CISO</t>
        </is>
      </c>
      <c r="C216" s="568" t="inlineStr">
        <is>
          <t>Funded</t>
        </is>
      </c>
      <c r="D216" s="572" t="inlineStr">
        <is>
          <t>Provide patch SLA evidence by severity, EDR/AV configurations and scan schedules, alert intake logs and weekly reviews, IDS/NSM telemetry and unauthorized-use detections.</t>
        </is>
      </c>
      <c r="E216" s="585" t="inlineStr">
        <is>
          <t>Estimate - 90 days to remediate
Policies and SSP available; attach configs/logs/records as noted</t>
        </is>
      </c>
      <c r="F216" s="574" t="n"/>
      <c r="G216" s="40" t="n"/>
      <c r="H216" s="40" t="n"/>
      <c r="I216" s="40" t="n"/>
      <c r="J216" s="40" t="n"/>
    </row>
    <row r="217" ht="42" customHeight="1" s="566">
      <c r="A217" s="583">
        <f t="array" ref="A217">IF('SSP - DoD SPRS &amp; FAR and Above'!M189&lt;&gt;"Fully Addressed",'SSP - DoD SPRS &amp; FAR and Above'!E189&amp;" - "&amp;IF('SSP - DoD SPRS &amp; FAR and Above'!I189&lt;&gt;"",'SSP - DoD SPRS &amp; FAR and Above'!I189,'SSP - DoD SPRS &amp; FAR and Above'!J189))</f>
        <v/>
      </c>
      <c r="B217" s="567" t="inlineStr">
        <is>
          <t>ISO/CISO</t>
        </is>
      </c>
      <c r="C217" s="568" t="inlineStr">
        <is>
          <t>Funded</t>
        </is>
      </c>
      <c r="D217" s="572" t="inlineStr">
        <is>
          <t>Provide patch SLA evidence by severity, EDR/AV configurations and scan schedules, alert intake logs and weekly reviews, IDS/NSM telemetry and unauthorized-use detections.</t>
        </is>
      </c>
      <c r="E217" s="585" t="inlineStr">
        <is>
          <t>Estimate - 90 days to remediate
Policies and SSP available; attach configs/logs/records as noted</t>
        </is>
      </c>
      <c r="F217" s="574" t="n"/>
      <c r="G217" s="40" t="n"/>
      <c r="H217" s="40" t="n"/>
      <c r="I217" s="40" t="n"/>
      <c r="J217" s="40" t="n"/>
    </row>
    <row r="218" ht="42" customHeight="1" s="566">
      <c r="A218" s="583">
        <f t="array" ref="A218">IF('SSP - DoD SPRS &amp; FAR and Above'!M190&lt;&gt;"Fully Addressed",'SSP - DoD SPRS &amp; FAR and Above'!E190&amp;" - "&amp;IF('SSP - DoD SPRS &amp; FAR and Above'!I190&lt;&gt;"",'SSP - DoD SPRS &amp; FAR and Above'!I190,'SSP - DoD SPRS &amp; FAR and Above'!J190))</f>
        <v/>
      </c>
      <c r="B218" s="567" t="inlineStr">
        <is>
          <t>ISO/CISO</t>
        </is>
      </c>
      <c r="C218" s="568" t="inlineStr">
        <is>
          <t>Funded</t>
        </is>
      </c>
      <c r="D218" s="572" t="inlineStr">
        <is>
          <t>Provide patch SLA evidence by severity, EDR/AV configurations and scan schedules, alert intake logs and weekly reviews, IDS/NSM telemetry and unauthorized-use detections.</t>
        </is>
      </c>
      <c r="E218" s="585" t="inlineStr">
        <is>
          <t>Estimate - 90 days to remediate
Policies and SSP available; attach configs/logs/records as noted</t>
        </is>
      </c>
      <c r="F218" s="574" t="n"/>
      <c r="G218" s="40" t="n"/>
      <c r="H218" s="40" t="n"/>
      <c r="I218" s="40" t="n"/>
      <c r="J218" s="40" t="n"/>
    </row>
    <row r="219" ht="42" customHeight="1" s="566">
      <c r="A219" s="583">
        <f t="array" ref="A219">IF('SSP - DoD SPRS &amp; FAR and Above'!M191&lt;&gt;"Fully Addressed",'SSP - DoD SPRS &amp; FAR and Above'!E191&amp;" - "&amp;IF('SSP - DoD SPRS &amp; FAR and Above'!I191&lt;&gt;"",'SSP - DoD SPRS &amp; FAR and Above'!I191,'SSP - DoD SPRS &amp; FAR and Above'!J191))</f>
        <v/>
      </c>
      <c r="B219" s="567" t="inlineStr">
        <is>
          <t>ISO/CISO</t>
        </is>
      </c>
      <c r="C219" s="568" t="inlineStr">
        <is>
          <t>Funded</t>
        </is>
      </c>
      <c r="D219" s="572" t="inlineStr">
        <is>
          <t>Provide patch SLA evidence by severity, EDR/AV configurations and scan schedules, alert intake logs and weekly reviews, IDS/NSM telemetry and unauthorized-use detections.</t>
        </is>
      </c>
      <c r="E219" s="585" t="inlineStr">
        <is>
          <t>Estimate - 90 days to remediate
Policies and SSP available; attach configs/logs/records as noted</t>
        </is>
      </c>
      <c r="F219" s="574" t="n"/>
      <c r="G219" s="40" t="n"/>
      <c r="H219" s="40" t="n"/>
      <c r="I219" s="40" t="n"/>
      <c r="J219" s="40" t="n"/>
    </row>
    <row r="220" ht="42" customHeight="1" s="566">
      <c r="A220" s="583">
        <f t="array" ref="A220">IF('SSP - DoD SPRS &amp; FAR and Above'!M192&lt;&gt;"Fully Addressed",'SSP - DoD SPRS &amp; FAR and Above'!E192&amp;" - "&amp;IF('SSP - DoD SPRS &amp; FAR and Above'!I192&lt;&gt;"",'SSP - DoD SPRS &amp; FAR and Above'!I192,'SSP - DoD SPRS &amp; FAR and Above'!J192))</f>
        <v/>
      </c>
      <c r="B220" s="567" t="inlineStr">
        <is>
          <t>ISO/CISO</t>
        </is>
      </c>
      <c r="C220" s="568" t="inlineStr">
        <is>
          <t>Funded</t>
        </is>
      </c>
      <c r="D220" s="572" t="inlineStr">
        <is>
          <t>Provide patch SLA evidence by severity, EDR/AV configurations and scan schedules, alert intake logs and weekly reviews, IDS/NSM telemetry and unauthorized-use detections.</t>
        </is>
      </c>
      <c r="E220" s="585" t="inlineStr">
        <is>
          <t>Estimate - 90 days to remediate
Policies and SSP available; attach configs/logs/records as noted</t>
        </is>
      </c>
      <c r="F220" s="574" t="n"/>
      <c r="G220" s="40" t="n"/>
      <c r="H220" s="40" t="n"/>
      <c r="I220" s="40" t="n"/>
      <c r="J220" s="40" t="n"/>
    </row>
    <row r="221" ht="42" customHeight="1" s="566">
      <c r="A221" s="583">
        <f t="array" ref="A221">IF('SSP - DoD SPRS &amp; FAR and Above'!M251&lt;&gt;"Fully Addressed",'SSP - DoD SPRS &amp; FAR and Above'!E251&amp;" - "&amp;IF('SSP - DoD SPRS &amp; FAR and Above'!I251&lt;&gt;"",'SSP - DoD SPRS &amp; FAR and Above'!I251,'SSP - DoD SPRS &amp; FAR and Above'!J251))</f>
        <v/>
      </c>
      <c r="B221" s="567" t="inlineStr">
        <is>
          <t>ISO/CISO</t>
        </is>
      </c>
      <c r="C221" s="568" t="inlineStr">
        <is>
          <t>Funded</t>
        </is>
      </c>
      <c r="D221" s="572" t="inlineStr">
        <is>
          <t>Provide patch SLA evidence by severity, EDR/AV configurations and scan schedules, alert intake logs and weekly reviews, IDS/NSM telemetry and unauthorized-use detections.</t>
        </is>
      </c>
      <c r="E221" s="585" t="inlineStr">
        <is>
          <t>Estimate - 90 days to remediate
Policies and SSP available; attach configs/logs/records as noted</t>
        </is>
      </c>
      <c r="F221" s="574" t="n"/>
      <c r="G221" s="40" t="n"/>
      <c r="H221" s="40" t="n"/>
      <c r="I221" s="40" t="n"/>
      <c r="J221" s="40" t="n"/>
    </row>
    <row r="222" ht="42" customHeight="1" s="566">
      <c r="A222" s="583">
        <f t="array" ref="A222">IF('SSP - DoD SPRS &amp; FAR and Above'!M252&lt;&gt;"Fully Addressed",'SSP - DoD SPRS &amp; FAR and Above'!E252&amp;" - "&amp;IF('SSP - DoD SPRS &amp; FAR and Above'!I252&lt;&gt;"",'SSP - DoD SPRS &amp; FAR and Above'!I252,'SSP - DoD SPRS &amp; FAR and Above'!J252))</f>
        <v/>
      </c>
      <c r="B222" s="567" t="inlineStr">
        <is>
          <t>ISO/CISO</t>
        </is>
      </c>
      <c r="C222" s="568" t="inlineStr">
        <is>
          <t>Funded</t>
        </is>
      </c>
      <c r="D222" s="572" t="inlineStr">
        <is>
          <t>Provide patch SLA evidence by severity, EDR/AV configurations and scan schedules, alert intake logs and weekly reviews, IDS/NSM telemetry and unauthorized-use detections.</t>
        </is>
      </c>
      <c r="E222" s="585" t="inlineStr">
        <is>
          <t>Estimate - 90 days to remediate
Policies and SSP available; attach configs/logs/records as noted</t>
        </is>
      </c>
      <c r="F222" s="574" t="n"/>
      <c r="G222" s="40" t="n"/>
      <c r="H222" s="40" t="n"/>
      <c r="I222" s="40" t="n"/>
      <c r="J222" s="40" t="n"/>
    </row>
    <row r="223" ht="42" customHeight="1" s="566">
      <c r="A223" s="583">
        <f t="array" ref="A223">IF('SSP - DoD SPRS &amp; FAR and Above'!M253&lt;&gt;"Fully Addressed",'SSP - DoD SPRS &amp; FAR and Above'!E253&amp;" - "&amp;IF('SSP - DoD SPRS &amp; FAR and Above'!I253&lt;&gt;"",'SSP - DoD SPRS &amp; FAR and Above'!I253,'SSP - DoD SPRS &amp; FAR and Above'!J253))</f>
        <v/>
      </c>
      <c r="B223" s="567" t="inlineStr">
        <is>
          <t>ISO/CISO</t>
        </is>
      </c>
      <c r="C223" s="568" t="inlineStr">
        <is>
          <t>Funded</t>
        </is>
      </c>
      <c r="D223" s="572" t="inlineStr">
        <is>
          <t>Provide patch SLA evidence by severity, EDR/AV configurations and scan schedules, alert intake logs and weekly reviews, IDS/NSM telemetry and unauthorized-use detections.</t>
        </is>
      </c>
      <c r="E223" s="585" t="inlineStr">
        <is>
          <t>Estimate - 90 days to remediate
Policies and SSP available; attach configs/logs/records as noted</t>
        </is>
      </c>
      <c r="F223" s="574" t="n"/>
      <c r="G223" s="40" t="n"/>
      <c r="H223" s="40" t="n"/>
      <c r="I223" s="40" t="n"/>
      <c r="J223" s="40" t="n"/>
    </row>
    <row r="224" ht="42" customHeight="1" s="566">
      <c r="A224" s="583">
        <f t="array" ref="A224">IF('SSP - DoD SPRS &amp; FAR and Above'!M121&lt;&gt;"Fully Addressed",'SSP - DoD SPRS &amp; FAR and Above'!E121&amp;" - "&amp;IF('SSP - DoD SPRS &amp; FAR and Above'!I121&lt;&gt;"",'SSP - DoD SPRS &amp; FAR and Above'!I121,'SSP - DoD SPRS &amp; FAR and Above'!J121))</f>
        <v/>
      </c>
      <c r="B224" s="567" t="inlineStr">
        <is>
          <t>ISO/CISO</t>
        </is>
      </c>
      <c r="C224" s="568" t="inlineStr">
        <is>
          <t>Funded</t>
        </is>
      </c>
      <c r="D224" s="572" t="inlineStr">
        <is>
          <t>Provide training program/schedule and LMS completion exports (all users + privileged). Include insider-threat content and annual cadence.</t>
        </is>
      </c>
      <c r="E224" s="585" t="inlineStr">
        <is>
          <t>Policies and SSP available; attach configs/logs/records as noted</t>
        </is>
      </c>
      <c r="F224" s="574" t="n"/>
      <c r="G224" s="40" t="n"/>
      <c r="H224" s="40" t="n"/>
      <c r="I224" s="40" t="n"/>
      <c r="J224" s="40" t="n"/>
    </row>
    <row r="225" ht="27.95" customHeight="1" s="566">
      <c r="A225" s="583">
        <f t="array" ref="A225">IF('SSP - DoD SPRS &amp; FAR and Above'!M122&lt;&gt;"Fully Addressed",'SSP - DoD SPRS &amp; FAR and Above'!E122&amp;" - "&amp;IF('SSP - DoD SPRS &amp; FAR and Above'!I122&lt;&gt;"",'SSP - DoD SPRS &amp; FAR and Above'!I122,'SSP - DoD SPRS &amp; FAR and Above'!J122))</f>
        <v/>
      </c>
      <c r="B225" s="567" t="inlineStr">
        <is>
          <t>ISO/CISO</t>
        </is>
      </c>
      <c r="C225" s="568" t="inlineStr">
        <is>
          <t>Funded</t>
        </is>
      </c>
      <c r="D225" s="572" t="inlineStr">
        <is>
          <t>Provide training program/schedule and LMS completion exports (all users + privileged). Include insider-threat content and annual cadence.</t>
        </is>
      </c>
      <c r="E225" s="585" t="inlineStr">
        <is>
          <t>Policies and SSP available; attach configs/logs/records as noted</t>
        </is>
      </c>
      <c r="F225" s="574" t="n"/>
      <c r="G225" s="40" t="n"/>
      <c r="H225" s="40" t="n"/>
      <c r="I225" s="40" t="n"/>
      <c r="J225" s="40" t="n"/>
    </row>
    <row r="226" ht="27.95" customHeight="1" s="566">
      <c r="A226" s="583">
        <f t="array" ref="A226">IF('SSP - DoD SPRS &amp; FAR and Above'!M123&lt;&gt;"Fully Addressed",'SSP - DoD SPRS &amp; FAR and Above'!E123&amp;" - "&amp;IF('SSP - DoD SPRS &amp; FAR and Above'!I123&lt;&gt;"",'SSP - DoD SPRS &amp; FAR and Above'!I123,'SSP - DoD SPRS &amp; FAR and Above'!J123))</f>
        <v/>
      </c>
      <c r="B226" s="567" t="inlineStr">
        <is>
          <t>ISO/CISO</t>
        </is>
      </c>
      <c r="C226" s="568" t="inlineStr">
        <is>
          <t>Funded</t>
        </is>
      </c>
      <c r="D226" s="572" t="inlineStr">
        <is>
          <t>Provide training program/schedule and LMS completion exports (all users + privileged). Include insider-threat content and annual cadence.</t>
        </is>
      </c>
      <c r="E226" s="585" t="inlineStr">
        <is>
          <t>Policies and SSP available; attach configs/logs/records as noted</t>
        </is>
      </c>
      <c r="F226" s="574" t="n"/>
      <c r="G226" s="40" t="n"/>
      <c r="H226" s="40" t="n"/>
      <c r="I226" s="40" t="n"/>
      <c r="J226" s="40" t="n"/>
    </row>
    <row r="227" ht="27.95" customHeight="1" s="566">
      <c r="A227" s="583">
        <f t="array" ref="A227">IF('SSP - DoD SPRS &amp; FAR and Above'!M124&lt;&gt;"Fully Addressed",'SSP - DoD SPRS &amp; FAR and Above'!E124&amp;" - "&amp;IF('SSP - DoD SPRS &amp; FAR and Above'!I124&lt;&gt;"",'SSP - DoD SPRS &amp; FAR and Above'!I124,'SSP - DoD SPRS &amp; FAR and Above'!J124))</f>
        <v/>
      </c>
      <c r="B227" s="567" t="inlineStr">
        <is>
          <t>ISO/CISO</t>
        </is>
      </c>
      <c r="C227" s="568" t="inlineStr">
        <is>
          <t>Funded</t>
        </is>
      </c>
      <c r="D227" s="572" t="inlineStr">
        <is>
          <t>Provide training program/schedule and LMS completion exports (all users + privileged). Include insider-threat content and annual cadence.</t>
        </is>
      </c>
      <c r="E227" s="585" t="inlineStr">
        <is>
          <t>Policies and SSP available; attach configs/logs/records as noted</t>
        </is>
      </c>
      <c r="F227" s="574" t="n"/>
      <c r="G227" s="40" t="n"/>
      <c r="H227" s="40" t="n"/>
      <c r="I227" s="40" t="n"/>
      <c r="J227" s="40" t="n"/>
    </row>
    <row r="228" ht="27.95" customHeight="1" s="566">
      <c r="A228" s="583">
        <f t="array" ref="A228">IF('SSP - DoD SPRS &amp; FAR and Above'!M125&lt;&gt;"Fully Addressed",'SSP - DoD SPRS &amp; FAR and Above'!E125&amp;" - "&amp;IF('SSP - DoD SPRS &amp; FAR and Above'!I125&lt;&gt;"",'SSP - DoD SPRS &amp; FAR and Above'!I125,'SSP - DoD SPRS &amp; FAR and Above'!J125))</f>
        <v/>
      </c>
      <c r="B228" s="567" t="inlineStr">
        <is>
          <t>ISO/CISO</t>
        </is>
      </c>
      <c r="C228" s="568" t="inlineStr">
        <is>
          <t>Funded</t>
        </is>
      </c>
      <c r="D228" s="572" t="inlineStr">
        <is>
          <t>Provide training program/schedule and LMS completion exports (all users + privileged). Include insider-threat content and annual cadence.</t>
        </is>
      </c>
      <c r="E228" s="585" t="inlineStr">
        <is>
          <t>Policies and SSP available; attach configs/logs/records as noted</t>
        </is>
      </c>
      <c r="F228" s="574" t="n"/>
      <c r="G228" s="40" t="n"/>
      <c r="H228" s="40" t="n"/>
      <c r="I228" s="40" t="n"/>
      <c r="J228" s="40" t="n"/>
    </row>
    <row r="229" ht="27.95" customHeight="1" s="566">
      <c r="A229" s="583">
        <f t="array" ref="A229">IF('SSP - DoD SPRS &amp; FAR and Above'!M126&lt;&gt;"Fully Addressed",'SSP - DoD SPRS &amp; FAR and Above'!E126&amp;" - "&amp;IF('SSP - DoD SPRS &amp; FAR and Above'!I126&lt;&gt;"",'SSP - DoD SPRS &amp; FAR and Above'!I126,'SSP - DoD SPRS &amp; FAR and Above'!J126))</f>
        <v/>
      </c>
      <c r="B229" s="567" t="inlineStr">
        <is>
          <t>ISO/CISO</t>
        </is>
      </c>
      <c r="C229" s="568" t="inlineStr">
        <is>
          <t>Funded</t>
        </is>
      </c>
      <c r="D229" s="572" t="inlineStr">
        <is>
          <t>Provide training program/schedule and LMS completion exports (all users + privileged). Include insider-threat content and annual cadence.</t>
        </is>
      </c>
      <c r="E229" s="585" t="inlineStr">
        <is>
          <t>Policies and SSP available; attach configs/logs/records as noted</t>
        </is>
      </c>
      <c r="F229" s="574" t="n"/>
      <c r="G229" s="40" t="n"/>
      <c r="H229" s="40" t="n"/>
      <c r="I229" s="40" t="n"/>
      <c r="J229" s="40" t="n"/>
    </row>
    <row r="230" ht="27.95" customHeight="1" s="566">
      <c r="A230" s="583">
        <f t="array" ref="A230">IF('SSP - DoD SPRS &amp; FAR and Above'!M127&lt;&gt;"Fully Addressed",'SSP - DoD SPRS &amp; FAR and Above'!E127&amp;" - "&amp;IF('SSP - DoD SPRS &amp; FAR and Above'!I127&lt;&gt;"",'SSP - DoD SPRS &amp; FAR and Above'!I127,'SSP - DoD SPRS &amp; FAR and Above'!J127))</f>
        <v/>
      </c>
      <c r="B230" s="567" t="inlineStr">
        <is>
          <t>ISO/CISO</t>
        </is>
      </c>
      <c r="C230" s="568" t="inlineStr">
        <is>
          <t>Funded</t>
        </is>
      </c>
      <c r="D230" s="572" t="inlineStr">
        <is>
          <t>Provide training program/schedule and LMS completion exports (all users + privileged). Include insider-threat content and annual cadence.</t>
        </is>
      </c>
      <c r="E230" s="585" t="inlineStr">
        <is>
          <t>Policies and SSP available; attach configs/logs/records as noted</t>
        </is>
      </c>
      <c r="F230" s="574" t="n"/>
      <c r="G230" s="40" t="n"/>
      <c r="H230" s="40" t="n"/>
      <c r="I230" s="40" t="n"/>
      <c r="J230" s="40" t="n"/>
    </row>
    <row r="231" ht="27.95" customHeight="1" s="566">
      <c r="A231" s="583">
        <f t="array" ref="A231">IF('SSP - DoD SPRS &amp; FAR and Above'!M128&lt;&gt;"Fully Addressed",'SSP - DoD SPRS &amp; FAR and Above'!E128&amp;" - "&amp;IF('SSP - DoD SPRS &amp; FAR and Above'!I128&lt;&gt;"",'SSP - DoD SPRS &amp; FAR and Above'!I128,'SSP - DoD SPRS &amp; FAR and Above'!J128))</f>
        <v/>
      </c>
      <c r="B231" s="567" t="inlineStr">
        <is>
          <t>ISO/CISO</t>
        </is>
      </c>
      <c r="C231" s="568" t="inlineStr">
        <is>
          <t>Funded</t>
        </is>
      </c>
      <c r="D231" s="572" t="inlineStr">
        <is>
          <t>Provide training program/schedule and LMS completion exports (all users + privileged). Include insider-threat content and annual cadence.</t>
        </is>
      </c>
      <c r="E231" s="585" t="inlineStr">
        <is>
          <t>Policies and SSP available; attach configs/logs/records as noted</t>
        </is>
      </c>
      <c r="F231" s="574" t="n"/>
      <c r="G231" s="40" t="n"/>
      <c r="H231" s="40" t="n"/>
      <c r="I231" s="40" t="n"/>
      <c r="J231" s="40" t="n"/>
    </row>
    <row r="232" ht="27.95" customHeight="1" s="566">
      <c r="A232" s="583">
        <f t="array" ref="A232">IF('SSP - DoD SPRS &amp; FAR and Above'!M129&lt;&gt;"Fully Addressed",'SSP - DoD SPRS &amp; FAR and Above'!E129&amp;" - "&amp;IF('SSP - DoD SPRS &amp; FAR and Above'!I129&lt;&gt;"",'SSP - DoD SPRS &amp; FAR and Above'!I129,'SSP - DoD SPRS &amp; FAR and Above'!J129))</f>
        <v/>
      </c>
      <c r="B232" s="567" t="inlineStr">
        <is>
          <t>ISO/CISO</t>
        </is>
      </c>
      <c r="C232" s="568" t="inlineStr">
        <is>
          <t>Funded</t>
        </is>
      </c>
      <c r="D232" s="572" t="inlineStr">
        <is>
          <t>Provide training program/schedule and LMS completion exports (all users + privileged). Include insider-threat content and annual cadence.</t>
        </is>
      </c>
      <c r="E232" s="585" t="inlineStr">
        <is>
          <t>Policies and SSP available; attach configs/logs/records as noted</t>
        </is>
      </c>
      <c r="F232" s="574" t="n"/>
      <c r="G232" s="40" t="n"/>
      <c r="H232" s="40" t="n"/>
      <c r="I232" s="40" t="n"/>
      <c r="J232" s="40" t="n"/>
    </row>
    <row r="233" ht="27.95" customHeight="1" s="566">
      <c r="A233" s="583">
        <f t="array" ref="A233">IF('SSP - DoD SPRS &amp; FAR and Above'!M130&lt;&gt;"Fully Addressed",'SSP - DoD SPRS &amp; FAR and Above'!E130&amp;" - "&amp;IF('SSP - DoD SPRS &amp; FAR and Above'!I130&lt;&gt;"",'SSP - DoD SPRS &amp; FAR and Above'!I130,'SSP - DoD SPRS &amp; FAR and Above'!J130))</f>
        <v/>
      </c>
      <c r="B233" s="567" t="inlineStr">
        <is>
          <t>ISO/CISO</t>
        </is>
      </c>
      <c r="C233" s="568" t="inlineStr">
        <is>
          <t>Funded</t>
        </is>
      </c>
      <c r="D233" s="572" t="inlineStr">
        <is>
          <t>Provide training program/schedule and LMS completion exports (all users + privileged). Include insider-threat content and annual cadence.</t>
        </is>
      </c>
      <c r="E233" s="585" t="inlineStr">
        <is>
          <t>Policies and SSP available; attach configs/logs/records as noted</t>
        </is>
      </c>
      <c r="F233" s="574" t="n"/>
      <c r="G233" s="40" t="n"/>
      <c r="H233" s="40" t="n"/>
      <c r="I233" s="40" t="n"/>
      <c r="J233" s="40" t="n"/>
    </row>
    <row r="234" ht="27.95" customHeight="1" s="566">
      <c r="A234" s="583">
        <f t="array" ref="A234">IF('SSP - DoD SPRS &amp; FAR and Above'!M131&lt;&gt;"Fully Addressed",'SSP - DoD SPRS &amp; FAR and Above'!E131&amp;" - "&amp;IF('SSP - DoD SPRS &amp; FAR and Above'!I131&lt;&gt;"",'SSP - DoD SPRS &amp; FAR and Above'!I131,'SSP - DoD SPRS &amp; FAR and Above'!J131))</f>
        <v/>
      </c>
      <c r="B234" s="567" t="inlineStr">
        <is>
          <t>ISO/CISO</t>
        </is>
      </c>
      <c r="C234" s="568" t="inlineStr">
        <is>
          <t>Funded</t>
        </is>
      </c>
      <c r="D234" s="572" t="inlineStr">
        <is>
          <t>Provide training program/schedule and LMS completion exports (all users + privileged). Include insider-threat content and annual cadence.</t>
        </is>
      </c>
      <c r="E234" s="585" t="inlineStr">
        <is>
          <t>Policies and SSP available; attach configs/logs/records as noted</t>
        </is>
      </c>
      <c r="F234" s="574" t="n"/>
      <c r="G234" s="40" t="n"/>
      <c r="H234" s="40" t="n"/>
      <c r="I234" s="40" t="n"/>
      <c r="J234" s="40" t="n"/>
    </row>
    <row r="235" ht="27.95" customHeight="1" s="566">
      <c r="A235" s="583">
        <f t="array" ref="A235">IF('SSP - DoD SPRS &amp; FAR and Above'!M132&lt;&gt;"Fully Addressed",'SSP - DoD SPRS &amp; FAR and Above'!E132&amp;" - "&amp;IF('SSP - DoD SPRS &amp; FAR and Above'!I132&lt;&gt;"",'SSP - DoD SPRS &amp; FAR and Above'!I132,'SSP - DoD SPRS &amp; FAR and Above'!J132))</f>
        <v/>
      </c>
      <c r="B235" s="567" t="inlineStr">
        <is>
          <t>ISO/CISO</t>
        </is>
      </c>
      <c r="C235" s="568" t="inlineStr">
        <is>
          <t>Funded</t>
        </is>
      </c>
      <c r="D235" s="572" t="inlineStr">
        <is>
          <t>Provide training program/schedule and LMS completion exports (all users + privileged). Include insider-threat content and annual cadence.</t>
        </is>
      </c>
      <c r="E235" s="585" t="inlineStr">
        <is>
          <t>Policies and SSP available; attach configs/logs/records as noted</t>
        </is>
      </c>
      <c r="F235" s="574" t="n"/>
      <c r="G235" s="40" t="n"/>
      <c r="H235" s="40" t="n"/>
      <c r="I235" s="40" t="n"/>
      <c r="J235" s="40" t="n"/>
    </row>
    <row r="236" ht="98.09999999999999" customHeight="1" s="566">
      <c r="A236" s="583">
        <f t="array" ref="A236">IF('SSP - DoD SPRS &amp; FAR and Above'!M233&lt;&gt;"Fully Addressed",'SSP - DoD SPRS &amp; FAR and Above'!E233&amp;" - "&amp;IF('SSP - DoD SPRS &amp; FAR and Above'!I233&lt;&gt;"",'SSP - DoD SPRS &amp; FAR and Above'!I233,'SSP - DoD SPRS &amp; FAR and Above'!J233))</f>
        <v/>
      </c>
      <c r="B236" s="567" t="inlineStr">
        <is>
          <t>ISO/CISO</t>
        </is>
      </c>
      <c r="C236" s="568" t="inlineStr">
        <is>
          <t>Funded</t>
        </is>
      </c>
      <c r="D236" s="572" t="inlineStr">
        <is>
          <t>Evidence to support organizations to define, generate, protect, and retain audit logs for systems processing CUI, ensuring that relevant security events are recorded with accurate timestamps. Organizations must regularly review and analyze audit logs, alert on logging failures, and protect logs from unauthorized modification or deletion. Collectively, these practices ensure accountability, support incident detection and response, and provide evidence of security activities.</t>
        </is>
      </c>
      <c r="E236" s="585" t="inlineStr">
        <is>
          <t>Estimate 90 days to remediate. 
Policies and SSP available; attach configs/logs/records as noted</t>
        </is>
      </c>
      <c r="F236" s="574" t="n"/>
      <c r="G236" s="40" t="n"/>
      <c r="H236" s="40" t="n"/>
      <c r="I236" s="40" t="n"/>
      <c r="J236" s="40" t="n"/>
    </row>
    <row r="237" ht="98.09999999999999" customHeight="1" s="566">
      <c r="A237" s="583">
        <f t="array" ref="A237">IF('SSP - DoD SPRS &amp; FAR and Above'!M234&lt;&gt;"Fully Addressed",'SSP - DoD SPRS &amp; FAR and Above'!E234&amp;" - "&amp;IF('SSP - DoD SPRS &amp; FAR and Above'!I234&lt;&gt;"",'SSP - DoD SPRS &amp; FAR and Above'!I234,'SSP - DoD SPRS &amp; FAR and Above'!J234))</f>
        <v/>
      </c>
      <c r="B237" s="567" t="inlineStr">
        <is>
          <t>ISO/CISO</t>
        </is>
      </c>
      <c r="C237" s="568" t="inlineStr">
        <is>
          <t>Funded</t>
        </is>
      </c>
      <c r="D237" s="572" t="inlineStr">
        <is>
          <t>Evidence to support organizations to define, generate, protect, and retain audit logs for systems processing CUI, ensuring that relevant security events are recorded with accurate timestamps. Organizations must regularly review and analyze audit logs, alert on logging failures, and protect logs from unauthorized modification or deletion. Collectively, these practices ensure accountability, support incident detection and response, and provide evidence of security activities.</t>
        </is>
      </c>
      <c r="E237" s="585" t="inlineStr">
        <is>
          <t>Estimate 90 days to remediate. 
Policies and SSP available; attach configs/logs/records as noted</t>
        </is>
      </c>
      <c r="F237" s="574" t="n"/>
      <c r="G237" s="40" t="n"/>
      <c r="H237" s="40" t="n"/>
      <c r="I237" s="40" t="n"/>
      <c r="J237" s="40" t="n"/>
    </row>
    <row r="238" ht="98.09999999999999" customHeight="1" s="566">
      <c r="A238" s="583">
        <f t="array" ref="A238">IF('SSP - DoD SPRS &amp; FAR and Above'!M235&lt;&gt;"Fully Addressed",'SSP - DoD SPRS &amp; FAR and Above'!E235&amp;" - "&amp;IF('SSP - DoD SPRS &amp; FAR and Above'!I235&lt;&gt;"",'SSP - DoD SPRS &amp; FAR and Above'!I235,'SSP - DoD SPRS &amp; FAR and Above'!J235))</f>
        <v/>
      </c>
      <c r="B238" s="567" t="inlineStr">
        <is>
          <t>ISO/CISO</t>
        </is>
      </c>
      <c r="C238" s="568" t="inlineStr">
        <is>
          <t>Funded</t>
        </is>
      </c>
      <c r="D238" s="572" t="inlineStr">
        <is>
          <t>Evidence to support organizations to define, generate, protect, and retain audit logs for systems processing CUI, ensuring that relevant security events are recorded with accurate timestamps. Organizations must regularly review and analyze audit logs, alert on logging failures, and protect logs from unauthorized modification or deletion. Collectively, these practices ensure accountability, support incident detection and response, and provide evidence of security activities.</t>
        </is>
      </c>
      <c r="E238" s="585" t="inlineStr">
        <is>
          <t>Estimate 90 days to remediate. 
Policies and SSP available; attach configs/logs/records as noted</t>
        </is>
      </c>
      <c r="F238" s="574" t="n"/>
      <c r="G238" s="40" t="n"/>
      <c r="H238" s="40" t="n"/>
      <c r="I238" s="40" t="n"/>
      <c r="J238" s="40" t="n"/>
    </row>
    <row r="239" ht="98.09999999999999" customHeight="1" s="566">
      <c r="A239" s="583">
        <f t="array" ref="A239">IF('SSP - DoD SPRS &amp; FAR and Above'!M236&lt;&gt;"Fully Addressed",'SSP - DoD SPRS &amp; FAR and Above'!E236&amp;" - "&amp;IF('SSP - DoD SPRS &amp; FAR and Above'!I236&lt;&gt;"",'SSP - DoD SPRS &amp; FAR and Above'!I236,'SSP - DoD SPRS &amp; FAR and Above'!J236))</f>
        <v/>
      </c>
      <c r="B239" s="567" t="inlineStr">
        <is>
          <t>ISO/CISO</t>
        </is>
      </c>
      <c r="C239" s="568" t="inlineStr">
        <is>
          <t>Funded</t>
        </is>
      </c>
      <c r="D239" s="572" t="inlineStr">
        <is>
          <t>Evidence to support organizations to define, generate, protect, and retain audit logs for systems processing CUI, ensuring that relevant security events are recorded with accurate timestamps. Organizations must regularly review and analyze audit logs, alert on logging failures, and protect logs from unauthorized modification or deletion. Collectively, these practices ensure accountability, support incident detection and response, and provide evidence of security activities.</t>
        </is>
      </c>
      <c r="E239" s="585" t="inlineStr">
        <is>
          <t>Estimate 90 days to remediate. 
Policies and SSP available; attach configs/logs/records as noted</t>
        </is>
      </c>
      <c r="F239" s="574" t="n"/>
      <c r="G239" s="40" t="n"/>
      <c r="H239" s="40" t="n"/>
      <c r="I239" s="40" t="n"/>
      <c r="J239" s="40" t="n"/>
    </row>
    <row r="240" ht="98.09999999999999" customHeight="1" s="566">
      <c r="A240" s="583">
        <f t="array" ref="A240">IF('SSP - DoD SPRS &amp; FAR and Above'!M237&lt;&gt;"Fully Addressed",'SSP - DoD SPRS &amp; FAR and Above'!E237&amp;" - "&amp;IF('SSP - DoD SPRS &amp; FAR and Above'!I237&lt;&gt;"",'SSP - DoD SPRS &amp; FAR and Above'!I237,'SSP - DoD SPRS &amp; FAR and Above'!J237))</f>
        <v/>
      </c>
      <c r="B240" s="567" t="inlineStr">
        <is>
          <t>ISO/CISO</t>
        </is>
      </c>
      <c r="C240" s="568" t="inlineStr">
        <is>
          <t>Funded</t>
        </is>
      </c>
      <c r="D240" s="572" t="inlineStr">
        <is>
          <t>Evidence to support organizations to define, generate, protect, and retain audit logs for systems processing CUI, ensuring that relevant security events are recorded with accurate timestamps. Organizations must regularly review and analyze audit logs, alert on logging failures, and protect logs from unauthorized modification or deletion. Collectively, these practices ensure accountability, support incident detection and response, and provide evidence of security activities.</t>
        </is>
      </c>
      <c r="E240" s="585" t="inlineStr">
        <is>
          <t>Estimate 90 days to remediate. 
Policies and SSP available; attach configs/logs/records as noted</t>
        </is>
      </c>
      <c r="F240" s="574" t="n"/>
      <c r="G240" s="40" t="n"/>
      <c r="H240" s="40" t="n"/>
      <c r="I240" s="40" t="n"/>
      <c r="J240" s="40" t="n"/>
    </row>
    <row r="241" ht="98.09999999999999" customHeight="1" s="566">
      <c r="A241" s="583">
        <f t="array" ref="A241">IF('SSP - DoD SPRS &amp; FAR and Above'!M238&lt;&gt;"Fully Addressed",'SSP - DoD SPRS &amp; FAR and Above'!E238&amp;" - "&amp;IF('SSP - DoD SPRS &amp; FAR and Above'!I238&lt;&gt;"",'SSP - DoD SPRS &amp; FAR and Above'!I238,'SSP - DoD SPRS &amp; FAR and Above'!J238))</f>
        <v/>
      </c>
      <c r="B241" s="567" t="inlineStr">
        <is>
          <t>ISO/CISO</t>
        </is>
      </c>
      <c r="C241" s="568" t="inlineStr">
        <is>
          <t>Funded</t>
        </is>
      </c>
      <c r="D241" s="572" t="inlineStr">
        <is>
          <t>Evidence to support organizations to define, generate, protect, and retain audit logs for systems processing CUI, ensuring that relevant security events are recorded with accurate timestamps. Organizations must regularly review and analyze audit logs, alert on logging failures, and protect logs from unauthorized modification or deletion. Collectively, these practices ensure accountability, support incident detection and response, and provide evidence of security activities.</t>
        </is>
      </c>
      <c r="E241" s="585" t="inlineStr">
        <is>
          <t>Estimate 90 days to remediate. 
Policies and SSP available; attach configs/logs/records as noted</t>
        </is>
      </c>
      <c r="F241" s="574" t="n"/>
      <c r="G241" s="40" t="n"/>
      <c r="H241" s="40" t="n"/>
      <c r="I241" s="40" t="n"/>
      <c r="J241" s="40" t="n"/>
    </row>
    <row r="242" ht="98.09999999999999" customHeight="1" s="566">
      <c r="A242" s="583">
        <f t="array" ref="A242">IF('SSP - DoD SPRS &amp; FAR and Above'!M239&lt;&gt;"Fully Addressed",'SSP - DoD SPRS &amp; FAR and Above'!E239&amp;" - "&amp;IF('SSP - DoD SPRS &amp; FAR and Above'!I239&lt;&gt;"",'SSP - DoD SPRS &amp; FAR and Above'!I239,'SSP - DoD SPRS &amp; FAR and Above'!J239))</f>
        <v/>
      </c>
      <c r="B242" s="567" t="inlineStr">
        <is>
          <t>ISO/CISO</t>
        </is>
      </c>
      <c r="C242" s="568" t="inlineStr">
        <is>
          <t>Funded</t>
        </is>
      </c>
      <c r="D242" s="572" t="inlineStr">
        <is>
          <t>Evidence to support organizations to define, generate, protect, and retain audit logs for systems processing CUI, ensuring that relevant security events are recorded with accurate timestamps. Organizations must regularly review and analyze audit logs, alert on logging failures, and protect logs from unauthorized modification or deletion. Collectively, these practices ensure accountability, support incident detection and response, and provide evidence of security activities.</t>
        </is>
      </c>
      <c r="E242" s="585" t="inlineStr">
        <is>
          <t>Estimate 90 days to remediate. 
Policies and SSP available; attach configs/logs/records as noted</t>
        </is>
      </c>
      <c r="F242" s="574" t="n"/>
      <c r="G242" s="40" t="n"/>
      <c r="H242" s="40" t="n"/>
      <c r="I242" s="40" t="n"/>
      <c r="J242" s="40" t="n"/>
    </row>
    <row r="243" ht="98.09999999999999" customHeight="1" s="566">
      <c r="A243" s="583">
        <f t="array" ref="A243">IF('SSP - DoD SPRS &amp; FAR and Above'!M230&lt;&gt;"Fully Addressed",'SSP - DoD SPRS &amp; FAR and Above'!E230&amp;" - "&amp;IF('SSP - DoD SPRS &amp; FAR and Above'!I230&lt;&gt;"",'SSP - DoD SPRS &amp; FAR and Above'!I230,'SSP - DoD SPRS &amp; FAR and Above'!J230))</f>
        <v/>
      </c>
      <c r="B243" s="567" t="inlineStr">
        <is>
          <t>ISO/CISO</t>
        </is>
      </c>
      <c r="C243" s="568" t="inlineStr">
        <is>
          <t>Funded</t>
        </is>
      </c>
      <c r="D243" s="572" t="inlineStr">
        <is>
          <t>Evidence to support organizations to define, generate, protect, and retain audit logs for systems processing CUI, ensuring that relevant security events are recorded with accurate timestamps. Organizations must regularly review and analyze audit logs, alert on logging failures, and protect logs from unauthorized modification or deletion. Collectively, these practices ensure accountability, support incident detection and response, and provide evidence of security activities.</t>
        </is>
      </c>
      <c r="E243" s="585" t="inlineStr">
        <is>
          <t>Estimate 90 days to remediate. 
Policies and SSP available; attach configs/logs/records as noted</t>
        </is>
      </c>
      <c r="F243" s="574" t="n"/>
      <c r="G243" s="40" t="n"/>
      <c r="H243" s="40" t="n"/>
      <c r="I243" s="40" t="n"/>
      <c r="J243" s="40" t="n"/>
    </row>
    <row r="244" ht="98.09999999999999" customHeight="1" s="566">
      <c r="A244" s="583">
        <f t="array" ref="A244">IF('SSP - DoD SPRS &amp; FAR and Above'!M231&lt;&gt;"Fully Addressed",'SSP - DoD SPRS &amp; FAR and Above'!E231&amp;" - "&amp;IF('SSP - DoD SPRS &amp; FAR and Above'!I231&lt;&gt;"",'SSP - DoD SPRS &amp; FAR and Above'!I231,'SSP - DoD SPRS &amp; FAR and Above'!J231))</f>
        <v/>
      </c>
      <c r="B244" s="567" t="inlineStr">
        <is>
          <t>ISO/CISO</t>
        </is>
      </c>
      <c r="C244" s="568" t="inlineStr">
        <is>
          <t>Funded</t>
        </is>
      </c>
      <c r="D244" s="572" t="inlineStr">
        <is>
          <t>Evidence to support organizations to define, generate, protect, and retain audit logs for systems processing CUI, ensuring that relevant security events are recorded with accurate timestamps. Organizations must regularly review and analyze audit logs, alert on logging failures, and protect logs from unauthorized modification or deletion. Collectively, these practices ensure accountability, support incident detection and response, and provide evidence of security activities.</t>
        </is>
      </c>
      <c r="E244" s="585" t="inlineStr">
        <is>
          <t>Estimate 90 days to remediate. 
Policies and SSP available; attach configs/logs/records as noted</t>
        </is>
      </c>
      <c r="F244" s="574" t="n"/>
      <c r="G244" s="40" t="n"/>
      <c r="H244" s="40" t="n"/>
      <c r="I244" s="40" t="n"/>
      <c r="J244" s="40" t="n"/>
    </row>
    <row r="245" ht="98.09999999999999" customHeight="1" s="566">
      <c r="A245" s="583">
        <f t="array" ref="A245">IF('SSP - DoD SPRS &amp; FAR and Above'!M232&lt;&gt;"Fully Addressed",'SSP - DoD SPRS &amp; FAR and Above'!E232&amp;" - "&amp;IF('SSP - DoD SPRS &amp; FAR and Above'!I232&lt;&gt;"",'SSP - DoD SPRS &amp; FAR and Above'!I232,'SSP - DoD SPRS &amp; FAR and Above'!J232))</f>
        <v/>
      </c>
      <c r="B245" s="567" t="inlineStr">
        <is>
          <t>ISO/CISO</t>
        </is>
      </c>
      <c r="C245" s="568" t="inlineStr">
        <is>
          <t>Funded</t>
        </is>
      </c>
      <c r="D245" s="572" t="inlineStr">
        <is>
          <t>Evidence to support organizations to define, generate, protect, and retain audit logs for systems processing CUI, ensuring that relevant security events are recorded with accurate timestamps. Organizations must regularly review and analyze audit logs, alert on logging failures, and protect logs from unauthorized modification or deletion. Collectively, these practices ensure accountability, support incident detection and response, and provide evidence of security activities.</t>
        </is>
      </c>
      <c r="E245" s="585" t="inlineStr">
        <is>
          <t>Estimate 90 days to remediate. 
Policies and SSP available; attach configs/logs/records as noted</t>
        </is>
      </c>
      <c r="F245" s="574" t="n"/>
      <c r="G245" s="40" t="n"/>
      <c r="H245" s="40" t="n"/>
      <c r="I245" s="40" t="n"/>
      <c r="J245" s="40" t="n"/>
    </row>
    <row r="246" ht="98.09999999999999" customHeight="1" s="566">
      <c r="A246" s="583">
        <f t="array" ref="A246">IF('SSP - DoD SPRS &amp; FAR and Above'!M240&lt;&gt;"Fully Addressed",'SSP - DoD SPRS &amp; FAR and Above'!E240&amp;" - "&amp;IF('SSP - DoD SPRS &amp; FAR and Above'!I240&lt;&gt;"",'SSP - DoD SPRS &amp; FAR and Above'!I240,'SSP - DoD SPRS &amp; FAR and Above'!J240))</f>
        <v/>
      </c>
      <c r="B246" s="567" t="inlineStr">
        <is>
          <t>ISO/CISO</t>
        </is>
      </c>
      <c r="C246" s="568" t="inlineStr">
        <is>
          <t>Funded</t>
        </is>
      </c>
      <c r="D246" s="572" t="inlineStr">
        <is>
          <t>Evidence to support organizations to define, generate, protect, and retain audit logs for systems processing CUI, ensuring that relevant security events are recorded with accurate timestamps. Organizations must regularly review and analyze audit logs, alert on logging failures, and protect logs from unauthorized modification or deletion. Collectively, these practices ensure accountability, support incident detection and response, and provide evidence of security activities.</t>
        </is>
      </c>
      <c r="E246" s="585" t="inlineStr">
        <is>
          <t>Estimate 90 days to remediate. 
Policies and SSP available; attach configs/logs/records as noted</t>
        </is>
      </c>
      <c r="F246" s="574" t="n"/>
      <c r="G246" s="40" t="n"/>
      <c r="H246" s="40" t="n"/>
      <c r="I246" s="40" t="n"/>
      <c r="J246" s="40" t="n"/>
    </row>
    <row r="247" ht="98.09999999999999" customHeight="1" s="566">
      <c r="A247" s="583">
        <f t="array" ref="A247">IF('SSP - DoD SPRS &amp; FAR and Above'!M241&lt;&gt;"Fully Addressed",'SSP - DoD SPRS &amp; FAR and Above'!E241&amp;" - "&amp;IF('SSP - DoD SPRS &amp; FAR and Above'!I241&lt;&gt;"",'SSP - DoD SPRS &amp; FAR and Above'!I241,'SSP - DoD SPRS &amp; FAR and Above'!J241))</f>
        <v/>
      </c>
      <c r="B247" s="567" t="inlineStr">
        <is>
          <t>ISO/CISO</t>
        </is>
      </c>
      <c r="C247" s="568" t="inlineStr">
        <is>
          <t>Funded</t>
        </is>
      </c>
      <c r="D247" s="572" t="inlineStr">
        <is>
          <t>Evidence to support organizations to define, generate, protect, and retain audit logs for systems processing CUI, ensuring that relevant security events are recorded with accurate timestamps. Organizations must regularly review and analyze audit logs, alert on logging failures, and protect logs from unauthorized modification or deletion. Collectively, these practices ensure accountability, support incident detection and response, and provide evidence of security activities.</t>
        </is>
      </c>
      <c r="E247" s="585" t="inlineStr">
        <is>
          <t>Estimate 90 days to remediate. 
Policies and SSP available; attach configs/logs/records as noted</t>
        </is>
      </c>
      <c r="F247" s="574" t="n"/>
      <c r="G247" s="40" t="n"/>
      <c r="H247" s="40" t="n"/>
      <c r="I247" s="40" t="n"/>
      <c r="J247" s="40" t="n"/>
    </row>
    <row r="248" ht="98.09999999999999" customHeight="1" s="566">
      <c r="A248" s="583">
        <f t="array" ref="A248">IF('SSP - DoD SPRS &amp; FAR and Above'!M242&lt;&gt;"Fully Addressed",'SSP - DoD SPRS &amp; FAR and Above'!E242&amp;" - "&amp;IF('SSP - DoD SPRS &amp; FAR and Above'!I242&lt;&gt;"",'SSP - DoD SPRS &amp; FAR and Above'!I242,'SSP - DoD SPRS &amp; FAR and Above'!J242))</f>
        <v/>
      </c>
      <c r="B248" s="567" t="inlineStr">
        <is>
          <t>ISO/CISO</t>
        </is>
      </c>
      <c r="C248" s="568" t="inlineStr">
        <is>
          <t>Funded</t>
        </is>
      </c>
      <c r="D248" s="572" t="inlineStr">
        <is>
          <t>Evidence to support organizations to define, generate, protect, and retain audit logs for systems processing CUI, ensuring that relevant security events are recorded with accurate timestamps. Organizations must regularly review and analyze audit logs, alert on logging failures, and protect logs from unauthorized modification or deletion. Collectively, these practices ensure accountability, support incident detection and response, and provide evidence of security activities.</t>
        </is>
      </c>
      <c r="E248" s="585" t="inlineStr">
        <is>
          <t>Estimate 90 days to remediate. 
Policies and SSP available; attach configs/logs/records as noted</t>
        </is>
      </c>
      <c r="F248" s="574" t="n"/>
      <c r="G248" s="40" t="n"/>
      <c r="H248" s="40" t="n"/>
      <c r="I248" s="40" t="n"/>
      <c r="J248" s="40" t="n"/>
    </row>
    <row r="249" ht="98.09999999999999" customHeight="1" s="566">
      <c r="A249" s="583">
        <f t="array" ref="A249">IF('SSP - DoD SPRS &amp; FAR and Above'!M243&lt;&gt;"Fully Addressed",'SSP - DoD SPRS &amp; FAR and Above'!E243&amp;" - "&amp;IF('SSP - DoD SPRS &amp; FAR and Above'!I243&lt;&gt;"",'SSP - DoD SPRS &amp; FAR and Above'!I243,'SSP - DoD SPRS &amp; FAR and Above'!J243))</f>
        <v/>
      </c>
      <c r="B249" s="567" t="inlineStr">
        <is>
          <t>ISO/CISO</t>
        </is>
      </c>
      <c r="C249" s="568" t="inlineStr">
        <is>
          <t>Funded</t>
        </is>
      </c>
      <c r="D249" s="572" t="inlineStr">
        <is>
          <t>Evidence to support organizations to define, generate, protect, and retain audit logs for systems processing CUI, ensuring that relevant security events are recorded with accurate timestamps. Organizations must regularly review and analyze audit logs, alert on logging failures, and protect logs from unauthorized modification or deletion. Collectively, these practices ensure accountability, support incident detection and response, and provide evidence of security activities.</t>
        </is>
      </c>
      <c r="E249" s="585" t="inlineStr">
        <is>
          <t>Estimate 90 days to remediate. 
Policies and SSP available; attach configs/logs/records as noted</t>
        </is>
      </c>
      <c r="F249" s="574" t="n"/>
      <c r="G249" s="40" t="n"/>
      <c r="H249" s="40" t="n"/>
      <c r="I249" s="40" t="n"/>
      <c r="J249" s="40" t="n"/>
    </row>
    <row r="250" ht="98.09999999999999" customHeight="1" s="566">
      <c r="A250" s="583">
        <f t="array" ref="A250">IF('SSP - DoD SPRS &amp; FAR and Above'!M244&lt;&gt;"Fully Addressed",'SSP - DoD SPRS &amp; FAR and Above'!E244&amp;" - "&amp;IF('SSP - DoD SPRS &amp; FAR and Above'!I244&lt;&gt;"",'SSP - DoD SPRS &amp; FAR and Above'!I244,'SSP - DoD SPRS &amp; FAR and Above'!J244))</f>
        <v/>
      </c>
      <c r="B250" s="567" t="inlineStr">
        <is>
          <t>ISO/CISO</t>
        </is>
      </c>
      <c r="C250" s="568" t="inlineStr">
        <is>
          <t>Funded</t>
        </is>
      </c>
      <c r="D250" s="572" t="inlineStr">
        <is>
          <t>Evidence to support organizations to define, generate, protect, and retain audit logs for systems processing CUI, ensuring that relevant security events are recorded with accurate timestamps. Organizations must regularly review and analyze audit logs, alert on logging failures, and protect logs from unauthorized modification or deletion. Collectively, these practices ensure accountability, support incident detection and response, and provide evidence of security activities.</t>
        </is>
      </c>
      <c r="E250" s="585" t="inlineStr">
        <is>
          <t>Estimate 90 days to remediate. 
Policies and SSP available; attach configs/logs/records as noted</t>
        </is>
      </c>
      <c r="F250" s="574" t="n"/>
      <c r="G250" s="40" t="n"/>
      <c r="H250" s="40" t="n"/>
      <c r="I250" s="40" t="n"/>
      <c r="J250" s="40" t="n"/>
    </row>
    <row r="251" ht="98.09999999999999" customHeight="1" s="566">
      <c r="A251" s="583">
        <f t="array" ref="A251">IF('SSP - DoD SPRS &amp; FAR and Above'!M245&lt;&gt;"Fully Addressed",'SSP - DoD SPRS &amp; FAR and Above'!E245&amp;" - "&amp;IF('SSP - DoD SPRS &amp; FAR and Above'!I245&lt;&gt;"",'SSP - DoD SPRS &amp; FAR and Above'!I245,'SSP - DoD SPRS &amp; FAR and Above'!J245))</f>
        <v/>
      </c>
      <c r="B251" s="567" t="inlineStr">
        <is>
          <t>ISO/CISO</t>
        </is>
      </c>
      <c r="C251" s="568" t="inlineStr">
        <is>
          <t>Funded</t>
        </is>
      </c>
      <c r="D251" s="572" t="inlineStr">
        <is>
          <t>Evidence to support organizations to define, generate, protect, and retain audit logs for systems processing CUI, ensuring that relevant security events are recorded with accurate timestamps. Organizations must regularly review and analyze audit logs, alert on logging failures, and protect logs from unauthorized modification or deletion. Collectively, these practices ensure accountability, support incident detection and response, and provide evidence of security activities.</t>
        </is>
      </c>
      <c r="E251" s="585" t="inlineStr">
        <is>
          <t>Estimate 90 days to remediate. 
Policies and SSP available; attach configs/logs/records as noted</t>
        </is>
      </c>
      <c r="F251" s="574" t="n"/>
      <c r="G251" s="40" t="n"/>
      <c r="H251" s="40" t="n"/>
      <c r="I251" s="40" t="n"/>
      <c r="J251" s="40" t="n"/>
    </row>
    <row r="252" ht="98.09999999999999" customHeight="1" s="566">
      <c r="A252" s="583">
        <f t="array" ref="A252">IF('SSP - DoD SPRS &amp; FAR and Above'!M246&lt;&gt;"Fully Addressed",'SSP - DoD SPRS &amp; FAR and Above'!E246&amp;" - "&amp;IF('SSP - DoD SPRS &amp; FAR and Above'!I246&lt;&gt;"",'SSP - DoD SPRS &amp; FAR and Above'!I246,'SSP - DoD SPRS &amp; FAR and Above'!J246))</f>
        <v/>
      </c>
      <c r="B252" s="567" t="inlineStr">
        <is>
          <t>ISO/CISO</t>
        </is>
      </c>
      <c r="C252" s="568" t="inlineStr">
        <is>
          <t>Funded</t>
        </is>
      </c>
      <c r="D252" s="572" t="inlineStr">
        <is>
          <t>Evidence to support organizations to define, generate, protect, and retain audit logs for systems processing CUI, ensuring that relevant security events are recorded with accurate timestamps. Organizations must regularly review and analyze audit logs, alert on logging failures, and protect logs from unauthorized modification or deletion. Collectively, these practices ensure accountability, support incident detection and response, and provide evidence of security activities.</t>
        </is>
      </c>
      <c r="E252" s="585" t="inlineStr">
        <is>
          <t>Estimate 90 days to remediate. 
Policies and SSP available; attach configs/logs/records as noted</t>
        </is>
      </c>
      <c r="F252" s="574" t="n"/>
      <c r="G252" s="40" t="n"/>
      <c r="H252" s="40" t="n"/>
      <c r="I252" s="40" t="n"/>
      <c r="J252" s="40" t="n"/>
    </row>
    <row r="253" ht="98.09999999999999" customHeight="1" s="566">
      <c r="A253" s="583">
        <f t="array" ref="A253">IF('SSP - DoD SPRS &amp; FAR and Above'!M247&lt;&gt;"Fully Addressed",'SSP - DoD SPRS &amp; FAR and Above'!E247&amp;" - "&amp;IF('SSP - DoD SPRS &amp; FAR and Above'!I247&lt;&gt;"",'SSP - DoD SPRS &amp; FAR and Above'!I247,'SSP - DoD SPRS &amp; FAR and Above'!J247))</f>
        <v/>
      </c>
      <c r="B253" s="567" t="inlineStr">
        <is>
          <t>ISO/CISO</t>
        </is>
      </c>
      <c r="C253" s="568" t="inlineStr">
        <is>
          <t>Funded</t>
        </is>
      </c>
      <c r="D253" s="572" t="inlineStr">
        <is>
          <t>Evidence to support organizations to define, generate, protect, and retain audit logs for systems processing CUI, ensuring that relevant security events are recorded with accurate timestamps. Organizations must regularly review and analyze audit logs, alert on logging failures, and protect logs from unauthorized modification or deletion. Collectively, these practices ensure accountability, support incident detection and response, and provide evidence of security activities.</t>
        </is>
      </c>
      <c r="E253" s="585" t="inlineStr">
        <is>
          <t>Estimate 90 days to remediate. 
Policies and SSP available; attach configs/logs/records as noted</t>
        </is>
      </c>
      <c r="F253" s="574" t="n"/>
      <c r="G253" s="40" t="n"/>
      <c r="H253" s="40" t="n"/>
      <c r="I253" s="40" t="n"/>
      <c r="J253" s="40" t="n"/>
    </row>
    <row r="254" ht="98.09999999999999" customHeight="1" s="566">
      <c r="A254" s="583">
        <f t="array" ref="A254">IF('SSP - DoD SPRS &amp; FAR and Above'!M248&lt;&gt;"Fully Addressed",'SSP - DoD SPRS &amp; FAR and Above'!E248&amp;" - "&amp;IF('SSP - DoD SPRS &amp; FAR and Above'!I248&lt;&gt;"",'SSP - DoD SPRS &amp; FAR and Above'!I248,'SSP - DoD SPRS &amp; FAR and Above'!J248))</f>
        <v/>
      </c>
      <c r="B254" s="567" t="inlineStr">
        <is>
          <t>ISO/CISO</t>
        </is>
      </c>
      <c r="C254" s="568" t="inlineStr">
        <is>
          <t>Funded</t>
        </is>
      </c>
      <c r="D254" s="572" t="inlineStr">
        <is>
          <t>Evidence to support organizations to define, generate, protect, and retain audit logs for systems processing CUI, ensuring that relevant security events are recorded with accurate timestamps. Organizations must regularly review and analyze audit logs, alert on logging failures, and protect logs from unauthorized modification or deletion. Collectively, these practices ensure accountability, support incident detection and response, and provide evidence of security activities.</t>
        </is>
      </c>
      <c r="E254" s="585" t="inlineStr">
        <is>
          <t>Estimate 90 days to remediate. 
Policies and SSP available; attach configs/logs/records as noted</t>
        </is>
      </c>
      <c r="F254" s="574" t="n"/>
      <c r="G254" s="40" t="n"/>
      <c r="H254" s="40" t="n"/>
      <c r="I254" s="40" t="n"/>
      <c r="J254" s="40" t="n"/>
    </row>
    <row r="255" ht="98.09999999999999" customHeight="1" s="566">
      <c r="A255" s="583">
        <f t="array" ref="A255">IF('SSP - DoD SPRS &amp; FAR and Above'!M249&lt;&gt;"Fully Addressed",'SSP - DoD SPRS &amp; FAR and Above'!E249&amp;" - "&amp;IF('SSP - DoD SPRS &amp; FAR and Above'!I249&lt;&gt;"",'SSP - DoD SPRS &amp; FAR and Above'!I249,'SSP - DoD SPRS &amp; FAR and Above'!J249))</f>
        <v/>
      </c>
      <c r="B255" s="567" t="inlineStr">
        <is>
          <t>ISO/CISO</t>
        </is>
      </c>
      <c r="C255" s="568" t="inlineStr">
        <is>
          <t>Funded</t>
        </is>
      </c>
      <c r="D255" s="572" t="inlineStr">
        <is>
          <t>Evidence to support organizations to define, generate, protect, and retain audit logs for systems processing CUI, ensuring that relevant security events are recorded with accurate timestamps. Organizations must regularly review and analyze audit logs, alert on logging failures, and protect logs from unauthorized modification or deletion. Collectively, these practices ensure accountability, support incident detection and response, and provide evidence of security activities.</t>
        </is>
      </c>
      <c r="E255" s="585" t="inlineStr">
        <is>
          <t>Estimate 90 days to remediate. 
Policies and SSP available; attach configs/logs/records as noted</t>
        </is>
      </c>
      <c r="F255" s="574" t="n"/>
      <c r="G255" s="40" t="n"/>
      <c r="H255" s="40" t="n"/>
      <c r="I255" s="40" t="n"/>
      <c r="J255" s="40" t="n"/>
    </row>
    <row r="256" ht="98.09999999999999" customHeight="1" s="566">
      <c r="A256" s="583">
        <f t="array" ref="A256">IF('SSP - DoD SPRS &amp; FAR and Above'!M250&lt;&gt;"Fully Addressed",'SSP - DoD SPRS &amp; FAR and Above'!E250&amp;" - "&amp;IF('SSP - DoD SPRS &amp; FAR and Above'!I250&lt;&gt;"",'SSP - DoD SPRS &amp; FAR and Above'!I250,'SSP - DoD SPRS &amp; FAR and Above'!J250))</f>
        <v/>
      </c>
      <c r="B256" s="567" t="inlineStr">
        <is>
          <t>ISO/CISO</t>
        </is>
      </c>
      <c r="C256" s="568" t="inlineStr">
        <is>
          <t>Funded</t>
        </is>
      </c>
      <c r="D256" s="572" t="inlineStr">
        <is>
          <t>Evidence to support organizations to define, generate, protect, and retain audit logs for systems processing CUI, ensuring that relevant security events are recorded with accurate timestamps. Organizations must regularly review and analyze audit logs, alert on logging failures, and protect logs from unauthorized modification or deletion. Collectively, these practices ensure accountability, support incident detection and response, and provide evidence of security activities.</t>
        </is>
      </c>
      <c r="E256" s="585" t="inlineStr">
        <is>
          <t>Estimate 90 days to remediate. 
Policies and SSP available; attach configs/logs/records as noted</t>
        </is>
      </c>
      <c r="F256" s="574" t="n"/>
      <c r="G256" s="40" t="n"/>
      <c r="H256" s="40" t="n"/>
      <c r="I256" s="40" t="n"/>
      <c r="J256" s="40" t="n"/>
    </row>
    <row r="257" ht="98.09999999999999" customHeight="1" s="566">
      <c r="A257" s="583">
        <f t="array" ref="A257">IF('SSP - DoD SPRS &amp; FAR and Above'!M254&lt;&gt;"Fully Addressed",'SSP - DoD SPRS &amp; FAR and Above'!E254&amp;" - "&amp;IF('SSP - DoD SPRS &amp; FAR and Above'!I254&lt;&gt;"",'SSP - DoD SPRS &amp; FAR and Above'!I254,'SSP - DoD SPRS &amp; FAR and Above'!J254))</f>
        <v/>
      </c>
      <c r="B257" s="567" t="inlineStr">
        <is>
          <t>ISO/CISO</t>
        </is>
      </c>
      <c r="C257" s="568" t="inlineStr">
        <is>
          <t>Funded</t>
        </is>
      </c>
      <c r="D257" s="572" t="inlineStr">
        <is>
          <t>Evidence to support organizations to define, generate, protect, and retain audit logs for systems processing CUI, ensuring that relevant security events are recorded with accurate timestamps. Organizations must regularly review and analyze audit logs, alert on logging failures, and protect logs from unauthorized modification or deletion. Collectively, these practices ensure accountability, support incident detection and response, and provide evidence of security activities.</t>
        </is>
      </c>
      <c r="E257" s="585" t="inlineStr">
        <is>
          <t>Estimate 90 days to remediate. 
Policies and SSP available; attach configs/logs/records as noted</t>
        </is>
      </c>
      <c r="F257" s="574" t="n"/>
      <c r="G257" s="40" t="n"/>
      <c r="H257" s="40" t="n"/>
      <c r="I257" s="40" t="n"/>
      <c r="J257" s="40" t="n"/>
    </row>
    <row r="258" ht="98.09999999999999" customHeight="1" s="566">
      <c r="A258" s="583">
        <f t="array" ref="A258">IF('SSP - DoD SPRS &amp; FAR and Above'!M255&lt;&gt;"Fully Addressed",'SSP - DoD SPRS &amp; FAR and Above'!E255&amp;" - "&amp;IF('SSP - DoD SPRS &amp; FAR and Above'!I255&lt;&gt;"",'SSP - DoD SPRS &amp; FAR and Above'!I255,'SSP - DoD SPRS &amp; FAR and Above'!J255))</f>
        <v/>
      </c>
      <c r="B258" s="567" t="inlineStr">
        <is>
          <t>ISO/CISO</t>
        </is>
      </c>
      <c r="C258" s="568" t="inlineStr">
        <is>
          <t>Funded</t>
        </is>
      </c>
      <c r="D258" s="572" t="inlineStr">
        <is>
          <t>Evidence to support organizations to define, generate, protect, and retain audit logs for systems processing CUI, ensuring that relevant security events are recorded with accurate timestamps. Organizations must regularly review and analyze audit logs, alert on logging failures, and protect logs from unauthorized modification or deletion. Collectively, these practices ensure accountability, support incident detection and response, and provide evidence of security activities.</t>
        </is>
      </c>
      <c r="E258" s="585" t="inlineStr">
        <is>
          <t>Estimate 90 days to remediate. 
Policies and SSP available; attach configs/logs/records as noted</t>
        </is>
      </c>
      <c r="F258" s="574" t="n"/>
      <c r="G258" s="40" t="n"/>
      <c r="H258" s="40" t="n"/>
      <c r="I258" s="40" t="n"/>
      <c r="J258" s="40" t="n"/>
    </row>
    <row r="259" ht="98.09999999999999" customHeight="1" s="566">
      <c r="A259" s="583">
        <f t="array" ref="A259">IF('SSP - DoD SPRS &amp; FAR and Above'!M256&lt;&gt;"Fully Addressed",'SSP - DoD SPRS &amp; FAR and Above'!E256&amp;" - "&amp;IF('SSP - DoD SPRS &amp; FAR and Above'!I256&lt;&gt;"",'SSP - DoD SPRS &amp; FAR and Above'!I256,'SSP - DoD SPRS &amp; FAR and Above'!J256))</f>
        <v/>
      </c>
      <c r="B259" s="567" t="inlineStr">
        <is>
          <t>ISO/CISO</t>
        </is>
      </c>
      <c r="C259" s="568" t="inlineStr">
        <is>
          <t>Funded</t>
        </is>
      </c>
      <c r="D259" s="572" t="inlineStr">
        <is>
          <t>Evidence to support organizations to define, generate, protect, and retain audit logs for systems processing CUI, ensuring that relevant security events are recorded with accurate timestamps. Organizations must regularly review and analyze audit logs, alert on logging failures, and protect logs from unauthorized modification or deletion. Collectively, these practices ensure accountability, support incident detection and response, and provide evidence of security activities.</t>
        </is>
      </c>
      <c r="E259" s="585" t="inlineStr">
        <is>
          <t>Estimate 90 days to remediate. 
Policies and SSP available; attach configs/logs/records as noted</t>
        </is>
      </c>
      <c r="F259" s="574" t="n"/>
      <c r="G259" s="40" t="n"/>
      <c r="H259" s="40" t="n"/>
      <c r="I259" s="40" t="n"/>
      <c r="J259" s="40" t="n"/>
    </row>
    <row r="260" ht="98.09999999999999" customHeight="1" s="566">
      <c r="A260" s="583">
        <f t="array" ref="A260">IF('SSP - DoD SPRS &amp; FAR and Above'!M209&lt;&gt;"Fully Addressed",'SSP - DoD SPRS &amp; FAR and Above'!E209&amp;" - "&amp;IF('SSP - DoD SPRS &amp; FAR and Above'!I209&lt;&gt;"",'SSP - DoD SPRS &amp; FAR and Above'!I209,'SSP - DoD SPRS &amp; FAR and Above'!J209))</f>
        <v/>
      </c>
      <c r="B260" s="567" t="inlineStr">
        <is>
          <t>ISO/CISO</t>
        </is>
      </c>
      <c r="C260" s="568" t="inlineStr">
        <is>
          <t>Funded</t>
        </is>
      </c>
      <c r="D260" s="572" t="inlineStr">
        <is>
          <t>Evidence to support organizations to define, generate, protect, and retain audit logs for systems processing CUI, ensuring that relevant security events are recorded with accurate timestamps. Organizations must regularly review and analyze audit logs, alert on logging failures, and protect logs from unauthorized modification or deletion. Collectively, these practices ensure accountability, support incident detection and response, and provide evidence of security activities.</t>
        </is>
      </c>
      <c r="E260" s="585" t="inlineStr">
        <is>
          <t>Estimate 90 days to remediate. 
Policies and SSP available; attach configs/logs/records as noted</t>
        </is>
      </c>
      <c r="F260" s="574" t="n"/>
      <c r="G260" s="40" t="n"/>
      <c r="H260" s="40" t="n"/>
      <c r="I260" s="40" t="n"/>
      <c r="J260" s="40" t="n"/>
    </row>
    <row r="261" ht="98.09999999999999" customHeight="1" s="566">
      <c r="A261" s="583">
        <f t="array" ref="A261">IF('SSP - DoD SPRS &amp; FAR and Above'!M210&lt;&gt;"Fully Addressed",'SSP - DoD SPRS &amp; FAR and Above'!E210&amp;" - "&amp;IF('SSP - DoD SPRS &amp; FAR and Above'!I210&lt;&gt;"",'SSP - DoD SPRS &amp; FAR and Above'!I210,'SSP - DoD SPRS &amp; FAR and Above'!J210))</f>
        <v/>
      </c>
      <c r="B261" s="567" t="inlineStr">
        <is>
          <t>ISO/CISO</t>
        </is>
      </c>
      <c r="C261" s="568" t="inlineStr">
        <is>
          <t>Funded</t>
        </is>
      </c>
      <c r="D261" s="572" t="inlineStr">
        <is>
          <t>Evidence to support organizations to define, generate, protect, and retain audit logs for systems processing CUI, ensuring that relevant security events are recorded with accurate timestamps. Organizations must regularly review and analyze audit logs, alert on logging failures, and protect logs from unauthorized modification or deletion. Collectively, these practices ensure accountability, support incident detection and response, and provide evidence of security activities.</t>
        </is>
      </c>
      <c r="E261" s="585" t="inlineStr">
        <is>
          <t>Estimate 90 days to remediate. 
Policies and SSP available; attach configs/logs/records as noted</t>
        </is>
      </c>
      <c r="F261" s="574" t="n"/>
      <c r="G261" s="40" t="n"/>
      <c r="H261" s="40" t="n"/>
      <c r="I261" s="40" t="n"/>
      <c r="J261" s="40" t="n"/>
    </row>
    <row r="262" ht="98.09999999999999" customHeight="1" s="566">
      <c r="A262" s="583">
        <f t="array" ref="A262">IF('SSP - DoD SPRS &amp; FAR and Above'!M211&lt;&gt;"Fully Addressed",'SSP - DoD SPRS &amp; FAR and Above'!E211&amp;" - "&amp;IF('SSP - DoD SPRS &amp; FAR and Above'!I211&lt;&gt;"",'SSP - DoD SPRS &amp; FAR and Above'!I211,'SSP - DoD SPRS &amp; FAR and Above'!J211))</f>
        <v/>
      </c>
      <c r="B262" s="567" t="inlineStr">
        <is>
          <t>ISO/CISO</t>
        </is>
      </c>
      <c r="C262" s="568" t="inlineStr">
        <is>
          <t>Funded</t>
        </is>
      </c>
      <c r="D262" s="572" t="inlineStr">
        <is>
          <t>Evidence to support organizations to define, generate, protect, and retain audit logs for systems processing CUI, ensuring that relevant security events are recorded with accurate timestamps. Organizations must regularly review and analyze audit logs, alert on logging failures, and protect logs from unauthorized modification or deletion. Collectively, these practices ensure accountability, support incident detection and response, and provide evidence of security activities.</t>
        </is>
      </c>
      <c r="E262" s="585" t="inlineStr">
        <is>
          <t>Estimate 90 days to remediate. 
Policies and SSP available; attach configs/logs/records as noted</t>
        </is>
      </c>
      <c r="F262" s="574" t="n"/>
      <c r="G262" s="40" t="n"/>
      <c r="H262" s="40" t="n"/>
      <c r="I262" s="40" t="n"/>
      <c r="J262" s="40" t="n"/>
    </row>
    <row r="263" ht="98.09999999999999" customHeight="1" s="566">
      <c r="A263" s="583">
        <f t="array" ref="A263">IF('SSP - DoD SPRS &amp; FAR and Above'!M212&lt;&gt;"Fully Addressed",'SSP - DoD SPRS &amp; FAR and Above'!E212&amp;" - "&amp;IF('SSP - DoD SPRS &amp; FAR and Above'!I212&lt;&gt;"",'SSP - DoD SPRS &amp; FAR and Above'!I212,'SSP - DoD SPRS &amp; FAR and Above'!J212))</f>
        <v/>
      </c>
      <c r="B263" s="567" t="inlineStr">
        <is>
          <t>ISO/CISO</t>
        </is>
      </c>
      <c r="C263" s="568" t="inlineStr">
        <is>
          <t>Funded</t>
        </is>
      </c>
      <c r="D263" s="572" t="inlineStr">
        <is>
          <t>Evidence to support organizations to define, generate, protect, and retain audit logs for systems processing CUI, ensuring that relevant security events are recorded with accurate timestamps. Organizations must regularly review and analyze audit logs, alert on logging failures, and protect logs from unauthorized modification or deletion. Collectively, these practices ensure accountability, support incident detection and response, and provide evidence of security activities.</t>
        </is>
      </c>
      <c r="E263" s="585" t="inlineStr">
        <is>
          <t>Estimate 90 days to remediate. 
Policies and SSP available; attach configs/logs/records as noted</t>
        </is>
      </c>
      <c r="F263" s="574" t="n"/>
      <c r="G263" s="40" t="n"/>
      <c r="H263" s="40" t="n"/>
      <c r="I263" s="40" t="n"/>
      <c r="J263" s="40" t="n"/>
    </row>
    <row r="264" ht="98.09999999999999" customHeight="1" s="566">
      <c r="A264" s="583">
        <f t="array" ref="A264">IF('SSP - DoD SPRS &amp; FAR and Above'!M286&lt;&gt;"Fully Addressed",'SSP - DoD SPRS &amp; FAR and Above'!E286&amp;" - "&amp;IF('SSP - DoD SPRS &amp; FAR and Above'!I286&lt;&gt;"",'SSP - DoD SPRS &amp; FAR and Above'!I286,'SSP - DoD SPRS &amp; FAR and Above'!J286))</f>
        <v/>
      </c>
      <c r="B264" s="567" t="inlineStr">
        <is>
          <t>ISO/CISO</t>
        </is>
      </c>
      <c r="C264" s="568" t="inlineStr">
        <is>
          <t>Funded</t>
        </is>
      </c>
      <c r="D264" s="572" t="inlineStr">
        <is>
          <t>Evidence to support organizations to define, generate, protect, and retain audit logs for systems processing CUI, ensuring that relevant security events are recorded with accurate timestamps. Organizations must regularly review and analyze audit logs, alert on logging failures, and protect logs from unauthorized modification or deletion. Collectively, these practices ensure accountability, support incident detection and response, and provide evidence of security activities.</t>
        </is>
      </c>
      <c r="E264" s="585" t="inlineStr">
        <is>
          <t>Estimate 90 days to remediate. 
Policies and SSP available; attach configs/logs/records as noted</t>
        </is>
      </c>
      <c r="F264" s="574" t="n"/>
      <c r="G264" s="40" t="n"/>
      <c r="H264" s="40" t="n"/>
      <c r="I264" s="40" t="n"/>
      <c r="J264" s="40" t="n"/>
    </row>
    <row r="265" ht="98.09999999999999" customHeight="1" s="566">
      <c r="A265" s="583">
        <f t="array" ref="A265">IF('SSP - DoD SPRS &amp; FAR and Above'!M287&lt;&gt;"Fully Addressed",'SSP - DoD SPRS &amp; FAR and Above'!E287&amp;" - "&amp;IF('SSP - DoD SPRS &amp; FAR and Above'!I287&lt;&gt;"",'SSP - DoD SPRS &amp; FAR and Above'!I287,'SSP - DoD SPRS &amp; FAR and Above'!J287))</f>
        <v/>
      </c>
      <c r="B265" s="567" t="inlineStr">
        <is>
          <t>ISO/CISO</t>
        </is>
      </c>
      <c r="C265" s="568" t="inlineStr">
        <is>
          <t>Funded</t>
        </is>
      </c>
      <c r="D265" s="572" t="inlineStr">
        <is>
          <t>Evidence to support organizations to define, generate, protect, and retain audit logs for systems processing CUI, ensuring that relevant security events are recorded with accurate timestamps. Organizations must regularly review and analyze audit logs, alert on logging failures, and protect logs from unauthorized modification or deletion. Collectively, these practices ensure accountability, support incident detection and response, and provide evidence of security activities.</t>
        </is>
      </c>
      <c r="E265" s="585" t="inlineStr">
        <is>
          <t>Estimate 90 days to remediate. 
Policies and SSP available; attach configs/logs/records as noted</t>
        </is>
      </c>
      <c r="F265" s="574" t="n"/>
      <c r="G265" s="40" t="n"/>
      <c r="H265" s="40" t="n"/>
      <c r="I265" s="40" t="n"/>
      <c r="J265" s="40" t="n"/>
    </row>
    <row r="266" ht="98.09999999999999" customHeight="1" s="566">
      <c r="A266" s="583">
        <f t="array" ref="A266">IF('SSP - DoD SPRS &amp; FAR and Above'!M288&lt;&gt;"Fully Addressed",'SSP - DoD SPRS &amp; FAR and Above'!E288&amp;" - "&amp;IF('SSP - DoD SPRS &amp; FAR and Above'!I288&lt;&gt;"",'SSP - DoD SPRS &amp; FAR and Above'!I288,'SSP - DoD SPRS &amp; FAR and Above'!J288))</f>
        <v/>
      </c>
      <c r="B266" s="567" t="inlineStr">
        <is>
          <t>ISO/CISO</t>
        </is>
      </c>
      <c r="C266" s="568" t="inlineStr">
        <is>
          <t>Funded</t>
        </is>
      </c>
      <c r="D266" s="572" t="inlineStr">
        <is>
          <t>Evidence to support organizations to define, generate, protect, and retain audit logs for systems processing CUI, ensuring that relevant security events are recorded with accurate timestamps. Organizations must regularly review and analyze audit logs, alert on logging failures, and protect logs from unauthorized modification or deletion. Collectively, these practices ensure accountability, support incident detection and response, and provide evidence of security activities.</t>
        </is>
      </c>
      <c r="E266" s="585" t="inlineStr">
        <is>
          <t>Estimate 90 days to remediate. 
Policies and SSP available; attach configs/logs/records as noted</t>
        </is>
      </c>
      <c r="F266" s="574" t="n"/>
      <c r="G266" s="40" t="n"/>
      <c r="H266" s="40" t="n"/>
      <c r="I266" s="40" t="n"/>
      <c r="J266" s="40" t="n"/>
    </row>
    <row r="267" ht="98.09999999999999" customHeight="1" s="566">
      <c r="A267" s="583">
        <f t="array" ref="A267">IF('SSP - DoD SPRS &amp; FAR and Above'!M289&lt;&gt;"Fully Addressed",'SSP - DoD SPRS &amp; FAR and Above'!E289&amp;" - "&amp;IF('SSP - DoD SPRS &amp; FAR and Above'!I289&lt;&gt;"",'SSP - DoD SPRS &amp; FAR and Above'!I289,'SSP - DoD SPRS &amp; FAR and Above'!J289))</f>
        <v/>
      </c>
      <c r="B267" s="567" t="inlineStr">
        <is>
          <t>ISO/CISO</t>
        </is>
      </c>
      <c r="C267" s="568" t="inlineStr">
        <is>
          <t>Funded</t>
        </is>
      </c>
      <c r="D267" s="572" t="inlineStr">
        <is>
          <t>Evidence to support organizations to define, generate, protect, and retain audit logs for systems processing CUI, ensuring that relevant security events are recorded with accurate timestamps. Organizations must regularly review and analyze audit logs, alert on logging failures, and protect logs from unauthorized modification or deletion. Collectively, these practices ensure accountability, support incident detection and response, and provide evidence of security activities.</t>
        </is>
      </c>
      <c r="E267" s="585" t="inlineStr">
        <is>
          <t>Estimate 90 days to remediate. 
Policies and SSP available; attach configs/logs/records as noted</t>
        </is>
      </c>
      <c r="F267" s="574" t="n"/>
      <c r="G267" s="40" t="n"/>
      <c r="H267" s="40" t="n"/>
      <c r="I267" s="40" t="n"/>
      <c r="J267" s="40" t="n"/>
    </row>
    <row r="268" ht="98.09999999999999" customHeight="1" s="566">
      <c r="A268" s="583">
        <f t="array" ref="A268">IF('SSP - DoD SPRS &amp; FAR and Above'!M290&lt;&gt;"Fully Addressed",'SSP - DoD SPRS &amp; FAR and Above'!E290&amp;" - "&amp;IF('SSP - DoD SPRS &amp; FAR and Above'!I290&lt;&gt;"",'SSP - DoD SPRS &amp; FAR and Above'!I290,'SSP - DoD SPRS &amp; FAR and Above'!J290))</f>
        <v/>
      </c>
      <c r="B268" s="567" t="inlineStr">
        <is>
          <t>ISO/CISO</t>
        </is>
      </c>
      <c r="C268" s="568" t="inlineStr">
        <is>
          <t>Funded</t>
        </is>
      </c>
      <c r="D268" s="572" t="inlineStr">
        <is>
          <t>Evidence to support organizations to define, generate, protect, and retain audit logs for systems processing CUI, ensuring that relevant security events are recorded with accurate timestamps. Organizations must regularly review and analyze audit logs, alert on logging failures, and protect logs from unauthorized modification or deletion. Collectively, these practices ensure accountability, support incident detection and response, and provide evidence of security activities.</t>
        </is>
      </c>
      <c r="E268" s="585" t="inlineStr">
        <is>
          <t>Estimate 90 days to remediate. 
Policies and SSP available; attach configs/logs/records as noted</t>
        </is>
      </c>
      <c r="F268" s="574" t="n"/>
      <c r="G268" s="40" t="n"/>
      <c r="H268" s="40" t="n"/>
      <c r="I268" s="40" t="n"/>
      <c r="J268" s="40" t="n"/>
    </row>
    <row r="269" ht="98.09999999999999" customHeight="1" s="566">
      <c r="A269" s="583">
        <f t="array" ref="A269">IF('SSP - DoD SPRS &amp; FAR and Above'!M291&lt;&gt;"Fully Addressed",'SSP - DoD SPRS &amp; FAR and Above'!E291&amp;" - "&amp;IF('SSP - DoD SPRS &amp; FAR and Above'!I291&lt;&gt;"",'SSP - DoD SPRS &amp; FAR and Above'!I291,'SSP - DoD SPRS &amp; FAR and Above'!J291))</f>
        <v/>
      </c>
      <c r="B269" s="567" t="inlineStr">
        <is>
          <t>ISO/CISO</t>
        </is>
      </c>
      <c r="C269" s="568" t="inlineStr">
        <is>
          <t>Funded</t>
        </is>
      </c>
      <c r="D269" s="572" t="inlineStr">
        <is>
          <t>Evidence to support organizations to define, generate, protect, and retain audit logs for systems processing CUI, ensuring that relevant security events are recorded with accurate timestamps. Organizations must regularly review and analyze audit logs, alert on logging failures, and protect logs from unauthorized modification or deletion. Collectively, these practices ensure accountability, support incident detection and response, and provide evidence of security activities.</t>
        </is>
      </c>
      <c r="E269" s="585" t="inlineStr">
        <is>
          <t>Estimate 90 days to remediate. 
Policies and SSP available; attach configs/logs/records as noted</t>
        </is>
      </c>
      <c r="F269" s="574" t="n"/>
      <c r="G269" s="40" t="n"/>
      <c r="H269" s="40" t="n"/>
      <c r="I269" s="40" t="n"/>
      <c r="J269" s="40" t="n"/>
    </row>
    <row r="270" ht="98.09999999999999" customHeight="1" s="566">
      <c r="A270" s="583">
        <f t="array" ref="A270">IF('SSP - DoD SPRS &amp; FAR and Above'!M292&lt;&gt;"Fully Addressed",'SSP - DoD SPRS &amp; FAR and Above'!E292&amp;" - "&amp;IF('SSP - DoD SPRS &amp; FAR and Above'!I292&lt;&gt;"",'SSP - DoD SPRS &amp; FAR and Above'!I292,'SSP - DoD SPRS &amp; FAR and Above'!J292))</f>
        <v/>
      </c>
      <c r="B270" s="567" t="inlineStr">
        <is>
          <t>ISO/CISO</t>
        </is>
      </c>
      <c r="C270" s="568" t="inlineStr">
        <is>
          <t>Funded</t>
        </is>
      </c>
      <c r="D270" s="572" t="inlineStr">
        <is>
          <t>Evidence to support organizations to define, generate, protect, and retain audit logs for systems processing CUI, ensuring that relevant security events are recorded with accurate timestamps. Organizations must regularly review and analyze audit logs, alert on logging failures, and protect logs from unauthorized modification or deletion. Collectively, these practices ensure accountability, support incident detection and response, and provide evidence of security activities.</t>
        </is>
      </c>
      <c r="E270" s="585" t="inlineStr">
        <is>
          <t>Estimate 90 days to remediate. 
Policies and SSP available; attach configs/logs/records as noted</t>
        </is>
      </c>
      <c r="F270" s="574" t="n"/>
      <c r="G270" s="40" t="n"/>
      <c r="H270" s="40" t="n"/>
      <c r="I270" s="40" t="n"/>
      <c r="J270" s="40" t="n"/>
    </row>
    <row r="271" ht="98.09999999999999" customHeight="1" s="566">
      <c r="A271" s="583">
        <f t="array" ref="A271">IF('SSP - DoD SPRS &amp; FAR and Above'!M293&lt;&gt;"Fully Addressed",'SSP - DoD SPRS &amp; FAR and Above'!E293&amp;" - "&amp;IF('SSP - DoD SPRS &amp; FAR and Above'!I293&lt;&gt;"",'SSP - DoD SPRS &amp; FAR and Above'!I293,'SSP - DoD SPRS &amp; FAR and Above'!J293))</f>
        <v/>
      </c>
      <c r="B271" s="567" t="inlineStr">
        <is>
          <t>ISO/CISO</t>
        </is>
      </c>
      <c r="C271" s="568" t="inlineStr">
        <is>
          <t>Funded</t>
        </is>
      </c>
      <c r="D271" s="572" t="inlineStr">
        <is>
          <t>Evidence to support organizations to define, generate, protect, and retain audit logs for systems processing CUI, ensuring that relevant security events are recorded with accurate timestamps. Organizations must regularly review and analyze audit logs, alert on logging failures, and protect logs from unauthorized modification or deletion. Collectively, these practices ensure accountability, support incident detection and response, and provide evidence of security activities.</t>
        </is>
      </c>
      <c r="E271" s="585" t="inlineStr">
        <is>
          <t>Estimate 90 days to remediate. 
Policies and SSP available; attach configs/logs/records as noted</t>
        </is>
      </c>
      <c r="F271" s="574" t="n"/>
      <c r="G271" s="40" t="n"/>
      <c r="H271" s="40" t="n"/>
      <c r="I271" s="40" t="n"/>
      <c r="J271" s="40" t="n"/>
    </row>
    <row r="272" ht="98.09999999999999" customHeight="1" s="566">
      <c r="A272" s="583">
        <f t="array" ref="A272">IF('SSP - DoD SPRS &amp; FAR and Above'!M294&lt;&gt;"Fully Addressed",'SSP - DoD SPRS &amp; FAR and Above'!E294&amp;" - "&amp;IF('SSP - DoD SPRS &amp; FAR and Above'!I294&lt;&gt;"",'SSP - DoD SPRS &amp; FAR and Above'!I294,'SSP - DoD SPRS &amp; FAR and Above'!J294))</f>
        <v/>
      </c>
      <c r="B272" s="567" t="inlineStr">
        <is>
          <t>ISO/CISO</t>
        </is>
      </c>
      <c r="C272" s="568" t="inlineStr">
        <is>
          <t>Funded</t>
        </is>
      </c>
      <c r="D272" s="572" t="inlineStr">
        <is>
          <t>Evidence to support organizations to define, generate, protect, and retain audit logs for systems processing CUI, ensuring that relevant security events are recorded with accurate timestamps. Organizations must regularly review and analyze audit logs, alert on logging failures, and protect logs from unauthorized modification or deletion. Collectively, these practices ensure accountability, support incident detection and response, and provide evidence of security activities.</t>
        </is>
      </c>
      <c r="E272" s="585" t="inlineStr">
        <is>
          <t>Estimate 90 days to remediate. 
Policies and SSP available; attach configs/logs/records as noted</t>
        </is>
      </c>
      <c r="F272" s="574" t="n"/>
      <c r="G272" s="40" t="n"/>
      <c r="H272" s="40" t="n"/>
      <c r="I272" s="40" t="n"/>
      <c r="J272" s="40" t="n"/>
    </row>
    <row r="273" ht="98.09999999999999" customHeight="1" s="566">
      <c r="A273" s="583">
        <f t="array" ref="A273">IF('SSP - DoD SPRS &amp; FAR and Above'!M295&lt;&gt;"Fully Addressed",'SSP - DoD SPRS &amp; FAR and Above'!E295&amp;" - "&amp;IF('SSP - DoD SPRS &amp; FAR and Above'!I295&lt;&gt;"",'SSP - DoD SPRS &amp; FAR and Above'!I295,'SSP - DoD SPRS &amp; FAR and Above'!J295))</f>
        <v/>
      </c>
      <c r="B273" s="567" t="inlineStr">
        <is>
          <t>ISO/CISO</t>
        </is>
      </c>
      <c r="C273" s="568" t="inlineStr">
        <is>
          <t>Funded</t>
        </is>
      </c>
      <c r="D273" s="572" t="inlineStr">
        <is>
          <t>Evidence to support organizations to define, generate, protect, and retain audit logs for systems processing CUI, ensuring that relevant security events are recorded with accurate timestamps. Organizations must regularly review and analyze audit logs, alert on logging failures, and protect logs from unauthorized modification or deletion. Collectively, these practices ensure accountability, support incident detection and response, and provide evidence of security activities.</t>
        </is>
      </c>
      <c r="E273" s="585" t="inlineStr">
        <is>
          <t>Estimate 90 days to remediate. 
Policies and SSP available; attach configs/logs/records as noted</t>
        </is>
      </c>
      <c r="F273" s="574" t="n"/>
      <c r="G273" s="40" t="n"/>
      <c r="H273" s="40" t="n"/>
      <c r="I273" s="40" t="n"/>
      <c r="J273" s="40" t="n"/>
    </row>
    <row r="274" ht="42" customHeight="1" s="566">
      <c r="A274" s="583">
        <f t="array" ref="A274">IF('SSP - DoD SPRS &amp; FAR and Above'!M296&lt;&gt;"Fully Addressed",'SSP - DoD SPRS &amp; FAR and Above'!E296&amp;" - "&amp;IF('SSP - DoD SPRS &amp; FAR and Above'!I296&lt;&gt;"",'SSP - DoD SPRS &amp; FAR and Above'!I296,'SSP - DoD SPRS &amp; FAR and Above'!J296))</f>
        <v/>
      </c>
      <c r="B274" s="567" t="inlineStr">
        <is>
          <t>ISO/CISO</t>
        </is>
      </c>
      <c r="C274" s="568" t="inlineStr">
        <is>
          <t>Funded</t>
        </is>
      </c>
      <c r="D274" s="567" t="inlineStr">
        <is>
          <t>Upload approved platform baselines (Windows/macOS/network) with reviews; provide change tickets (risk/impact); show allow-listing/app control deployment.</t>
        </is>
      </c>
      <c r="E274" s="585" t="inlineStr">
        <is>
          <t>Estimate - 90 days to remediate
Policies and SSP available; attach configs/logs/records as noted</t>
        </is>
      </c>
      <c r="F274" s="574" t="n"/>
      <c r="G274" s="40" t="n"/>
      <c r="H274" s="40" t="n"/>
      <c r="I274" s="40" t="n"/>
      <c r="J274" s="40" t="n"/>
    </row>
    <row r="275" ht="42" customHeight="1" s="566">
      <c r="A275" s="583">
        <f t="array" ref="A275">IF('SSP - DoD SPRS &amp; FAR and Above'!M297&lt;&gt;"Fully Addressed",'SSP - DoD SPRS &amp; FAR and Above'!E297&amp;" - "&amp;IF('SSP - DoD SPRS &amp; FAR and Above'!I297&lt;&gt;"",'SSP - DoD SPRS &amp; FAR and Above'!I297,'SSP - DoD SPRS &amp; FAR and Above'!J297))</f>
        <v/>
      </c>
      <c r="B275" s="567" t="inlineStr">
        <is>
          <t>ISO/CISO</t>
        </is>
      </c>
      <c r="C275" s="568" t="inlineStr">
        <is>
          <t>Funded</t>
        </is>
      </c>
      <c r="D275" s="567" t="inlineStr">
        <is>
          <t>Upload approved platform baselines (Windows/macOS/network) with reviews; provide change tickets (risk/impact); show allow-listing/app control deployment.</t>
        </is>
      </c>
      <c r="E275" s="585" t="inlineStr">
        <is>
          <t>Estimate - 90 days to remediate
Policies and SSP available; attach configs/logs/records as noted</t>
        </is>
      </c>
      <c r="F275" s="574" t="n"/>
      <c r="G275" s="40" t="n"/>
      <c r="H275" s="40" t="n"/>
      <c r="I275" s="40" t="n"/>
      <c r="J275" s="40" t="n"/>
    </row>
    <row r="276" ht="42" customHeight="1" s="566">
      <c r="A276" s="583">
        <f t="array" ref="A276">IF('SSP - DoD SPRS &amp; FAR and Above'!M298&lt;&gt;"Fully Addressed",'SSP - DoD SPRS &amp; FAR and Above'!E298&amp;" - "&amp;IF('SSP - DoD SPRS &amp; FAR and Above'!I298&lt;&gt;"",'SSP - DoD SPRS &amp; FAR and Above'!I298,'SSP - DoD SPRS &amp; FAR and Above'!J298))</f>
        <v/>
      </c>
      <c r="B276" s="567" t="inlineStr">
        <is>
          <t>ISO/CISO</t>
        </is>
      </c>
      <c r="C276" s="568" t="inlineStr">
        <is>
          <t>Funded</t>
        </is>
      </c>
      <c r="D276" s="567" t="inlineStr">
        <is>
          <t>Upload approved platform baselines (Windows/macOS/network) with reviews; provide change tickets (risk/impact); show allow-listing/app control deployment.</t>
        </is>
      </c>
      <c r="E276" s="585" t="inlineStr">
        <is>
          <t>Estimate - 90 days to remediate
Policies and SSP available; attach configs/logs/records as noted</t>
        </is>
      </c>
      <c r="F276" s="574" t="n"/>
      <c r="G276" s="40" t="n"/>
      <c r="H276" s="40" t="n"/>
      <c r="I276" s="40" t="n"/>
      <c r="J276" s="40" t="n"/>
    </row>
    <row r="277" ht="42" customHeight="1" s="566">
      <c r="A277" s="583">
        <f t="array" ref="A277">IF('SSP - DoD SPRS &amp; FAR and Above'!M299&lt;&gt;"Fully Addressed",'SSP - DoD SPRS &amp; FAR and Above'!E299&amp;" - "&amp;IF('SSP - DoD SPRS &amp; FAR and Above'!I299&lt;&gt;"",'SSP - DoD SPRS &amp; FAR and Above'!I299,'SSP - DoD SPRS &amp; FAR and Above'!J299))</f>
        <v/>
      </c>
      <c r="B277" s="567" t="inlineStr">
        <is>
          <t>ISO/CISO</t>
        </is>
      </c>
      <c r="C277" s="568" t="inlineStr">
        <is>
          <t>Funded</t>
        </is>
      </c>
      <c r="D277" s="567" t="inlineStr">
        <is>
          <t>Upload approved platform baselines (Windows/macOS/network) with reviews; provide change tickets (risk/impact); show allow-listing/app control deployment.</t>
        </is>
      </c>
      <c r="E277" s="585" t="inlineStr">
        <is>
          <t>Estimate - 90 days to remediate
Policies and SSP available; attach configs/logs/records as noted</t>
        </is>
      </c>
      <c r="F277" s="574" t="n"/>
      <c r="G277" s="40" t="n"/>
      <c r="H277" s="40" t="n"/>
      <c r="I277" s="40" t="n"/>
      <c r="J277" s="40" t="n"/>
    </row>
    <row r="278" ht="42" customHeight="1" s="566">
      <c r="A278" s="583">
        <f t="array" ref="A278">IF('SSP - DoD SPRS &amp; FAR and Above'!M300&lt;&gt;"Fully Addressed",'SSP - DoD SPRS &amp; FAR and Above'!E300&amp;" - "&amp;IF('SSP - DoD SPRS &amp; FAR and Above'!I300&lt;&gt;"",'SSP - DoD SPRS &amp; FAR and Above'!I300,'SSP - DoD SPRS &amp; FAR and Above'!J300))</f>
        <v/>
      </c>
      <c r="B278" s="567" t="inlineStr">
        <is>
          <t>ISO/CISO</t>
        </is>
      </c>
      <c r="C278" s="568" t="inlineStr">
        <is>
          <t>Funded</t>
        </is>
      </c>
      <c r="D278" s="567" t="inlineStr">
        <is>
          <t>Upload approved platform baselines (Windows/macOS/network) with reviews; provide change tickets (risk/impact); show allow-listing/app control deployment.</t>
        </is>
      </c>
      <c r="E278" s="585" t="inlineStr">
        <is>
          <t>Estimate - 90 days to remediate
Policies and SSP available; attach configs/logs/records as noted</t>
        </is>
      </c>
      <c r="F278" s="574" t="n"/>
      <c r="G278" s="40" t="n"/>
      <c r="H278" s="40" t="n"/>
      <c r="I278" s="40" t="n"/>
      <c r="J278" s="40" t="n"/>
    </row>
    <row r="279" ht="42" customHeight="1" s="566">
      <c r="A279" s="583">
        <f t="array" ref="A279">IF('SSP - DoD SPRS &amp; FAR and Above'!M301&lt;&gt;"Fully Addressed",'SSP - DoD SPRS &amp; FAR and Above'!E301&amp;" - "&amp;IF('SSP - DoD SPRS &amp; FAR and Above'!I301&lt;&gt;"",'SSP - DoD SPRS &amp; FAR and Above'!I301,'SSP - DoD SPRS &amp; FAR and Above'!J301))</f>
        <v/>
      </c>
      <c r="B279" s="567" t="inlineStr">
        <is>
          <t>ISO/CISO</t>
        </is>
      </c>
      <c r="C279" s="568" t="inlineStr">
        <is>
          <t>Funded</t>
        </is>
      </c>
      <c r="D279" s="567" t="inlineStr">
        <is>
          <t>Upload approved platform baselines (Windows/macOS/network) with reviews; provide change tickets (risk/impact); show allow-listing/app control deployment.</t>
        </is>
      </c>
      <c r="E279" s="585" t="inlineStr">
        <is>
          <t>Estimate - 90 days to remediate
Policies and SSP available; attach configs/logs/records as noted</t>
        </is>
      </c>
      <c r="F279" s="574" t="n"/>
      <c r="G279" s="40" t="n"/>
      <c r="H279" s="40" t="n"/>
      <c r="I279" s="40" t="n"/>
      <c r="J279" s="40" t="n"/>
    </row>
    <row r="280" ht="42" customHeight="1" s="566">
      <c r="A280" s="583">
        <f t="array" ref="A280">IF('SSP - DoD SPRS &amp; FAR and Above'!M302&lt;&gt;"Fully Addressed",'SSP - DoD SPRS &amp; FAR and Above'!E302&amp;" - "&amp;IF('SSP - DoD SPRS &amp; FAR and Above'!I302&lt;&gt;"",'SSP - DoD SPRS &amp; FAR and Above'!I302,'SSP - DoD SPRS &amp; FAR and Above'!J302))</f>
        <v/>
      </c>
      <c r="B280" s="567" t="inlineStr">
        <is>
          <t>ISO/CISO</t>
        </is>
      </c>
      <c r="C280" s="568" t="inlineStr">
        <is>
          <t>Funded</t>
        </is>
      </c>
      <c r="D280" s="567" t="inlineStr">
        <is>
          <t>Upload approved platform baselines (Windows/macOS/network) with reviews; provide change tickets (risk/impact); show allow-listing/app control deployment.</t>
        </is>
      </c>
      <c r="E280" s="585" t="inlineStr">
        <is>
          <t>Estimate - 90 days to remediate
Policies and SSP available; attach configs/logs/records as noted</t>
        </is>
      </c>
      <c r="F280" s="574" t="n"/>
      <c r="G280" s="40" t="n"/>
      <c r="H280" s="40" t="n"/>
      <c r="I280" s="40" t="n"/>
      <c r="J280" s="40" t="n"/>
    </row>
    <row r="281" ht="42" customHeight="1" s="566">
      <c r="A281" s="583">
        <f t="array" ref="A281">IF('SSP - DoD SPRS &amp; FAR and Above'!M303&lt;&gt;"Fully Addressed",'SSP - DoD SPRS &amp; FAR and Above'!E303&amp;" - "&amp;IF('SSP - DoD SPRS &amp; FAR and Above'!I303&lt;&gt;"",'SSP - DoD SPRS &amp; FAR and Above'!I303,'SSP - DoD SPRS &amp; FAR and Above'!J303))</f>
        <v/>
      </c>
      <c r="B281" s="567" t="inlineStr">
        <is>
          <t>ISO/CISO</t>
        </is>
      </c>
      <c r="C281" s="568" t="inlineStr">
        <is>
          <t>Funded</t>
        </is>
      </c>
      <c r="D281" s="567" t="inlineStr">
        <is>
          <t>Upload approved platform baselines (Windows/macOS/network) with reviews; provide change tickets (risk/impact); show allow-listing/app control deployment.</t>
        </is>
      </c>
      <c r="E281" s="585" t="inlineStr">
        <is>
          <t>Estimate - 90 days to remediate
Policies and SSP available; attach configs/logs/records as noted</t>
        </is>
      </c>
      <c r="F281" s="574" t="n"/>
      <c r="G281" s="40" t="n"/>
      <c r="H281" s="40" t="n"/>
      <c r="I281" s="40" t="n"/>
      <c r="J281" s="40" t="n"/>
    </row>
    <row r="282" ht="42" customHeight="1" s="566">
      <c r="A282" s="583">
        <f t="array" ref="A282">IF('SSP - DoD SPRS &amp; FAR and Above'!M304&lt;&gt;"Fully Addressed",'SSP - DoD SPRS &amp; FAR and Above'!E304&amp;" - "&amp;IF('SSP - DoD SPRS &amp; FAR and Above'!I304&lt;&gt;"",'SSP - DoD SPRS &amp; FAR and Above'!I304,'SSP - DoD SPRS &amp; FAR and Above'!J304))</f>
        <v/>
      </c>
      <c r="B282" s="567" t="inlineStr">
        <is>
          <t>ISO/CISO</t>
        </is>
      </c>
      <c r="C282" s="568" t="inlineStr">
        <is>
          <t>Funded</t>
        </is>
      </c>
      <c r="D282" s="567" t="inlineStr">
        <is>
          <t>Upload approved platform baselines (Windows/macOS/network) with reviews; provide change tickets (risk/impact); show allow-listing/app control deployment.</t>
        </is>
      </c>
      <c r="E282" s="585" t="inlineStr">
        <is>
          <t>Estimate - 90 days to remediate
Policies and SSP available; attach configs/logs/records as noted</t>
        </is>
      </c>
      <c r="F282" s="574" t="n"/>
      <c r="G282" s="40" t="n"/>
      <c r="H282" s="40" t="n"/>
      <c r="I282" s="40" t="n"/>
      <c r="J282" s="40" t="n"/>
    </row>
    <row r="283" ht="42" customHeight="1" s="566">
      <c r="A283" s="583">
        <f t="array" ref="A283">IF('SSP - DoD SPRS &amp; FAR and Above'!M305&lt;&gt;"Fully Addressed",'SSP - DoD SPRS &amp; FAR and Above'!E305&amp;" - "&amp;IF('SSP - DoD SPRS &amp; FAR and Above'!I305&lt;&gt;"",'SSP - DoD SPRS &amp; FAR and Above'!I305,'SSP - DoD SPRS &amp; FAR and Above'!J305))</f>
        <v/>
      </c>
      <c r="B283" s="567" t="inlineStr">
        <is>
          <t>ISO/CISO</t>
        </is>
      </c>
      <c r="C283" s="568" t="inlineStr">
        <is>
          <t>Funded</t>
        </is>
      </c>
      <c r="D283" s="567" t="inlineStr">
        <is>
          <t>Upload approved platform baselines (Windows/macOS/network) with reviews; provide change tickets (risk/impact); show allow-listing/app control deployment.</t>
        </is>
      </c>
      <c r="E283" s="585" t="inlineStr">
        <is>
          <t>Estimate - 90 days to remediate
Policies and SSP available; attach configs/logs/records as noted</t>
        </is>
      </c>
      <c r="F283" s="574" t="n"/>
      <c r="G283" s="40" t="n"/>
      <c r="H283" s="40" t="n"/>
      <c r="I283" s="40" t="n"/>
      <c r="J283" s="40" t="n"/>
    </row>
    <row r="284" ht="42" customHeight="1" s="566">
      <c r="A284" s="583">
        <f t="array" ref="A284">IF('SSP - DoD SPRS &amp; FAR and Above'!M344&lt;&gt;"Fully Addressed",'SSP - DoD SPRS &amp; FAR and Above'!E344&amp;" - "&amp;IF('SSP - DoD SPRS &amp; FAR and Above'!I344&lt;&gt;"",'SSP - DoD SPRS &amp; FAR and Above'!I344,'SSP - DoD SPRS &amp; FAR and Above'!J344))</f>
        <v/>
      </c>
      <c r="B284" s="567" t="inlineStr">
        <is>
          <t>ISO/CISO</t>
        </is>
      </c>
      <c r="C284" s="568" t="inlineStr">
        <is>
          <t>Funded</t>
        </is>
      </c>
      <c r="D284" s="567" t="inlineStr">
        <is>
          <t>Upload approved platform baselines (Windows/macOS/network) with reviews; provide change tickets (risk/impact); show allow-listing/app control deployment.</t>
        </is>
      </c>
      <c r="E284" s="585" t="inlineStr">
        <is>
          <t>Estimate - 90 days to remediate
Policies and SSP available; attach configs/logs/records as noted</t>
        </is>
      </c>
      <c r="F284" s="574" t="n"/>
      <c r="G284" s="40" t="n"/>
      <c r="H284" s="40" t="n"/>
      <c r="I284" s="40" t="n"/>
      <c r="J284" s="40" t="n"/>
    </row>
    <row r="285" ht="42" customHeight="1" s="566">
      <c r="A285" s="583">
        <f t="array" ref="A285">IF('SSP - DoD SPRS &amp; FAR and Above'!M345&lt;&gt;"Fully Addressed",'SSP - DoD SPRS &amp; FAR and Above'!E345&amp;" - "&amp;IF('SSP - DoD SPRS &amp; FAR and Above'!I345&lt;&gt;"",'SSP - DoD SPRS &amp; FAR and Above'!I345,'SSP - DoD SPRS &amp; FAR and Above'!J345))</f>
        <v/>
      </c>
      <c r="B285" s="567" t="inlineStr">
        <is>
          <t>ISO/CISO</t>
        </is>
      </c>
      <c r="C285" s="568" t="inlineStr">
        <is>
          <t>Funded</t>
        </is>
      </c>
      <c r="D285" s="567" t="inlineStr">
        <is>
          <t>Upload approved platform baselines (Windows/macOS/network) with reviews; provide change tickets (risk/impact); show allow-listing/app control deployment.</t>
        </is>
      </c>
      <c r="E285" s="585" t="inlineStr">
        <is>
          <t>Estimate - 90 days to remediate
Policies and SSP available; attach configs/logs/records as noted</t>
        </is>
      </c>
      <c r="F285" s="574" t="n"/>
      <c r="G285" s="40" t="n"/>
      <c r="H285" s="40" t="n"/>
      <c r="I285" s="40" t="n"/>
      <c r="J285" s="40" t="n"/>
    </row>
    <row r="286" ht="42" customHeight="1" s="566">
      <c r="A286" s="583">
        <f t="array" ref="A286">IF('SSP - DoD SPRS &amp; FAR and Above'!M346&lt;&gt;"Fully Addressed",'SSP - DoD SPRS &amp; FAR and Above'!E346&amp;" - "&amp;IF('SSP - DoD SPRS &amp; FAR and Above'!I346&lt;&gt;"",'SSP - DoD SPRS &amp; FAR and Above'!I346,'SSP - DoD SPRS &amp; FAR and Above'!J346))</f>
        <v/>
      </c>
      <c r="B286" s="567" t="inlineStr">
        <is>
          <t>ISO/CISO</t>
        </is>
      </c>
      <c r="C286" s="568" t="inlineStr">
        <is>
          <t>Funded</t>
        </is>
      </c>
      <c r="D286" s="567" t="inlineStr">
        <is>
          <t>Upload approved platform baselines (Windows/macOS/network) with reviews; provide change tickets (risk/impact); show allow-listing/app control deployment.</t>
        </is>
      </c>
      <c r="E286" s="585" t="inlineStr">
        <is>
          <t>Estimate - 90 days to remediate
Policies and SSP available; attach configs/logs/records as noted</t>
        </is>
      </c>
      <c r="F286" s="574" t="n"/>
      <c r="G286" s="40" t="n"/>
      <c r="H286" s="40" t="n"/>
      <c r="I286" s="40" t="n"/>
      <c r="J286" s="40" t="n"/>
    </row>
    <row r="287" ht="42" customHeight="1" s="566">
      <c r="A287" s="583">
        <f t="array" ref="A287">IF('SSP - DoD SPRS &amp; FAR and Above'!M347&lt;&gt;"Fully Addressed",'SSP - DoD SPRS &amp; FAR and Above'!E347&amp;" - "&amp;IF('SSP - DoD SPRS &amp; FAR and Above'!I347&lt;&gt;"",'SSP - DoD SPRS &amp; FAR and Above'!I347,'SSP - DoD SPRS &amp; FAR and Above'!J347))</f>
        <v/>
      </c>
      <c r="B287" s="567" t="inlineStr">
        <is>
          <t>ISO/CISO</t>
        </is>
      </c>
      <c r="C287" s="568" t="inlineStr">
        <is>
          <t>Funded</t>
        </is>
      </c>
      <c r="D287" s="567" t="inlineStr">
        <is>
          <t>Upload approved platform baselines (Windows/macOS/network) with reviews; provide change tickets (risk/impact); show allow-listing/app control deployment.</t>
        </is>
      </c>
      <c r="E287" s="585" t="inlineStr">
        <is>
          <t>Estimate - 90 days to remediate
Policies and SSP available; attach configs/logs/records as noted</t>
        </is>
      </c>
      <c r="F287" s="574" t="n"/>
      <c r="G287" s="40" t="n"/>
      <c r="H287" s="40" t="n"/>
      <c r="I287" s="40" t="n"/>
      <c r="J287" s="40" t="n"/>
    </row>
    <row r="288" ht="42" customHeight="1" s="566">
      <c r="A288" s="583">
        <f t="array" ref="A288">IF('SSP - DoD SPRS &amp; FAR and Above'!M348&lt;&gt;"Fully Addressed",'SSP - DoD SPRS &amp; FAR and Above'!E348&amp;" - "&amp;IF('SSP - DoD SPRS &amp; FAR and Above'!I348&lt;&gt;"",'SSP - DoD SPRS &amp; FAR and Above'!I348,'SSP - DoD SPRS &amp; FAR and Above'!J348))</f>
        <v/>
      </c>
      <c r="B288" s="567" t="inlineStr">
        <is>
          <t>ISO/CISO</t>
        </is>
      </c>
      <c r="C288" s="568" t="inlineStr">
        <is>
          <t>Funded</t>
        </is>
      </c>
      <c r="D288" s="567" t="inlineStr">
        <is>
          <t>Upload approved platform baselines (Windows/macOS/network) with reviews; provide change tickets (risk/impact); show allow-listing/app control deployment.</t>
        </is>
      </c>
      <c r="E288" s="585" t="inlineStr">
        <is>
          <t>Estimate - 90 days to remediate
Policies and SSP available; attach configs/logs/records as noted</t>
        </is>
      </c>
      <c r="F288" s="574" t="n"/>
      <c r="G288" s="40" t="n"/>
      <c r="H288" s="40" t="n"/>
      <c r="I288" s="40" t="n"/>
      <c r="J288" s="40" t="n"/>
    </row>
    <row r="289" ht="42" customHeight="1" s="566">
      <c r="A289" s="583">
        <f t="array" ref="A289">IF('SSP - DoD SPRS &amp; FAR and Above'!M349&lt;&gt;"Fully Addressed",'SSP - DoD SPRS &amp; FAR and Above'!E349&amp;" - "&amp;IF('SSP - DoD SPRS &amp; FAR and Above'!I349&lt;&gt;"",'SSP - DoD SPRS &amp; FAR and Above'!I349,'SSP - DoD SPRS &amp; FAR and Above'!J349))</f>
        <v/>
      </c>
      <c r="B289" s="567" t="inlineStr">
        <is>
          <t>ISO/CISO</t>
        </is>
      </c>
      <c r="C289" s="568" t="inlineStr">
        <is>
          <t>Funded</t>
        </is>
      </c>
      <c r="D289" s="567" t="inlineStr">
        <is>
          <t>Upload approved platform baselines (Windows/macOS/network) with reviews; provide change tickets (risk/impact); show allow-listing/app control deployment.</t>
        </is>
      </c>
      <c r="E289" s="585" t="inlineStr">
        <is>
          <t>Estimate - 90 days to remediate
Policies and SSP available; attach configs/logs/records as noted</t>
        </is>
      </c>
      <c r="F289" s="574" t="n"/>
      <c r="G289" s="40" t="n"/>
      <c r="H289" s="40" t="n"/>
      <c r="I289" s="40" t="n"/>
      <c r="J289" s="40" t="n"/>
    </row>
    <row r="290" ht="42" customHeight="1" s="566">
      <c r="A290" s="583">
        <f t="array" ref="A290">IF('SSP - DoD SPRS &amp; FAR and Above'!M332&lt;&gt;"Fully Addressed",'SSP - DoD SPRS &amp; FAR and Above'!E332&amp;" - "&amp;IF('SSP - DoD SPRS &amp; FAR and Above'!I332&lt;&gt;"",'SSP - DoD SPRS &amp; FAR and Above'!I332,'SSP - DoD SPRS &amp; FAR and Above'!J332))</f>
        <v/>
      </c>
      <c r="B290" s="567" t="inlineStr">
        <is>
          <t>ISO/CISO</t>
        </is>
      </c>
      <c r="C290" s="568" t="inlineStr">
        <is>
          <t>Funded</t>
        </is>
      </c>
      <c r="D290" s="567" t="inlineStr">
        <is>
          <t>Upload approved platform baselines (Windows/macOS/network) with reviews; provide change tickets (risk/impact); show allow-listing/app control deployment.</t>
        </is>
      </c>
      <c r="E290" s="585" t="inlineStr">
        <is>
          <t>Estimate - 90 days to remediate
Policies and SSP available; attach configs/logs/records as noted</t>
        </is>
      </c>
      <c r="F290" s="574" t="n"/>
      <c r="G290" s="40" t="n"/>
      <c r="H290" s="40" t="n"/>
      <c r="I290" s="40" t="n"/>
      <c r="J290" s="40" t="n"/>
    </row>
    <row r="291" ht="42" customHeight="1" s="566">
      <c r="A291" s="583">
        <f t="array" ref="A291">IF('SSP - DoD SPRS &amp; FAR and Above'!M333&lt;&gt;"Fully Addressed",'SSP - DoD SPRS &amp; FAR and Above'!E333&amp;" - "&amp;IF('SSP - DoD SPRS &amp; FAR and Above'!I333&lt;&gt;"",'SSP - DoD SPRS &amp; FAR and Above'!I333,'SSP - DoD SPRS &amp; FAR and Above'!J333))</f>
        <v/>
      </c>
      <c r="B291" s="567" t="inlineStr">
        <is>
          <t>ISO/CISO</t>
        </is>
      </c>
      <c r="C291" s="568" t="inlineStr">
        <is>
          <t>Funded</t>
        </is>
      </c>
      <c r="D291" s="567" t="inlineStr">
        <is>
          <t>Upload approved platform baselines (Windows/macOS/network) with reviews; provide change tickets (risk/impact); show allow-listing/app control deployment.</t>
        </is>
      </c>
      <c r="E291" s="585" t="inlineStr">
        <is>
          <t>Estimate - 90 days to remediate
Policies and SSP available; attach configs/logs/records as noted</t>
        </is>
      </c>
      <c r="F291" s="574" t="n"/>
      <c r="G291" s="40" t="n"/>
      <c r="H291" s="40" t="n"/>
      <c r="I291" s="40" t="n"/>
      <c r="J291" s="40" t="n"/>
    </row>
    <row r="292" ht="42" customHeight="1" s="566">
      <c r="A292" s="583">
        <f t="array" ref="A292">IF('SSP - DoD SPRS &amp; FAR and Above'!M334&lt;&gt;"Fully Addressed",'SSP - DoD SPRS &amp; FAR and Above'!E334&amp;" - "&amp;IF('SSP - DoD SPRS &amp; FAR and Above'!I334&lt;&gt;"",'SSP - DoD SPRS &amp; FAR and Above'!I334,'SSP - DoD SPRS &amp; FAR and Above'!J334))</f>
        <v/>
      </c>
      <c r="B292" s="567" t="inlineStr">
        <is>
          <t>ISO/CISO</t>
        </is>
      </c>
      <c r="C292" s="568" t="inlineStr">
        <is>
          <t>Funded</t>
        </is>
      </c>
      <c r="D292" s="567" t="inlineStr">
        <is>
          <t>Upload approved platform baselines (Windows/macOS/network) with reviews; provide change tickets (risk/impact); show allow-listing/app control deployment.</t>
        </is>
      </c>
      <c r="E292" s="585" t="inlineStr">
        <is>
          <t>Estimate - 90 days to remediate
Policies and SSP available; attach configs/logs/records as noted</t>
        </is>
      </c>
      <c r="F292" s="574" t="n"/>
      <c r="G292" s="40" t="n"/>
      <c r="H292" s="40" t="n"/>
      <c r="I292" s="40" t="n"/>
      <c r="J292" s="40" t="n"/>
    </row>
    <row r="293" ht="42" customHeight="1" s="566">
      <c r="A293" s="583">
        <f t="array" ref="A293">IF('SSP - DoD SPRS &amp; FAR and Above'!M335&lt;&gt;"Fully Addressed",'SSP - DoD SPRS &amp; FAR and Above'!E335&amp;" - "&amp;IF('SSP - DoD SPRS &amp; FAR and Above'!I335&lt;&gt;"",'SSP - DoD SPRS &amp; FAR and Above'!I335,'SSP - DoD SPRS &amp; FAR and Above'!J335))</f>
        <v/>
      </c>
      <c r="B293" s="567" t="inlineStr">
        <is>
          <t>ISO/CISO</t>
        </is>
      </c>
      <c r="C293" s="568" t="inlineStr">
        <is>
          <t>Funded</t>
        </is>
      </c>
      <c r="D293" s="567" t="inlineStr">
        <is>
          <t>Upload approved platform baselines (Windows/macOS/network) with reviews; provide change tickets (risk/impact); show allow-listing/app control deployment.</t>
        </is>
      </c>
      <c r="E293" s="585" t="inlineStr">
        <is>
          <t>Estimate - 90 days to remediate
Policies and SSP available; attach configs/logs/records as noted</t>
        </is>
      </c>
      <c r="F293" s="574" t="n"/>
      <c r="G293" s="40" t="n"/>
      <c r="H293" s="40" t="n"/>
      <c r="I293" s="40" t="n"/>
      <c r="J293" s="40" t="n"/>
    </row>
    <row r="294" ht="42" customHeight="1" s="566">
      <c r="A294" s="583">
        <f t="array" ref="A294">IF('SSP - DoD SPRS &amp; FAR and Above'!M336&lt;&gt;"Fully Addressed",'SSP - DoD SPRS &amp; FAR and Above'!E336&amp;" - "&amp;IF('SSP - DoD SPRS &amp; FAR and Above'!I336&lt;&gt;"",'SSP - DoD SPRS &amp; FAR and Above'!I336,'SSP - DoD SPRS &amp; FAR and Above'!J336))</f>
        <v/>
      </c>
      <c r="B294" s="567" t="inlineStr">
        <is>
          <t>ISO/CISO</t>
        </is>
      </c>
      <c r="C294" s="568" t="inlineStr">
        <is>
          <t>Funded</t>
        </is>
      </c>
      <c r="D294" s="567" t="inlineStr">
        <is>
          <t>Upload approved platform baselines (Windows/macOS/network) with reviews; provide change tickets (risk/impact); show allow-listing/app control deployment.</t>
        </is>
      </c>
      <c r="E294" s="585" t="inlineStr">
        <is>
          <t>Estimate - 90 days to remediate
Policies and SSP available; attach configs/logs/records as noted</t>
        </is>
      </c>
      <c r="F294" s="574" t="n"/>
      <c r="G294" s="40" t="n"/>
      <c r="H294" s="40" t="n"/>
      <c r="I294" s="40" t="n"/>
      <c r="J294" s="40" t="n"/>
    </row>
    <row r="295" ht="42" customHeight="1" s="566">
      <c r="A295" s="583">
        <f t="array" ref="A295">IF('SSP - DoD SPRS &amp; FAR and Above'!M337&lt;&gt;"Fully Addressed",'SSP - DoD SPRS &amp; FAR and Above'!E337&amp;" - "&amp;IF('SSP - DoD SPRS &amp; FAR and Above'!I337&lt;&gt;"",'SSP - DoD SPRS &amp; FAR and Above'!I337,'SSP - DoD SPRS &amp; FAR and Above'!J337))</f>
        <v/>
      </c>
      <c r="B295" s="567" t="inlineStr">
        <is>
          <t>ISO/CISO</t>
        </is>
      </c>
      <c r="C295" s="568" t="inlineStr">
        <is>
          <t>Funded</t>
        </is>
      </c>
      <c r="D295" s="567" t="inlineStr">
        <is>
          <t>Upload approved platform baselines (Windows/macOS/network) with reviews; provide change tickets (risk/impact); show allow-listing/app control deployment.</t>
        </is>
      </c>
      <c r="E295" s="585" t="inlineStr">
        <is>
          <t>Estimate - 90 days to remediate
Policies and SSP available; attach configs/logs/records as noted</t>
        </is>
      </c>
      <c r="F295" s="574" t="n"/>
      <c r="G295" s="40" t="n"/>
      <c r="H295" s="40" t="n"/>
      <c r="I295" s="40" t="n"/>
      <c r="J295" s="40" t="n"/>
    </row>
    <row r="296" ht="42" customHeight="1" s="566">
      <c r="A296" s="583">
        <f t="array" ref="A296">IF('SSP - DoD SPRS &amp; FAR and Above'!M338&lt;&gt;"Fully Addressed",'SSP - DoD SPRS &amp; FAR and Above'!E338&amp;" - "&amp;IF('SSP - DoD SPRS &amp; FAR and Above'!I338&lt;&gt;"",'SSP - DoD SPRS &amp; FAR and Above'!I338,'SSP - DoD SPRS &amp; FAR and Above'!J338))</f>
        <v/>
      </c>
      <c r="B296" s="567" t="inlineStr">
        <is>
          <t>ISO/CISO</t>
        </is>
      </c>
      <c r="C296" s="568" t="inlineStr">
        <is>
          <t>Funded</t>
        </is>
      </c>
      <c r="D296" s="567" t="inlineStr">
        <is>
          <t>Upload approved platform baselines (Windows/macOS/network) with reviews; provide change tickets (risk/impact); show allow-listing/app control deployment.</t>
        </is>
      </c>
      <c r="E296" s="585" t="inlineStr">
        <is>
          <t>Estimate - 90 days to remediate
Policies and SSP available; attach configs/logs/records as noted</t>
        </is>
      </c>
      <c r="F296" s="574" t="n"/>
      <c r="G296" s="40" t="n"/>
      <c r="H296" s="40" t="n"/>
      <c r="I296" s="40" t="n"/>
      <c r="J296" s="40" t="n"/>
    </row>
    <row r="297" ht="42" customHeight="1" s="566">
      <c r="A297" s="583">
        <f t="array" ref="A297">IF('SSP - DoD SPRS &amp; FAR and Above'!M339&lt;&gt;"Fully Addressed",'SSP - DoD SPRS &amp; FAR and Above'!E339&amp;" - "&amp;IF('SSP - DoD SPRS &amp; FAR and Above'!I339&lt;&gt;"",'SSP - DoD SPRS &amp; FAR and Above'!I339,'SSP - DoD SPRS &amp; FAR and Above'!J339))</f>
        <v/>
      </c>
      <c r="B297" s="567" t="inlineStr">
        <is>
          <t>ISO/CISO</t>
        </is>
      </c>
      <c r="C297" s="568" t="inlineStr">
        <is>
          <t>Funded</t>
        </is>
      </c>
      <c r="D297" s="567" t="inlineStr">
        <is>
          <t>Upload approved platform baselines (Windows/macOS/network) with reviews; provide change tickets (risk/impact); show allow-listing/app control deployment.</t>
        </is>
      </c>
      <c r="E297" s="585" t="inlineStr">
        <is>
          <t>Estimate - 90 days to remediate
Policies and SSP available; attach configs/logs/records as noted</t>
        </is>
      </c>
      <c r="F297" s="574" t="n"/>
      <c r="G297" s="40" t="n"/>
      <c r="H297" s="40" t="n"/>
      <c r="I297" s="40" t="n"/>
      <c r="J297" s="40" t="n"/>
    </row>
    <row r="298" ht="42" customHeight="1" s="566">
      <c r="A298" s="583">
        <f t="array" ref="A298">IF('SSP - DoD SPRS &amp; FAR and Above'!M340&lt;&gt;"Fully Addressed",'SSP - DoD SPRS &amp; FAR and Above'!E340&amp;" - "&amp;IF('SSP - DoD SPRS &amp; FAR and Above'!I340&lt;&gt;"",'SSP - DoD SPRS &amp; FAR and Above'!I340,'SSP - DoD SPRS &amp; FAR and Above'!J340))</f>
        <v/>
      </c>
      <c r="B298" s="567" t="inlineStr">
        <is>
          <t>ISO/CISO</t>
        </is>
      </c>
      <c r="C298" s="568" t="inlineStr">
        <is>
          <t>Funded</t>
        </is>
      </c>
      <c r="D298" s="567" t="inlineStr">
        <is>
          <t>Upload approved platform baselines (Windows/macOS/network) with reviews; provide change tickets (risk/impact); show allow-listing/app control deployment.</t>
        </is>
      </c>
      <c r="E298" s="585" t="inlineStr">
        <is>
          <t>Estimate - 90 days to remediate
Policies and SSP available; attach configs/logs/records as noted</t>
        </is>
      </c>
      <c r="F298" s="574" t="n"/>
      <c r="G298" s="40" t="n"/>
      <c r="H298" s="40" t="n"/>
      <c r="I298" s="40" t="n"/>
      <c r="J298" s="40" t="n"/>
    </row>
    <row r="299" ht="42" customHeight="1" s="566">
      <c r="A299" s="583">
        <f t="array" ref="A299">IF('SSP - DoD SPRS &amp; FAR and Above'!M341&lt;&gt;"Fully Addressed",'SSP - DoD SPRS &amp; FAR and Above'!E341&amp;" - "&amp;IF('SSP - DoD SPRS &amp; FAR and Above'!I341&lt;&gt;"",'SSP - DoD SPRS &amp; FAR and Above'!I341,'SSP - DoD SPRS &amp; FAR and Above'!J341))</f>
        <v/>
      </c>
      <c r="B299" s="567" t="inlineStr">
        <is>
          <t>ISO/CISO</t>
        </is>
      </c>
      <c r="C299" s="568" t="inlineStr">
        <is>
          <t>Funded</t>
        </is>
      </c>
      <c r="D299" s="567" t="inlineStr">
        <is>
          <t>Upload approved platform baselines (Windows/macOS/network) with reviews; provide change tickets (risk/impact); show allow-listing/app control deployment.</t>
        </is>
      </c>
      <c r="E299" s="585" t="inlineStr">
        <is>
          <t>Estimate - 90 days to remediate
Policies and SSP available; attach configs/logs/records as noted</t>
        </is>
      </c>
      <c r="F299" s="574" t="n"/>
      <c r="G299" s="40" t="n"/>
      <c r="H299" s="40" t="n"/>
      <c r="I299" s="40" t="n"/>
      <c r="J299" s="40" t="n"/>
    </row>
    <row r="300" ht="42" customHeight="1" s="566">
      <c r="A300" s="583">
        <f t="array" ref="A300">IF('SSP - DoD SPRS &amp; FAR and Above'!M342&lt;&gt;"Fully Addressed",'SSP - DoD SPRS &amp; FAR and Above'!E342&amp;" - "&amp;IF('SSP - DoD SPRS &amp; FAR and Above'!I342&lt;&gt;"",'SSP - DoD SPRS &amp; FAR and Above'!I342,'SSP - DoD SPRS &amp; FAR and Above'!J342))</f>
        <v/>
      </c>
      <c r="B300" s="567" t="inlineStr">
        <is>
          <t>ISO/CISO</t>
        </is>
      </c>
      <c r="C300" s="568" t="inlineStr">
        <is>
          <t>Funded</t>
        </is>
      </c>
      <c r="D300" s="567" t="inlineStr">
        <is>
          <t>Upload approved platform baselines (Windows/macOS/network) with reviews; provide change tickets (risk/impact); show allow-listing/app control deployment.</t>
        </is>
      </c>
      <c r="E300" s="585" t="inlineStr">
        <is>
          <t>Estimate - 90 days to remediate
Policies and SSP available; attach configs/logs/records as noted</t>
        </is>
      </c>
      <c r="F300" s="574" t="n"/>
      <c r="G300" s="40" t="n"/>
      <c r="H300" s="40" t="n"/>
      <c r="I300" s="40" t="n"/>
      <c r="J300" s="40" t="n"/>
    </row>
    <row r="301" ht="42" customHeight="1" s="566">
      <c r="A301" s="583">
        <f t="array" ref="A301">IF('SSP - DoD SPRS &amp; FAR and Above'!M343&lt;&gt;"Fully Addressed",'SSP - DoD SPRS &amp; FAR and Above'!E343&amp;" - "&amp;IF('SSP - DoD SPRS &amp; FAR and Above'!I343&lt;&gt;"",'SSP - DoD SPRS &amp; FAR and Above'!I343,'SSP - DoD SPRS &amp; FAR and Above'!J343))</f>
        <v/>
      </c>
      <c r="B301" s="567" t="inlineStr">
        <is>
          <t>ISO/CISO</t>
        </is>
      </c>
      <c r="C301" s="568" t="inlineStr">
        <is>
          <t>Funded</t>
        </is>
      </c>
      <c r="D301" s="567" t="inlineStr">
        <is>
          <t>Upload approved platform baselines (Windows/macOS/network) with reviews; provide change tickets (risk/impact); show allow-listing/app control deployment.</t>
        </is>
      </c>
      <c r="E301" s="585" t="inlineStr">
        <is>
          <t>Estimate - 90 days to remediate
Policies and SSP available; attach configs/logs/records as noted</t>
        </is>
      </c>
      <c r="F301" s="574" t="n"/>
      <c r="G301" s="40" t="n"/>
      <c r="H301" s="40" t="n"/>
      <c r="I301" s="40" t="n"/>
      <c r="J301" s="40" t="n"/>
    </row>
    <row r="302" ht="42" customHeight="1" s="566">
      <c r="A302" s="583">
        <f t="array" ref="A302">IF('SSP - DoD SPRS &amp; FAR and Above'!M265&lt;&gt;"Fully Addressed",'SSP - DoD SPRS &amp; FAR and Above'!E265&amp;" - "&amp;IF('SSP - DoD SPRS &amp; FAR and Above'!I265&lt;&gt;"",'SSP - DoD SPRS &amp; FAR and Above'!I265,'SSP - DoD SPRS &amp; FAR and Above'!J265))</f>
        <v/>
      </c>
      <c r="B302" s="567" t="inlineStr">
        <is>
          <t>ISO/CISO</t>
        </is>
      </c>
      <c r="C302" s="568" t="inlineStr">
        <is>
          <t>Funded</t>
        </is>
      </c>
      <c r="D302" s="567" t="inlineStr">
        <is>
          <t>Upload approved platform baselines (Windows/macOS/network) with reviews; provide change tickets (risk/impact); show allow-listing/app control deployment.</t>
        </is>
      </c>
      <c r="E302" s="585" t="inlineStr">
        <is>
          <t>Estimate - 90 days to remediate
Policies and SSP available; attach configs/logs/records as noted</t>
        </is>
      </c>
      <c r="F302" s="574" t="n"/>
      <c r="G302" s="40" t="n"/>
      <c r="H302" s="40" t="n"/>
      <c r="I302" s="40" t="n"/>
      <c r="J302" s="40" t="n"/>
    </row>
    <row r="303" ht="42" customHeight="1" s="566">
      <c r="A303" s="583">
        <f t="array" ref="A303">IF('SSP - DoD SPRS &amp; FAR and Above'!M266&lt;&gt;"Fully Addressed",'SSP - DoD SPRS &amp; FAR and Above'!E266&amp;" - "&amp;IF('SSP - DoD SPRS &amp; FAR and Above'!I266&lt;&gt;"",'SSP - DoD SPRS &amp; FAR and Above'!I266,'SSP - DoD SPRS &amp; FAR and Above'!J266))</f>
        <v/>
      </c>
      <c r="B303" s="567" t="inlineStr">
        <is>
          <t>ISO/CISO</t>
        </is>
      </c>
      <c r="C303" s="568" t="inlineStr">
        <is>
          <t>Funded</t>
        </is>
      </c>
      <c r="D303" s="567" t="inlineStr">
        <is>
          <t>Upload approved platform baselines (Windows/macOS/network) with reviews; provide change tickets (risk/impact); show allow-listing/app control deployment.</t>
        </is>
      </c>
      <c r="E303" s="585" t="inlineStr">
        <is>
          <t>Estimate - 90 days to remediate
Policies and SSP available; attach configs/logs/records as noted</t>
        </is>
      </c>
      <c r="F303" s="574" t="n"/>
      <c r="G303" s="40" t="n"/>
      <c r="H303" s="40" t="n"/>
      <c r="I303" s="40" t="n"/>
      <c r="J303" s="40" t="n"/>
    </row>
    <row r="304" ht="42" customHeight="1" s="566">
      <c r="A304" s="583">
        <f t="array" ref="A304">IF('SSP - DoD SPRS &amp; FAR and Above'!M267&lt;&gt;"Fully Addressed",'SSP - DoD SPRS &amp; FAR and Above'!E267&amp;" - "&amp;IF('SSP - DoD SPRS &amp; FAR and Above'!I267&lt;&gt;"",'SSP - DoD SPRS &amp; FAR and Above'!I267,'SSP - DoD SPRS &amp; FAR and Above'!J267))</f>
        <v/>
      </c>
      <c r="B304" s="567" t="inlineStr">
        <is>
          <t>ISO/CISO</t>
        </is>
      </c>
      <c r="C304" s="568" t="inlineStr">
        <is>
          <t>Funded</t>
        </is>
      </c>
      <c r="D304" s="567" t="inlineStr">
        <is>
          <t>Upload approved platform baselines (Windows/macOS/network) with reviews; provide change tickets (risk/impact); show allow-listing/app control deployment.</t>
        </is>
      </c>
      <c r="E304" s="585" t="inlineStr">
        <is>
          <t>Estimate - 90 days to remediate
Policies and SSP available; attach configs/logs/records as noted</t>
        </is>
      </c>
      <c r="F304" s="574" t="n"/>
      <c r="G304" s="40" t="n"/>
      <c r="H304" s="40" t="n"/>
      <c r="I304" s="40" t="n"/>
      <c r="J304" s="40" t="n"/>
    </row>
    <row r="305" ht="42" customHeight="1" s="566">
      <c r="A305" s="583">
        <f t="array" ref="A305">IF('SSP - DoD SPRS &amp; FAR and Above'!M268&lt;&gt;"Fully Addressed",'SSP - DoD SPRS &amp; FAR and Above'!E268&amp;" - "&amp;IF('SSP - DoD SPRS &amp; FAR and Above'!I268&lt;&gt;"",'SSP - DoD SPRS &amp; FAR and Above'!I268,'SSP - DoD SPRS &amp; FAR and Above'!J268))</f>
        <v/>
      </c>
      <c r="B305" s="567" t="inlineStr">
        <is>
          <t>ISO/CISO</t>
        </is>
      </c>
      <c r="C305" s="568" t="inlineStr">
        <is>
          <t>Funded</t>
        </is>
      </c>
      <c r="D305" s="567" t="inlineStr">
        <is>
          <t>Upload approved platform baselines (Windows/macOS/network) with reviews; provide change tickets (risk/impact); show allow-listing/app control deployment.</t>
        </is>
      </c>
      <c r="E305" s="585" t="inlineStr">
        <is>
          <t>Estimate - 90 days to remediate
Policies and SSP available; attach configs/logs/records as noted</t>
        </is>
      </c>
      <c r="F305" s="574" t="n"/>
      <c r="G305" s="40" t="n"/>
      <c r="H305" s="40" t="n"/>
      <c r="I305" s="40" t="n"/>
      <c r="J305" s="40" t="n"/>
    </row>
    <row r="306" ht="42" customHeight="1" s="566">
      <c r="A306" s="583">
        <f t="array" ref="A306">IF('SSP - DoD SPRS &amp; FAR and Above'!M269&lt;&gt;"Fully Addressed",'SSP - DoD SPRS &amp; FAR and Above'!E269&amp;" - "&amp;IF('SSP - DoD SPRS &amp; FAR and Above'!I269&lt;&gt;"",'SSP - DoD SPRS &amp; FAR and Above'!I269,'SSP - DoD SPRS &amp; FAR and Above'!J269))</f>
        <v/>
      </c>
      <c r="B306" s="567" t="inlineStr">
        <is>
          <t>ISO/CISO</t>
        </is>
      </c>
      <c r="C306" s="568" t="inlineStr">
        <is>
          <t>Funded</t>
        </is>
      </c>
      <c r="D306" s="567" t="inlineStr">
        <is>
          <t>Upload approved platform baselines (Windows/macOS/network) with reviews; provide change tickets (risk/impact); show allow-listing/app control deployment.</t>
        </is>
      </c>
      <c r="E306" s="585" t="inlineStr">
        <is>
          <t>Estimate - 90 days to remediate
Policies and SSP available; attach configs/logs/records as noted</t>
        </is>
      </c>
      <c r="F306" s="574" t="n"/>
      <c r="G306" s="40" t="n"/>
      <c r="H306" s="40" t="n"/>
      <c r="I306" s="40" t="n"/>
      <c r="J306" s="40" t="n"/>
    </row>
    <row r="307" ht="42" customHeight="1" s="566">
      <c r="A307" s="583">
        <f t="array" ref="A307">IF('SSP - DoD SPRS &amp; FAR and Above'!M270&lt;&gt;"Fully Addressed",'SSP - DoD SPRS &amp; FAR and Above'!E270&amp;" - "&amp;IF('SSP - DoD SPRS &amp; FAR and Above'!I270&lt;&gt;"",'SSP - DoD SPRS &amp; FAR and Above'!I270,'SSP - DoD SPRS &amp; FAR and Above'!J270))</f>
        <v/>
      </c>
      <c r="B307" s="567" t="inlineStr">
        <is>
          <t>ISO/CISO</t>
        </is>
      </c>
      <c r="C307" s="568" t="inlineStr">
        <is>
          <t>Funded</t>
        </is>
      </c>
      <c r="D307" s="567" t="inlineStr">
        <is>
          <t>Upload approved platform baselines (Windows/macOS/network) with reviews; provide change tickets (risk/impact); show allow-listing/app control deployment.</t>
        </is>
      </c>
      <c r="E307" s="585" t="inlineStr">
        <is>
          <t>Estimate - 90 days to remediate
Policies and SSP available; attach configs/logs/records as noted</t>
        </is>
      </c>
      <c r="F307" s="574" t="n"/>
      <c r="G307" s="40" t="n"/>
      <c r="H307" s="40" t="n"/>
      <c r="I307" s="40" t="n"/>
      <c r="J307" s="40" t="n"/>
    </row>
    <row r="308" ht="42" customHeight="1" s="566">
      <c r="A308" s="583">
        <f t="array" ref="A308">IF('SSP - DoD SPRS &amp; FAR and Above'!M271&lt;&gt;"Fully Addressed",'SSP - DoD SPRS &amp; FAR and Above'!E271&amp;" - "&amp;IF('SSP - DoD SPRS &amp; FAR and Above'!I271&lt;&gt;"",'SSP - DoD SPRS &amp; FAR and Above'!I271,'SSP - DoD SPRS &amp; FAR and Above'!J271))</f>
        <v/>
      </c>
      <c r="B308" s="567" t="inlineStr">
        <is>
          <t>ISO/CISO</t>
        </is>
      </c>
      <c r="C308" s="568" t="inlineStr">
        <is>
          <t>Funded</t>
        </is>
      </c>
      <c r="D308" s="567" t="inlineStr">
        <is>
          <t>Upload approved platform baselines (Windows/macOS/network) with reviews; provide change tickets (risk/impact); show allow-listing/app control deployment.</t>
        </is>
      </c>
      <c r="E308" s="585" t="inlineStr">
        <is>
          <t>Estimate - 90 days to remediate
Policies and SSP available; attach configs/logs/records as noted</t>
        </is>
      </c>
      <c r="F308" s="574" t="n"/>
      <c r="G308" s="40" t="n"/>
      <c r="H308" s="40" t="n"/>
      <c r="I308" s="40" t="n"/>
      <c r="J308" s="40" t="n"/>
    </row>
    <row r="309" ht="42" customHeight="1" s="566">
      <c r="A309" s="583">
        <f t="array" ref="A309">IF('SSP - DoD SPRS &amp; FAR and Above'!M272&lt;&gt;"Fully Addressed",'SSP - DoD SPRS &amp; FAR and Above'!E272&amp;" - "&amp;IF('SSP - DoD SPRS &amp; FAR and Above'!I272&lt;&gt;"",'SSP - DoD SPRS &amp; FAR and Above'!I272,'SSP - DoD SPRS &amp; FAR and Above'!J272))</f>
        <v/>
      </c>
      <c r="B309" s="567" t="inlineStr">
        <is>
          <t>ISO/CISO</t>
        </is>
      </c>
      <c r="C309" s="568" t="inlineStr">
        <is>
          <t>Funded</t>
        </is>
      </c>
      <c r="D309" s="567" t="inlineStr">
        <is>
          <t>Upload approved platform baselines (Windows/macOS/network) with reviews; provide change tickets (risk/impact); show allow-listing/app control deployment.</t>
        </is>
      </c>
      <c r="E309" s="585" t="inlineStr">
        <is>
          <t>Estimate - 90 days to remediate
Policies and SSP available; attach configs/logs/records as noted</t>
        </is>
      </c>
      <c r="F309" s="574" t="n"/>
      <c r="G309" s="40" t="n"/>
      <c r="H309" s="40" t="n"/>
      <c r="I309" s="40" t="n"/>
      <c r="J309" s="40" t="n"/>
    </row>
    <row r="310" ht="42" customHeight="1" s="566">
      <c r="A310" s="583">
        <f t="array" ref="A310">IF('SSP - DoD SPRS &amp; FAR and Above'!M273&lt;&gt;"Fully Addressed",'SSP - DoD SPRS &amp; FAR and Above'!E273&amp;" - "&amp;IF('SSP - DoD SPRS &amp; FAR and Above'!I273&lt;&gt;"",'SSP - DoD SPRS &amp; FAR and Above'!I273,'SSP - DoD SPRS &amp; FAR and Above'!J273))</f>
        <v/>
      </c>
      <c r="B310" s="567" t="inlineStr">
        <is>
          <t>ISO/CISO</t>
        </is>
      </c>
      <c r="C310" s="568" t="inlineStr">
        <is>
          <t>Funded</t>
        </is>
      </c>
      <c r="D310" s="567" t="inlineStr">
        <is>
          <t>Upload approved platform baselines (Windows/macOS/network) with reviews; provide change tickets (risk/impact); show allow-listing/app control deployment.</t>
        </is>
      </c>
      <c r="E310" s="585" t="inlineStr">
        <is>
          <t>Estimate - 90 days to remediate
Policies and SSP available; attach configs/logs/records as noted</t>
        </is>
      </c>
      <c r="F310" s="574" t="n"/>
      <c r="G310" s="40" t="n"/>
      <c r="H310" s="40" t="n"/>
      <c r="I310" s="40" t="n"/>
      <c r="J310" s="40" t="n"/>
    </row>
    <row r="311" ht="42" customHeight="1" s="566">
      <c r="A311" s="583">
        <f t="array" ref="A311">IF('SSP - DoD SPRS &amp; FAR and Above'!M274&lt;&gt;"Fully Addressed",'SSP - DoD SPRS &amp; FAR and Above'!E274&amp;" - "&amp;IF('SSP - DoD SPRS &amp; FAR and Above'!I274&lt;&gt;"",'SSP - DoD SPRS &amp; FAR and Above'!I274,'SSP - DoD SPRS &amp; FAR and Above'!J274))</f>
        <v/>
      </c>
      <c r="B311" s="567" t="inlineStr">
        <is>
          <t>ISO/CISO</t>
        </is>
      </c>
      <c r="C311" s="568" t="inlineStr">
        <is>
          <t>Funded</t>
        </is>
      </c>
      <c r="D311" s="567" t="inlineStr">
        <is>
          <t>Upload approved platform baselines (Windows/macOS/network) with reviews; provide change tickets (risk/impact); show allow-listing/app control deployment.</t>
        </is>
      </c>
      <c r="E311" s="585" t="inlineStr">
        <is>
          <t>Estimate - 90 days to remediate
Policies and SSP available; attach configs/logs/records as noted</t>
        </is>
      </c>
      <c r="F311" s="574" t="n"/>
      <c r="G311" s="40" t="n"/>
      <c r="H311" s="40" t="n"/>
      <c r="I311" s="40" t="n"/>
      <c r="J311" s="40" t="n"/>
    </row>
    <row r="312" ht="42" customHeight="1" s="566">
      <c r="A312" s="583">
        <f t="array" ref="A312">IF('SSP - DoD SPRS &amp; FAR and Above'!M275&lt;&gt;"Fully Addressed",'SSP - DoD SPRS &amp; FAR and Above'!E275&amp;" - "&amp;IF('SSP - DoD SPRS &amp; FAR and Above'!I275&lt;&gt;"",'SSP - DoD SPRS &amp; FAR and Above'!I275,'SSP - DoD SPRS &amp; FAR and Above'!J275))</f>
        <v/>
      </c>
      <c r="B312" s="567" t="inlineStr">
        <is>
          <t>ISO/CISO</t>
        </is>
      </c>
      <c r="C312" s="568" t="inlineStr">
        <is>
          <t>Funded</t>
        </is>
      </c>
      <c r="D312" s="567" t="inlineStr">
        <is>
          <t>Upload approved platform baselines (Windows/macOS/network) with reviews; provide change tickets (risk/impact); show allow-listing/app control deployment.</t>
        </is>
      </c>
      <c r="E312" s="585" t="inlineStr">
        <is>
          <t>Estimate - 90 days to remediate
Policies and SSP available; attach configs/logs/records as noted</t>
        </is>
      </c>
      <c r="F312" s="574" t="n"/>
      <c r="G312" s="40" t="n"/>
      <c r="H312" s="40" t="n"/>
      <c r="I312" s="40" t="n"/>
      <c r="J312" s="40" t="n"/>
    </row>
    <row r="313" ht="42" customHeight="1" s="566">
      <c r="A313" s="583">
        <f t="array" ref="A313">IF('SSP - DoD SPRS &amp; FAR and Above'!M276&lt;&gt;"Fully Addressed",'SSP - DoD SPRS &amp; FAR and Above'!E276&amp;" - "&amp;IF('SSP - DoD SPRS &amp; FAR and Above'!I276&lt;&gt;"",'SSP - DoD SPRS &amp; FAR and Above'!I276,'SSP - DoD SPRS &amp; FAR and Above'!J276))</f>
        <v/>
      </c>
      <c r="B313" s="567" t="inlineStr">
        <is>
          <t>ISO/CISO</t>
        </is>
      </c>
      <c r="C313" s="568" t="inlineStr">
        <is>
          <t>Funded</t>
        </is>
      </c>
      <c r="D313" s="567" t="inlineStr">
        <is>
          <t>Upload approved platform baselines (Windows/macOS/network) with reviews; provide change tickets (risk/impact); show allow-listing/app control deployment.</t>
        </is>
      </c>
      <c r="E313" s="585" t="inlineStr">
        <is>
          <t>Estimate - 90 days to remediate
Policies and SSP available; attach configs/logs/records as noted</t>
        </is>
      </c>
      <c r="F313" s="574" t="n"/>
      <c r="G313" s="40" t="n"/>
      <c r="H313" s="40" t="n"/>
      <c r="I313" s="40" t="n"/>
      <c r="J313" s="40" t="n"/>
    </row>
    <row r="314" ht="42" customHeight="1" s="566">
      <c r="A314" s="583">
        <f t="array" ref="A314">IF('SSP - DoD SPRS &amp; FAR and Above'!M277&lt;&gt;"Fully Addressed",'SSP - DoD SPRS &amp; FAR and Above'!E277&amp;" - "&amp;IF('SSP - DoD SPRS &amp; FAR and Above'!I277&lt;&gt;"",'SSP - DoD SPRS &amp; FAR and Above'!I277,'SSP - DoD SPRS &amp; FAR and Above'!J277))</f>
        <v/>
      </c>
      <c r="B314" s="567" t="inlineStr">
        <is>
          <t>ISO/CISO</t>
        </is>
      </c>
      <c r="C314" s="568" t="inlineStr">
        <is>
          <t>Funded</t>
        </is>
      </c>
      <c r="D314" s="567" t="inlineStr">
        <is>
          <t>Upload approved platform baselines (Windows/macOS/network) with reviews; provide change tickets (risk/impact); show allow-listing/app control deployment.</t>
        </is>
      </c>
      <c r="E314" s="585" t="inlineStr">
        <is>
          <t>Estimate - 90 days to remediate
Policies and SSP available; attach configs/logs/records as noted</t>
        </is>
      </c>
      <c r="F314" s="574" t="n"/>
      <c r="G314" s="40" t="n"/>
      <c r="H314" s="40" t="n"/>
      <c r="I314" s="40" t="n"/>
      <c r="J314" s="40" t="n"/>
    </row>
    <row r="315" ht="42" customHeight="1" s="566">
      <c r="A315" s="583">
        <f t="array" ref="A315">IF('SSP - DoD SPRS &amp; FAR and Above'!M278&lt;&gt;"Fully Addressed",'SSP - DoD SPRS &amp; FAR and Above'!E278&amp;" - "&amp;IF('SSP - DoD SPRS &amp; FAR and Above'!I278&lt;&gt;"",'SSP - DoD SPRS &amp; FAR and Above'!I278,'SSP - DoD SPRS &amp; FAR and Above'!J278))</f>
        <v/>
      </c>
      <c r="B315" s="567" t="inlineStr">
        <is>
          <t>ISO/CISO</t>
        </is>
      </c>
      <c r="C315" s="568" t="inlineStr">
        <is>
          <t>Funded</t>
        </is>
      </c>
      <c r="D315" s="567" t="inlineStr">
        <is>
          <t>Upload approved platform baselines (Windows/macOS/network) with reviews; provide change tickets (risk/impact); show allow-listing/app control deployment.</t>
        </is>
      </c>
      <c r="E315" s="585" t="inlineStr">
        <is>
          <t>Estimate - 90 days to remediate
Policies and SSP available; attach configs/logs/records as noted</t>
        </is>
      </c>
      <c r="F315" s="574" t="n"/>
      <c r="G315" s="40" t="n"/>
      <c r="H315" s="40" t="n"/>
      <c r="I315" s="40" t="n"/>
      <c r="J315" s="40" t="n"/>
    </row>
    <row r="316" ht="42" customHeight="1" s="566">
      <c r="A316" s="583">
        <f t="array" ref="A316">IF('SSP - DoD SPRS &amp; FAR and Above'!M279&lt;&gt;"Fully Addressed",'SSP - DoD SPRS &amp; FAR and Above'!E279&amp;" - "&amp;IF('SSP - DoD SPRS &amp; FAR and Above'!I279&lt;&gt;"",'SSP - DoD SPRS &amp; FAR and Above'!I279,'SSP - DoD SPRS &amp; FAR and Above'!J279))</f>
        <v/>
      </c>
      <c r="B316" s="567" t="inlineStr">
        <is>
          <t>ISO/CISO</t>
        </is>
      </c>
      <c r="C316" s="568" t="inlineStr">
        <is>
          <t>Funded</t>
        </is>
      </c>
      <c r="D316" s="567" t="inlineStr">
        <is>
          <t>Upload approved platform baselines (Windows/macOS/network) with reviews; provide change tickets (risk/impact); show allow-listing/app control deployment.</t>
        </is>
      </c>
      <c r="E316" s="585" t="inlineStr">
        <is>
          <t>Estimate - 90 days to remediate
Policies and SSP available; attach configs/logs/records as noted</t>
        </is>
      </c>
      <c r="F316" s="574" t="n"/>
      <c r="G316" s="40" t="n"/>
      <c r="H316" s="40" t="n"/>
      <c r="I316" s="40" t="n"/>
      <c r="J316" s="40" t="n"/>
    </row>
    <row r="317" ht="42" customHeight="1" s="566">
      <c r="A317" s="583">
        <f t="array" ref="A317">IF('SSP - DoD SPRS &amp; FAR and Above'!M280&lt;&gt;"Fully Addressed",'SSP - DoD SPRS &amp; FAR and Above'!E280&amp;" - "&amp;IF('SSP - DoD SPRS &amp; FAR and Above'!I280&lt;&gt;"",'SSP - DoD SPRS &amp; FAR and Above'!I280,'SSP - DoD SPRS &amp; FAR and Above'!J280))</f>
        <v/>
      </c>
      <c r="B317" s="567" t="inlineStr">
        <is>
          <t>ISO/CISO</t>
        </is>
      </c>
      <c r="C317" s="568" t="inlineStr">
        <is>
          <t>Funded</t>
        </is>
      </c>
      <c r="D317" s="567" t="inlineStr">
        <is>
          <t>Upload approved platform baselines (Windows/macOS/network) with reviews; provide change tickets (risk/impact); show allow-listing/app control deployment.</t>
        </is>
      </c>
      <c r="E317" s="585" t="inlineStr">
        <is>
          <t>Estimate - 90 days to remediate
Policies and SSP available; attach configs/logs/records as noted</t>
        </is>
      </c>
      <c r="F317" s="574" t="n"/>
      <c r="G317" s="40" t="n"/>
      <c r="H317" s="40" t="n"/>
      <c r="I317" s="40" t="n"/>
      <c r="J317" s="40" t="n"/>
    </row>
    <row r="318" ht="42" customHeight="1" s="566">
      <c r="A318" s="583">
        <f t="array" ref="A318">IF('SSP - DoD SPRS &amp; FAR and Above'!M257&lt;&gt;"Fully Addressed",'SSP - DoD SPRS &amp; FAR and Above'!E257&amp;" - "&amp;IF('SSP - DoD SPRS &amp; FAR and Above'!I257&lt;&gt;"",'SSP - DoD SPRS &amp; FAR and Above'!I257,'SSP - DoD SPRS &amp; FAR and Above'!J257))</f>
        <v/>
      </c>
      <c r="B318" s="567" t="inlineStr">
        <is>
          <t>ISO/CISO</t>
        </is>
      </c>
      <c r="C318" s="568" t="inlineStr">
        <is>
          <t>Funded</t>
        </is>
      </c>
      <c r="D318" s="567" t="inlineStr">
        <is>
          <t>Upload approved platform baselines (Windows/macOS/network) with reviews; provide change tickets (risk/impact); show allow-listing/app control deployment.</t>
        </is>
      </c>
      <c r="E318" s="585" t="inlineStr">
        <is>
          <t>Estimate - 90 days to remediate
Policies and SSP available; attach configs/logs/records as noted</t>
        </is>
      </c>
      <c r="F318" s="574" t="n"/>
      <c r="G318" s="40" t="n"/>
      <c r="H318" s="40" t="n"/>
      <c r="I318" s="40" t="n"/>
      <c r="J318" s="40" t="n"/>
    </row>
    <row r="319" ht="42" customHeight="1" s="566">
      <c r="A319" s="583">
        <f t="array" ref="A319">IF('SSP - DoD SPRS &amp; FAR and Above'!M258&lt;&gt;"Fully Addressed",'SSP - DoD SPRS &amp; FAR and Above'!E258&amp;" - "&amp;IF('SSP - DoD SPRS &amp; FAR and Above'!I258&lt;&gt;"",'SSP - DoD SPRS &amp; FAR and Above'!I258,'SSP - DoD SPRS &amp; FAR and Above'!J258))</f>
        <v/>
      </c>
      <c r="B319" s="567" t="inlineStr">
        <is>
          <t>ISO/CISO</t>
        </is>
      </c>
      <c r="C319" s="568" t="inlineStr">
        <is>
          <t>Funded</t>
        </is>
      </c>
      <c r="D319" s="567" t="inlineStr">
        <is>
          <t>Upload approved platform baselines (Windows/macOS/network) with reviews; provide change tickets (risk/impact); show allow-listing/app control deployment.</t>
        </is>
      </c>
      <c r="E319" s="585" t="inlineStr">
        <is>
          <t>Estimate - 90 days to remediate
Policies and SSP available; attach configs/logs/records as noted</t>
        </is>
      </c>
      <c r="F319" s="574" t="n"/>
      <c r="G319" s="40" t="n"/>
      <c r="H319" s="40" t="n"/>
      <c r="I319" s="40" t="n"/>
      <c r="J319" s="40" t="n"/>
    </row>
    <row r="320" ht="42" customHeight="1" s="566">
      <c r="A320" s="583">
        <f t="array" ref="A320">IF('SSP - DoD SPRS &amp; FAR and Above'!M259&lt;&gt;"Fully Addressed",'SSP - DoD SPRS &amp; FAR and Above'!E259&amp;" - "&amp;IF('SSP - DoD SPRS &amp; FAR and Above'!I259&lt;&gt;"",'SSP - DoD SPRS &amp; FAR and Above'!I259,'SSP - DoD SPRS &amp; FAR and Above'!J259))</f>
        <v/>
      </c>
      <c r="B320" s="567" t="inlineStr">
        <is>
          <t>ISO/CISO</t>
        </is>
      </c>
      <c r="C320" s="568" t="inlineStr">
        <is>
          <t>Funded</t>
        </is>
      </c>
      <c r="D320" s="567" t="inlineStr">
        <is>
          <t>Upload approved platform baselines (Windows/macOS/network) with reviews; provide change tickets (risk/impact); show allow-listing/app control deployment.</t>
        </is>
      </c>
      <c r="E320" s="585" t="inlineStr">
        <is>
          <t>Estimate - 90 days to remediate
Policies and SSP available; attach configs/logs/records as noted</t>
        </is>
      </c>
      <c r="F320" s="574" t="n"/>
      <c r="G320" s="40" t="n"/>
      <c r="H320" s="40" t="n"/>
      <c r="I320" s="40" t="n"/>
      <c r="J320" s="40" t="n"/>
    </row>
    <row r="321" ht="42" customHeight="1" s="566">
      <c r="A321" s="583">
        <f t="array" ref="A321">IF('SSP - DoD SPRS &amp; FAR and Above'!M260&lt;&gt;"Fully Addressed",'SSP - DoD SPRS &amp; FAR and Above'!E260&amp;" - "&amp;IF('SSP - DoD SPRS &amp; FAR and Above'!I260&lt;&gt;"",'SSP - DoD SPRS &amp; FAR and Above'!I260,'SSP - DoD SPRS &amp; FAR and Above'!J260))</f>
        <v/>
      </c>
      <c r="B321" s="567" t="inlineStr">
        <is>
          <t>ISO/CISO</t>
        </is>
      </c>
      <c r="C321" s="568" t="inlineStr">
        <is>
          <t>Funded</t>
        </is>
      </c>
      <c r="D321" s="567" t="inlineStr">
        <is>
          <t>Upload approved platform baselines (Windows/macOS/network) with reviews; provide change tickets (risk/impact); show allow-listing/app control deployment.</t>
        </is>
      </c>
      <c r="E321" s="585" t="inlineStr">
        <is>
          <t>Estimate - 90 days to remediate
Policies and SSP available; attach configs/logs/records as noted</t>
        </is>
      </c>
      <c r="F321" s="574" t="n"/>
      <c r="G321" s="40" t="n"/>
      <c r="H321" s="40" t="n"/>
      <c r="I321" s="40" t="n"/>
      <c r="J321" s="40" t="n"/>
    </row>
    <row r="322" ht="42" customHeight="1" s="566">
      <c r="A322" s="583">
        <f t="array" ref="A322">IF('SSP - DoD SPRS &amp; FAR and Above'!M261&lt;&gt;"Fully Addressed",'SSP - DoD SPRS &amp; FAR and Above'!E261&amp;" - "&amp;IF('SSP - DoD SPRS &amp; FAR and Above'!I261&lt;&gt;"",'SSP - DoD SPRS &amp; FAR and Above'!I261,'SSP - DoD SPRS &amp; FAR and Above'!J261))</f>
        <v/>
      </c>
      <c r="B322" s="567" t="inlineStr">
        <is>
          <t>ISO/CISO</t>
        </is>
      </c>
      <c r="C322" s="568" t="inlineStr">
        <is>
          <t>Funded</t>
        </is>
      </c>
      <c r="D322" s="567" t="inlineStr">
        <is>
          <t>Upload approved platform baselines (Windows/macOS/network) with reviews; provide change tickets (risk/impact); show allow-listing/app control deployment.</t>
        </is>
      </c>
      <c r="E322" s="585" t="inlineStr">
        <is>
          <t>Estimate - 90 days to remediate
Policies and SSP available; attach configs/logs/records as noted</t>
        </is>
      </c>
      <c r="F322" s="574" t="n"/>
      <c r="G322" s="40" t="n"/>
      <c r="H322" s="40" t="n"/>
      <c r="I322" s="40" t="n"/>
      <c r="J322" s="40" t="n"/>
    </row>
    <row r="323" ht="42" customHeight="1" s="566">
      <c r="A323" s="583">
        <f t="array" ref="A323">IF('SSP - DoD SPRS &amp; FAR and Above'!M262&lt;&gt;"Fully Addressed",'SSP - DoD SPRS &amp; FAR and Above'!E262&amp;" - "&amp;IF('SSP - DoD SPRS &amp; FAR and Above'!I262&lt;&gt;"",'SSP - DoD SPRS &amp; FAR and Above'!I262,'SSP - DoD SPRS &amp; FAR and Above'!J262))</f>
        <v/>
      </c>
      <c r="B323" s="567" t="inlineStr">
        <is>
          <t>ISO/CISO</t>
        </is>
      </c>
      <c r="C323" s="568" t="inlineStr">
        <is>
          <t>Funded</t>
        </is>
      </c>
      <c r="D323" s="567" t="inlineStr">
        <is>
          <t>Upload approved platform baselines (Windows/macOS/network) with reviews; provide change tickets (risk/impact); show allow-listing/app control deployment.</t>
        </is>
      </c>
      <c r="E323" s="585" t="inlineStr">
        <is>
          <t>Estimate - 90 days to remediate
Policies and SSP available; attach configs/logs/records as noted</t>
        </is>
      </c>
      <c r="F323" s="574" t="n"/>
      <c r="G323" s="40" t="n"/>
      <c r="H323" s="40" t="n"/>
      <c r="I323" s="40" t="n"/>
      <c r="J323" s="40" t="n"/>
    </row>
    <row r="324" ht="42" customHeight="1" s="566">
      <c r="A324" s="583">
        <f t="array" ref="A324">IF('SSP - DoD SPRS &amp; FAR and Above'!M263&lt;&gt;"Fully Addressed",'SSP - DoD SPRS &amp; FAR and Above'!E263&amp;" - "&amp;IF('SSP - DoD SPRS &amp; FAR and Above'!I263&lt;&gt;"",'SSP - DoD SPRS &amp; FAR and Above'!I263,'SSP - DoD SPRS &amp; FAR and Above'!J263))</f>
        <v/>
      </c>
      <c r="B324" s="567" t="inlineStr">
        <is>
          <t>ISO/CISO</t>
        </is>
      </c>
      <c r="C324" s="568" t="inlineStr">
        <is>
          <t>Funded</t>
        </is>
      </c>
      <c r="D324" s="567" t="inlineStr">
        <is>
          <t>Upload approved platform baselines (Windows/macOS/network) with reviews; provide change tickets (risk/impact); show allow-listing/app control deployment.</t>
        </is>
      </c>
      <c r="E324" s="585" t="inlineStr">
        <is>
          <t>Estimate - 90 days to remediate
Policies and SSP available; attach configs/logs/records as noted</t>
        </is>
      </c>
      <c r="F324" s="574" t="n"/>
      <c r="G324" s="40" t="n"/>
      <c r="H324" s="40" t="n"/>
      <c r="I324" s="40" t="n"/>
      <c r="J324" s="40" t="n"/>
    </row>
    <row r="325" ht="42" customHeight="1" s="566">
      <c r="A325" s="583">
        <f t="array" ref="A325">IF('SSP - DoD SPRS &amp; FAR and Above'!M264&lt;&gt;"Fully Addressed",'SSP - DoD SPRS &amp; FAR and Above'!E264&amp;" - "&amp;IF('SSP - DoD SPRS &amp; FAR and Above'!I264&lt;&gt;"",'SSP - DoD SPRS &amp; FAR and Above'!I264,'SSP - DoD SPRS &amp; FAR and Above'!J264))</f>
        <v/>
      </c>
      <c r="B325" s="567" t="inlineStr">
        <is>
          <t>ISO/CISO</t>
        </is>
      </c>
      <c r="C325" s="568" t="inlineStr">
        <is>
          <t>Funded</t>
        </is>
      </c>
      <c r="D325" s="567" t="inlineStr">
        <is>
          <t>Upload approved platform baselines (Windows/macOS/network) with reviews; provide change tickets (risk/impact); show allow-listing/app control deployment.</t>
        </is>
      </c>
      <c r="E325" s="585" t="inlineStr">
        <is>
          <t>Estimate - 90 days to remediate
Policies and SSP available; attach configs/logs/records as noted</t>
        </is>
      </c>
      <c r="F325" s="574" t="n"/>
      <c r="G325" s="40" t="n"/>
      <c r="H325" s="40" t="n"/>
      <c r="I325" s="40" t="n"/>
      <c r="J325" s="40" t="n"/>
    </row>
    <row r="326" ht="42" customHeight="1" s="566">
      <c r="A326" s="583">
        <f t="array" ref="A326">IF('SSP - DoD SPRS &amp; FAR and Above'!M46&lt;&gt;"Fully Addressed",'SSP - DoD SPRS &amp; FAR and Above'!E46&amp;" - "&amp;IF('SSP - DoD SPRS &amp; FAR and Above'!I46&lt;&gt;"",'SSP - DoD SPRS &amp; FAR and Above'!I46,'SSP - DoD SPRS &amp; FAR and Above'!J46))</f>
        <v/>
      </c>
      <c r="B326" s="567" t="inlineStr">
        <is>
          <t>ISO/CISO</t>
        </is>
      </c>
      <c r="C326" s="568" t="inlineStr">
        <is>
          <t>Funded</t>
        </is>
      </c>
      <c r="D326" s="567" t="inlineStr">
        <is>
          <t>Provide Entra MFA enforcement (all users remote + privileged), Conditional Access policies, password policy (length/complexity/history/lockout), and PIM activation logs.</t>
        </is>
      </c>
      <c r="E326" s="585" t="inlineStr">
        <is>
          <t>Estimate - 90 days to remediate
Policies and SSP available; attach configs/logs/records as noted</t>
        </is>
      </c>
      <c r="F326" s="574" t="n"/>
      <c r="G326" s="40" t="n"/>
      <c r="H326" s="40" t="n"/>
      <c r="I326" s="40" t="n"/>
      <c r="J326" s="40" t="n"/>
    </row>
    <row r="327" ht="42" customHeight="1" s="566">
      <c r="A327" s="583">
        <f t="array" ref="A327">IF('SSP - DoD SPRS &amp; FAR and Above'!M47&lt;&gt;"Fully Addressed",'SSP - DoD SPRS &amp; FAR and Above'!E47&amp;" - "&amp;IF('SSP - DoD SPRS &amp; FAR and Above'!I47&lt;&gt;"",'SSP - DoD SPRS &amp; FAR and Above'!I47,'SSP - DoD SPRS &amp; FAR and Above'!J47))</f>
        <v/>
      </c>
      <c r="B327" s="567" t="inlineStr">
        <is>
          <t>ISO/CISO</t>
        </is>
      </c>
      <c r="C327" s="568" t="inlineStr">
        <is>
          <t>Funded</t>
        </is>
      </c>
      <c r="D327" s="567" t="inlineStr">
        <is>
          <t>Provide Entra MFA enforcement (all users remote + privileged), Conditional Access policies, password policy (length/complexity/history/lockout), and PIM activation logs.</t>
        </is>
      </c>
      <c r="E327" s="585" t="inlineStr">
        <is>
          <t>Estimate - 90 days to remediate
Policies and SSP available; attach configs/logs/records as noted</t>
        </is>
      </c>
      <c r="F327" s="574" t="n"/>
      <c r="G327" s="40" t="n"/>
      <c r="H327" s="40" t="n"/>
      <c r="I327" s="40" t="n"/>
      <c r="J327" s="40" t="n"/>
    </row>
    <row r="328" ht="42" customHeight="1" s="566">
      <c r="A328" s="583">
        <f t="array" ref="A328">IF('SSP - DoD SPRS &amp; FAR and Above'!M48&lt;&gt;"Fully Addressed",'SSP - DoD SPRS &amp; FAR and Above'!E48&amp;" - "&amp;IF('SSP - DoD SPRS &amp; FAR and Above'!I48&lt;&gt;"",'SSP - DoD SPRS &amp; FAR and Above'!I48,'SSP - DoD SPRS &amp; FAR and Above'!J48))</f>
        <v/>
      </c>
      <c r="B328" s="567" t="inlineStr">
        <is>
          <t>ISO/CISO</t>
        </is>
      </c>
      <c r="C328" s="568" t="inlineStr">
        <is>
          <t>Funded</t>
        </is>
      </c>
      <c r="D328" s="567" t="inlineStr">
        <is>
          <t>Provide Entra MFA enforcement (all users remote + privileged), Conditional Access policies, password policy (length/complexity/history/lockout), and PIM activation logs.</t>
        </is>
      </c>
      <c r="E328" s="585" t="inlineStr">
        <is>
          <t>Estimate - 90 days to remediate
Policies and SSP available; attach configs/logs/records as noted</t>
        </is>
      </c>
      <c r="F328" s="574" t="n"/>
      <c r="G328" s="40" t="n"/>
      <c r="H328" s="40" t="n"/>
      <c r="I328" s="40" t="n"/>
      <c r="J328" s="40" t="n"/>
    </row>
    <row r="329" ht="42" customHeight="1" s="566">
      <c r="A329" s="583">
        <f t="array" ref="A329">IF('SSP - DoD SPRS &amp; FAR and Above'!M49&lt;&gt;"Fully Addressed",'SSP - DoD SPRS &amp; FAR and Above'!E49&amp;" - "&amp;IF('SSP - DoD SPRS &amp; FAR and Above'!I49&lt;&gt;"",'SSP - DoD SPRS &amp; FAR and Above'!I49,'SSP - DoD SPRS &amp; FAR and Above'!J49))</f>
        <v/>
      </c>
      <c r="B329" s="567" t="inlineStr">
        <is>
          <t>ISO/CISO</t>
        </is>
      </c>
      <c r="C329" s="568" t="inlineStr">
        <is>
          <t>Funded</t>
        </is>
      </c>
      <c r="D329" s="567" t="inlineStr">
        <is>
          <t>Provide Entra MFA enforcement (all users remote + privileged), Conditional Access policies, password policy (length/complexity/history/lockout), and PIM activation logs.</t>
        </is>
      </c>
      <c r="E329" s="585" t="inlineStr">
        <is>
          <t>Estimate - 90 days to remediate
Policies and SSP available; attach configs/logs/records as noted</t>
        </is>
      </c>
      <c r="F329" s="574" t="n"/>
      <c r="G329" s="40" t="n"/>
      <c r="H329" s="40" t="n"/>
      <c r="I329" s="40" t="n"/>
      <c r="J329" s="40" t="n"/>
    </row>
    <row r="330" ht="42" customHeight="1" s="566">
      <c r="A330" s="583">
        <f t="array" ref="A330">IF('SSP - DoD SPRS &amp; FAR and Above'!M167&lt;&gt;"Fully Addressed",'SSP - DoD SPRS &amp; FAR and Above'!E167&amp;" - "&amp;IF('SSP - DoD SPRS &amp; FAR and Above'!I167&lt;&gt;"",'SSP - DoD SPRS &amp; FAR and Above'!I167,'SSP - DoD SPRS &amp; FAR and Above'!J167))</f>
        <v/>
      </c>
      <c r="B330" s="567" t="inlineStr">
        <is>
          <t>ISO/CISO</t>
        </is>
      </c>
      <c r="C330" s="568" t="inlineStr">
        <is>
          <t>Funded</t>
        </is>
      </c>
      <c r="D330" s="567" t="inlineStr">
        <is>
          <t>Provide Entra MFA enforcement (all users remote + privileged), Conditional Access policies, password policy (length/complexity/history/lockout), and PIM activation logs.</t>
        </is>
      </c>
      <c r="E330" s="585" t="inlineStr">
        <is>
          <t>Estimate - 90 days to remediate
Policies and SSP available; attach configs/logs/records as noted</t>
        </is>
      </c>
      <c r="F330" s="574" t="n"/>
      <c r="G330" s="40" t="n"/>
      <c r="H330" s="40" t="n"/>
      <c r="I330" s="40" t="n"/>
      <c r="J330" s="40" t="n"/>
    </row>
    <row r="331" ht="42" customHeight="1" s="566">
      <c r="A331" s="583">
        <f t="array" ref="A331">IF('SSP - DoD SPRS &amp; FAR and Above'!M168&lt;&gt;"Fully Addressed",'SSP - DoD SPRS &amp; FAR and Above'!E168&amp;" - "&amp;IF('SSP - DoD SPRS &amp; FAR and Above'!I168&lt;&gt;"",'SSP - DoD SPRS &amp; FAR and Above'!I168,'SSP - DoD SPRS &amp; FAR and Above'!J168))</f>
        <v/>
      </c>
      <c r="B331" s="567" t="inlineStr">
        <is>
          <t>ISO/CISO</t>
        </is>
      </c>
      <c r="C331" s="568" t="inlineStr">
        <is>
          <t>Funded</t>
        </is>
      </c>
      <c r="D331" s="567" t="inlineStr">
        <is>
          <t>Provide Entra MFA enforcement (all users remote + privileged), Conditional Access policies, password policy (length/complexity/history/lockout), and PIM activation logs.</t>
        </is>
      </c>
      <c r="E331" s="585" t="inlineStr">
        <is>
          <t>Estimate - 90 days to remediate
Policies and SSP available; attach configs/logs/records as noted</t>
        </is>
      </c>
      <c r="F331" s="574" t="n"/>
      <c r="G331" s="40" t="n"/>
      <c r="H331" s="40" t="n"/>
      <c r="I331" s="40" t="n"/>
      <c r="J331" s="40" t="n"/>
    </row>
    <row r="332" ht="42" customHeight="1" s="566">
      <c r="A332" s="583">
        <f t="array" ref="A332">IF('SSP - DoD SPRS &amp; FAR and Above'!M169&lt;&gt;"Fully Addressed",'SSP - DoD SPRS &amp; FAR and Above'!E169&amp;" - "&amp;IF('SSP - DoD SPRS &amp; FAR and Above'!I169&lt;&gt;"",'SSP - DoD SPRS &amp; FAR and Above'!I169,'SSP - DoD SPRS &amp; FAR and Above'!J169))</f>
        <v/>
      </c>
      <c r="B332" s="567" t="inlineStr">
        <is>
          <t>ISO/CISO</t>
        </is>
      </c>
      <c r="C332" s="568" t="inlineStr">
        <is>
          <t>Funded</t>
        </is>
      </c>
      <c r="D332" s="567" t="inlineStr">
        <is>
          <t>Provide Entra MFA enforcement (all users remote + privileged), Conditional Access policies, password policy (length/complexity/history/lockout), and PIM activation logs.</t>
        </is>
      </c>
      <c r="E332" s="585" t="inlineStr">
        <is>
          <t>Estimate - 90 days to remediate
Policies and SSP available; attach configs/logs/records as noted</t>
        </is>
      </c>
      <c r="F332" s="574" t="n"/>
      <c r="G332" s="40" t="n"/>
      <c r="H332" s="40" t="n"/>
      <c r="I332" s="40" t="n"/>
      <c r="J332" s="40" t="n"/>
    </row>
    <row r="333" ht="42" customHeight="1" s="566">
      <c r="A333" s="583">
        <f t="array" ref="A333">IF('SSP - DoD SPRS &amp; FAR and Above'!M306&lt;&gt;"Fully Addressed",'SSP - DoD SPRS &amp; FAR and Above'!E306&amp;" - "&amp;IF('SSP - DoD SPRS &amp; FAR and Above'!I306&lt;&gt;"",'SSP - DoD SPRS &amp; FAR and Above'!I306,'SSP - DoD SPRS &amp; FAR and Above'!J306))</f>
        <v/>
      </c>
      <c r="B333" s="567" t="inlineStr">
        <is>
          <t>ISO/CISO</t>
        </is>
      </c>
      <c r="C333" s="568" t="inlineStr">
        <is>
          <t>Funded</t>
        </is>
      </c>
      <c r="D333" s="567" t="inlineStr">
        <is>
          <t>Provide Entra MFA enforcement (all users remote + privileged), Conditional Access policies, password policy (length/complexity/history/lockout), and PIM activation logs.</t>
        </is>
      </c>
      <c r="E333" s="585" t="inlineStr">
        <is>
          <t>Estimate - 90 days to remediate
Policies and SSP available; attach configs/logs/records as noted</t>
        </is>
      </c>
      <c r="F333" s="574" t="n"/>
      <c r="G333" s="40" t="n"/>
      <c r="H333" s="40" t="n"/>
      <c r="I333" s="40" t="n"/>
      <c r="J333" s="40" t="n"/>
    </row>
    <row r="334" ht="42" customHeight="1" s="566">
      <c r="A334" s="583">
        <f t="array" ref="A334">IF('SSP - DoD SPRS &amp; FAR and Above'!M50&lt;&gt;"Fully Addressed",'SSP - DoD SPRS &amp; FAR and Above'!E50&amp;" - "&amp;IF('SSP - DoD SPRS &amp; FAR and Above'!I50&lt;&gt;"",'SSP - DoD SPRS &amp; FAR and Above'!I50,'SSP - DoD SPRS &amp; FAR and Above'!J50))</f>
        <v/>
      </c>
      <c r="B334" s="567" t="inlineStr">
        <is>
          <t>ISO/CISO</t>
        </is>
      </c>
      <c r="C334" s="568" t="inlineStr">
        <is>
          <t>Funded</t>
        </is>
      </c>
      <c r="D334" s="567" t="inlineStr">
        <is>
          <t>Provide Entra MFA enforcement (all users remote + privileged), Conditional Access policies, password policy (length/complexity/history/lockout), and PIM activation logs.</t>
        </is>
      </c>
      <c r="E334" s="585" t="inlineStr">
        <is>
          <t>Estimate - 90 days to remediate
Policies and SSP available; attach configs/logs/records as noted</t>
        </is>
      </c>
      <c r="F334" s="574" t="n"/>
      <c r="G334" s="40" t="n"/>
      <c r="H334" s="40" t="n"/>
      <c r="I334" s="40" t="n"/>
      <c r="J334" s="40" t="n"/>
    </row>
    <row r="335" ht="42" customHeight="1" s="566">
      <c r="A335" s="583">
        <f t="array" ref="A335">IF('SSP - DoD SPRS &amp; FAR and Above'!M51&lt;&gt;"Fully Addressed",'SSP - DoD SPRS &amp; FAR and Above'!E51&amp;" - "&amp;IF('SSP - DoD SPRS &amp; FAR and Above'!I51&lt;&gt;"",'SSP - DoD SPRS &amp; FAR and Above'!I51,'SSP - DoD SPRS &amp; FAR and Above'!J51))</f>
        <v/>
      </c>
      <c r="B335" s="567" t="inlineStr">
        <is>
          <t>ISO/CISO</t>
        </is>
      </c>
      <c r="C335" s="568" t="inlineStr">
        <is>
          <t>Funded</t>
        </is>
      </c>
      <c r="D335" s="567" t="inlineStr">
        <is>
          <t>Provide Entra MFA enforcement (all users remote + privileged), Conditional Access policies, password policy (length/complexity/history/lockout), and PIM activation logs.</t>
        </is>
      </c>
      <c r="E335" s="585" t="inlineStr">
        <is>
          <t>Estimate - 90 days to remediate
Policies and SSP available; attach configs/logs/records as noted</t>
        </is>
      </c>
      <c r="F335" s="574" t="n"/>
      <c r="G335" s="40" t="n"/>
      <c r="H335" s="40" t="n"/>
      <c r="I335" s="40" t="n"/>
      <c r="J335" s="40" t="n"/>
    </row>
    <row r="336" ht="42" customHeight="1" s="566">
      <c r="A336" s="583">
        <f t="array" ref="A336">IF('SSP - DoD SPRS &amp; FAR and Above'!M52&lt;&gt;"Fully Addressed",'SSP - DoD SPRS &amp; FAR and Above'!E52&amp;" - "&amp;IF('SSP - DoD SPRS &amp; FAR and Above'!I52&lt;&gt;"",'SSP - DoD SPRS &amp; FAR and Above'!I52,'SSP - DoD SPRS &amp; FAR and Above'!J52))</f>
        <v/>
      </c>
      <c r="B336" s="567" t="inlineStr">
        <is>
          <t>ISO/CISO</t>
        </is>
      </c>
      <c r="C336" s="568" t="inlineStr">
        <is>
          <t>Funded</t>
        </is>
      </c>
      <c r="D336" s="567" t="inlineStr">
        <is>
          <t>Provide Entra MFA enforcement (all users remote + privileged), Conditional Access policies, password policy (length/complexity/history/lockout), and PIM activation logs.</t>
        </is>
      </c>
      <c r="E336" s="585" t="inlineStr">
        <is>
          <t>Estimate - 90 days to remediate
Policies and SSP available; attach configs/logs/records as noted</t>
        </is>
      </c>
      <c r="F336" s="574" t="n"/>
      <c r="G336" s="40" t="n"/>
      <c r="H336" s="40" t="n"/>
      <c r="I336" s="40" t="n"/>
      <c r="J336" s="40" t="n"/>
    </row>
    <row r="337" ht="42" customHeight="1" s="566">
      <c r="A337" s="583">
        <f t="array" ref="A337">IF('SSP - DoD SPRS &amp; FAR and Above'!M53&lt;&gt;"Fully Addressed",'SSP - DoD SPRS &amp; FAR and Above'!E53&amp;" - "&amp;IF('SSP - DoD SPRS &amp; FAR and Above'!I53&lt;&gt;"",'SSP - DoD SPRS &amp; FAR and Above'!I53,'SSP - DoD SPRS &amp; FAR and Above'!J53))</f>
        <v/>
      </c>
      <c r="B337" s="567" t="inlineStr">
        <is>
          <t>ISO/CISO</t>
        </is>
      </c>
      <c r="C337" s="568" t="inlineStr">
        <is>
          <t>Funded</t>
        </is>
      </c>
      <c r="D337" s="567" t="inlineStr">
        <is>
          <t>Provide Entra MFA enforcement (all users remote + privileged), Conditional Access policies, password policy (length/complexity/history/lockout), and PIM activation logs.</t>
        </is>
      </c>
      <c r="E337" s="585" t="inlineStr">
        <is>
          <t>Estimate - 90 days to remediate
Policies and SSP available; attach configs/logs/records as noted</t>
        </is>
      </c>
      <c r="F337" s="574" t="n"/>
      <c r="G337" s="40" t="n"/>
      <c r="H337" s="40" t="n"/>
      <c r="I337" s="40" t="n"/>
      <c r="J337" s="40" t="n"/>
    </row>
    <row r="338" ht="42" customHeight="1" s="566">
      <c r="A338" s="583">
        <f t="array" ref="A338">IF('SSP - DoD SPRS &amp; FAR and Above'!M89&lt;&gt;"Fully Addressed",'SSP - DoD SPRS &amp; FAR and Above'!E89&amp;" - "&amp;IF('SSP - DoD SPRS &amp; FAR and Above'!I89&lt;&gt;"",'SSP - DoD SPRS &amp; FAR and Above'!I89,'SSP - DoD SPRS &amp; FAR and Above'!J89))</f>
        <v/>
      </c>
      <c r="B338" s="567" t="inlineStr">
        <is>
          <t>ISO/CISO</t>
        </is>
      </c>
      <c r="C338" s="568" t="inlineStr">
        <is>
          <t>Funded</t>
        </is>
      </c>
      <c r="D338" s="567" t="inlineStr">
        <is>
          <t>Provide Entra MFA enforcement (all users remote + privileged), Conditional Access policies, password policy (length/complexity/history/lockout), and PIM activation logs.</t>
        </is>
      </c>
      <c r="E338" s="585" t="inlineStr">
        <is>
          <t>Estimate - 90 days to remediate
Policies and SSP available; attach configs/logs/records as noted</t>
        </is>
      </c>
      <c r="F338" s="574" t="n"/>
      <c r="G338" s="40" t="n"/>
      <c r="H338" s="40" t="n"/>
      <c r="I338" s="40" t="n"/>
      <c r="J338" s="40" t="n"/>
    </row>
    <row r="339" ht="42" customHeight="1" s="566">
      <c r="A339" s="583">
        <f t="array" ref="A339">IF('SSP - DoD SPRS &amp; FAR and Above'!M90&lt;&gt;"Fully Addressed",'SSP - DoD SPRS &amp; FAR and Above'!E90&amp;" - "&amp;IF('SSP - DoD SPRS &amp; FAR and Above'!I90&lt;&gt;"",'SSP - DoD SPRS &amp; FAR and Above'!I90,'SSP - DoD SPRS &amp; FAR and Above'!J90))</f>
        <v/>
      </c>
      <c r="B339" s="567" t="inlineStr">
        <is>
          <t>ISO/CISO</t>
        </is>
      </c>
      <c r="C339" s="568" t="inlineStr">
        <is>
          <t>Funded</t>
        </is>
      </c>
      <c r="D339" s="567" t="inlineStr">
        <is>
          <t>Provide Entra MFA enforcement (all users remote + privileged), Conditional Access policies, password policy (length/complexity/history/lockout), and PIM activation logs.</t>
        </is>
      </c>
      <c r="E339" s="585" t="inlineStr">
        <is>
          <t>Estimate - 90 days to remediate
Policies and SSP available; attach configs/logs/records as noted</t>
        </is>
      </c>
      <c r="F339" s="574" t="n"/>
      <c r="G339" s="40" t="n"/>
      <c r="H339" s="40" t="n"/>
      <c r="I339" s="40" t="n"/>
      <c r="J339" s="40" t="n"/>
    </row>
    <row r="340" ht="42" customHeight="1" s="566">
      <c r="A340" s="583">
        <f t="array" ref="A340">IF('SSP - DoD SPRS &amp; FAR and Above'!M91&lt;&gt;"Fully Addressed",'SSP - DoD SPRS &amp; FAR and Above'!E91&amp;" - "&amp;IF('SSP - DoD SPRS &amp; FAR and Above'!I91&lt;&gt;"",'SSP - DoD SPRS &amp; FAR and Above'!I91,'SSP - DoD SPRS &amp; FAR and Above'!J91))</f>
        <v/>
      </c>
      <c r="B340" s="567" t="inlineStr">
        <is>
          <t>ISO/CISO</t>
        </is>
      </c>
      <c r="C340" s="568" t="inlineStr">
        <is>
          <t>Funded</t>
        </is>
      </c>
      <c r="D340" s="567" t="inlineStr">
        <is>
          <t>Provide Entra MFA enforcement (all users remote + privileged), Conditional Access policies, password policy (length/complexity/history/lockout), and PIM activation logs.</t>
        </is>
      </c>
      <c r="E340" s="585" t="inlineStr">
        <is>
          <t>Estimate - 90 days to remediate
Policies and SSP available; attach configs/logs/records as noted</t>
        </is>
      </c>
      <c r="F340" s="574" t="n"/>
      <c r="G340" s="40" t="n"/>
      <c r="H340" s="40" t="n"/>
      <c r="I340" s="40" t="n"/>
      <c r="J340" s="40" t="n"/>
    </row>
    <row r="341" ht="42" customHeight="1" s="566">
      <c r="A341" s="583">
        <f t="array" ref="A341">IF('SSP - DoD SPRS &amp; FAR and Above'!M92&lt;&gt;"Fully Addressed",'SSP - DoD SPRS &amp; FAR and Above'!E92&amp;" - "&amp;IF('SSP - DoD SPRS &amp; FAR and Above'!I92&lt;&gt;"",'SSP - DoD SPRS &amp; FAR and Above'!I92,'SSP - DoD SPRS &amp; FAR and Above'!J92))</f>
        <v/>
      </c>
      <c r="B341" s="567" t="inlineStr">
        <is>
          <t>ISO/CISO</t>
        </is>
      </c>
      <c r="C341" s="568" t="inlineStr">
        <is>
          <t>Funded</t>
        </is>
      </c>
      <c r="D341" s="567" t="inlineStr">
        <is>
          <t>Provide Entra MFA enforcement (all users remote + privileged), Conditional Access policies, password policy (length/complexity/history/lockout), and PIM activation logs.</t>
        </is>
      </c>
      <c r="E341" s="585" t="inlineStr">
        <is>
          <t>Estimate - 90 days to remediate
Policies and SSP available; attach configs/logs/records as noted</t>
        </is>
      </c>
      <c r="F341" s="574" t="n"/>
      <c r="G341" s="40" t="n"/>
      <c r="H341" s="40" t="n"/>
      <c r="I341" s="40" t="n"/>
      <c r="J341" s="40" t="n"/>
    </row>
    <row r="342" ht="42" customHeight="1" s="566">
      <c r="A342" s="583">
        <f t="array" ref="A342">IF('SSP - DoD SPRS &amp; FAR and Above'!M93&lt;&gt;"Fully Addressed",'SSP - DoD SPRS &amp; FAR and Above'!E93&amp;" - "&amp;IF('SSP - DoD SPRS &amp; FAR and Above'!I93&lt;&gt;"",'SSP - DoD SPRS &amp; FAR and Above'!I93,'SSP - DoD SPRS &amp; FAR and Above'!J93))</f>
        <v/>
      </c>
      <c r="B342" s="567" t="inlineStr">
        <is>
          <t>ISO/CISO</t>
        </is>
      </c>
      <c r="C342" s="568" t="inlineStr">
        <is>
          <t>Funded</t>
        </is>
      </c>
      <c r="D342" s="567" t="inlineStr">
        <is>
          <t>Provide Entra MFA enforcement (all users remote + privileged), Conditional Access policies, password policy (length/complexity/history/lockout), and PIM activation logs.</t>
        </is>
      </c>
      <c r="E342" s="585" t="inlineStr">
        <is>
          <t>Estimate - 90 days to remediate
Policies and SSP available; attach configs/logs/records as noted</t>
        </is>
      </c>
      <c r="F342" s="574" t="n"/>
      <c r="G342" s="40" t="n"/>
      <c r="H342" s="40" t="n"/>
      <c r="I342" s="40" t="n"/>
      <c r="J342" s="40" t="n"/>
    </row>
    <row r="343" ht="42" customHeight="1" s="566">
      <c r="A343" s="583">
        <f t="array" ref="A343">IF('SSP - DoD SPRS &amp; FAR and Above'!M386&lt;&gt;"Fully Addressed",'SSP - DoD SPRS &amp; FAR and Above'!E386&amp;" - "&amp;IF('SSP - DoD SPRS &amp; FAR and Above'!I386&lt;&gt;"",'SSP - DoD SPRS &amp; FAR and Above'!I386,'SSP - DoD SPRS &amp; FAR and Above'!J386))</f>
        <v/>
      </c>
      <c r="B343" s="567" t="inlineStr">
        <is>
          <t>ISO/CISO</t>
        </is>
      </c>
      <c r="C343" s="568" t="inlineStr">
        <is>
          <t>Funded</t>
        </is>
      </c>
      <c r="D343" s="567" t="inlineStr">
        <is>
          <t>Provide Entra MFA enforcement (all users remote + privileged), Conditional Access policies, password policy (length/complexity/history/lockout), and PIM activation logs.</t>
        </is>
      </c>
      <c r="E343" s="585" t="inlineStr">
        <is>
          <t>Estimate - 90 days to remediate
Policies and SSP available; attach configs/logs/records as noted</t>
        </is>
      </c>
      <c r="F343" s="574" t="n"/>
      <c r="G343" s="40" t="n"/>
      <c r="H343" s="40" t="n"/>
      <c r="I343" s="40" t="n"/>
      <c r="J343" s="40" t="n"/>
    </row>
    <row r="344" ht="42" customHeight="1" s="566">
      <c r="A344" s="583">
        <f t="array" ref="A344">IF('SSP - DoD SPRS &amp; FAR and Above'!M387&lt;&gt;"Fully Addressed",'SSP - DoD SPRS &amp; FAR and Above'!E387&amp;" - "&amp;IF('SSP - DoD SPRS &amp; FAR and Above'!I387&lt;&gt;"",'SSP - DoD SPRS &amp; FAR and Above'!I387,'SSP - DoD SPRS &amp; FAR and Above'!J387))</f>
        <v/>
      </c>
      <c r="B344" s="567" t="inlineStr">
        <is>
          <t>ISO/CISO</t>
        </is>
      </c>
      <c r="C344" s="568" t="inlineStr">
        <is>
          <t>Funded</t>
        </is>
      </c>
      <c r="D344" s="567" t="inlineStr">
        <is>
          <t>Provide Entra MFA enforcement (all users remote + privileged), Conditional Access policies, password policy (length/complexity/history/lockout), and PIM activation logs.</t>
        </is>
      </c>
      <c r="E344" s="585" t="inlineStr">
        <is>
          <t>Estimate - 90 days to remediate
Policies and SSP available; attach configs/logs/records as noted</t>
        </is>
      </c>
      <c r="F344" s="574" t="n"/>
      <c r="G344" s="40" t="n"/>
      <c r="H344" s="40" t="n"/>
      <c r="I344" s="40" t="n"/>
      <c r="J344" s="40" t="n"/>
    </row>
    <row r="345" ht="42" customHeight="1" s="566">
      <c r="A345" s="583">
        <f t="array" ref="A345">IF('SSP - DoD SPRS &amp; FAR and Above'!M388&lt;&gt;"Fully Addressed",'SSP - DoD SPRS &amp; FAR and Above'!E388&amp;" - "&amp;IF('SSP - DoD SPRS &amp; FAR and Above'!I388&lt;&gt;"",'SSP - DoD SPRS &amp; FAR and Above'!I388,'SSP - DoD SPRS &amp; FAR and Above'!J388))</f>
        <v/>
      </c>
      <c r="B345" s="567" t="inlineStr">
        <is>
          <t>ISO/CISO</t>
        </is>
      </c>
      <c r="C345" s="568" t="inlineStr">
        <is>
          <t>Funded</t>
        </is>
      </c>
      <c r="D345" s="567" t="inlineStr">
        <is>
          <t>Provide Entra MFA enforcement (all users remote + privileged), Conditional Access policies, password policy (length/complexity/history/lockout), and PIM activation logs.</t>
        </is>
      </c>
      <c r="E345" s="585" t="inlineStr">
        <is>
          <t>Estimate - 90 days to remediate
Policies and SSP available; attach configs/logs/records as noted</t>
        </is>
      </c>
      <c r="F345" s="574" t="n"/>
      <c r="G345" s="40" t="n"/>
      <c r="H345" s="40" t="n"/>
      <c r="I345" s="40" t="n"/>
      <c r="J345" s="40" t="n"/>
    </row>
    <row r="346" ht="42" customHeight="1" s="566">
      <c r="A346" s="583">
        <f t="array" ref="A346">IF('SSP - DoD SPRS &amp; FAR and Above'!M389&lt;&gt;"Fully Addressed",'SSP - DoD SPRS &amp; FAR and Above'!E389&amp;" - "&amp;IF('SSP - DoD SPRS &amp; FAR and Above'!I389&lt;&gt;"",'SSP - DoD SPRS &amp; FAR and Above'!I389,'SSP - DoD SPRS &amp; FAR and Above'!J389))</f>
        <v/>
      </c>
      <c r="B346" s="567" t="inlineStr">
        <is>
          <t>ISO/CISO</t>
        </is>
      </c>
      <c r="C346" s="568" t="inlineStr">
        <is>
          <t>Funded</t>
        </is>
      </c>
      <c r="D346" s="567" t="inlineStr">
        <is>
          <t>Provide Entra MFA enforcement (all users remote + privileged), Conditional Access policies, password policy (length/complexity/history/lockout), and PIM activation logs.</t>
        </is>
      </c>
      <c r="E346" s="585" t="inlineStr">
        <is>
          <t>Estimate - 90 days to remediate
Policies and SSP available; attach configs/logs/records as noted</t>
        </is>
      </c>
      <c r="F346" s="574" t="n"/>
      <c r="G346" s="40" t="n"/>
      <c r="H346" s="40" t="n"/>
      <c r="I346" s="40" t="n"/>
      <c r="J346" s="40" t="n"/>
    </row>
    <row r="347" ht="42" customHeight="1" s="566">
      <c r="A347" s="583">
        <f t="array" ref="A347">IF('SSP - DoD SPRS &amp; FAR and Above'!M390&lt;&gt;"Fully Addressed",'SSP - DoD SPRS &amp; FAR and Above'!E390&amp;" - "&amp;IF('SSP - DoD SPRS &amp; FAR and Above'!I390&lt;&gt;"",'SSP - DoD SPRS &amp; FAR and Above'!I390,'SSP - DoD SPRS &amp; FAR and Above'!J390))</f>
        <v/>
      </c>
      <c r="B347" s="567" t="inlineStr">
        <is>
          <t>ISO/CISO</t>
        </is>
      </c>
      <c r="C347" s="568" t="inlineStr">
        <is>
          <t>Funded</t>
        </is>
      </c>
      <c r="D347" s="567" t="inlineStr">
        <is>
          <t>Provide Entra MFA enforcement (all users remote + privileged), Conditional Access policies, password policy (length/complexity/history/lockout), and PIM activation logs.</t>
        </is>
      </c>
      <c r="E347" s="585" t="inlineStr">
        <is>
          <t>Estimate - 90 days to remediate
Policies and SSP available; attach configs/logs/records as noted</t>
        </is>
      </c>
      <c r="F347" s="574" t="n"/>
      <c r="G347" s="40" t="n"/>
      <c r="H347" s="40" t="n"/>
      <c r="I347" s="40" t="n"/>
      <c r="J347" s="40" t="n"/>
    </row>
    <row r="348" ht="42" customHeight="1" s="566">
      <c r="A348" s="583">
        <f t="array" ref="A348">IF('SSP - DoD SPRS &amp; FAR and Above'!M391&lt;&gt;"Fully Addressed",'SSP - DoD SPRS &amp; FAR and Above'!E391&amp;" - "&amp;IF('SSP - DoD SPRS &amp; FAR and Above'!I391&lt;&gt;"",'SSP - DoD SPRS &amp; FAR and Above'!I391,'SSP - DoD SPRS &amp; FAR and Above'!J391))</f>
        <v/>
      </c>
      <c r="B348" s="567" t="inlineStr">
        <is>
          <t>ISO/CISO</t>
        </is>
      </c>
      <c r="C348" s="568" t="inlineStr">
        <is>
          <t>Funded</t>
        </is>
      </c>
      <c r="D348" s="567" t="inlineStr">
        <is>
          <t>Provide Entra MFA enforcement (all users remote + privileged), Conditional Access policies, password policy (length/complexity/history/lockout), and PIM activation logs.</t>
        </is>
      </c>
      <c r="E348" s="585" t="inlineStr">
        <is>
          <t>Estimate - 90 days to remediate
Policies and SSP available; attach configs/logs/records as noted</t>
        </is>
      </c>
      <c r="F348" s="574" t="n"/>
      <c r="G348" s="40" t="n"/>
      <c r="H348" s="40" t="n"/>
      <c r="I348" s="40" t="n"/>
      <c r="J348" s="40" t="n"/>
    </row>
    <row r="349" ht="42" customHeight="1" s="566">
      <c r="A349" s="583">
        <f t="array" ref="A349">IF('SSP - DoD SPRS &amp; FAR and Above'!M392&lt;&gt;"Fully Addressed",'SSP - DoD SPRS &amp; FAR and Above'!E392&amp;" - "&amp;IF('SSP - DoD SPRS &amp; FAR and Above'!I392&lt;&gt;"",'SSP - DoD SPRS &amp; FAR and Above'!I392,'SSP - DoD SPRS &amp; FAR and Above'!J392))</f>
        <v/>
      </c>
      <c r="B349" s="567" t="inlineStr">
        <is>
          <t>ISO/CISO</t>
        </is>
      </c>
      <c r="C349" s="568" t="inlineStr">
        <is>
          <t>Funded</t>
        </is>
      </c>
      <c r="D349" s="567" t="inlineStr">
        <is>
          <t>Provide Entra MFA enforcement (all users remote + privileged), Conditional Access policies, password policy (length/complexity/history/lockout), and PIM activation logs.</t>
        </is>
      </c>
      <c r="E349" s="585" t="inlineStr">
        <is>
          <t>Estimate - 90 days to remediate
Policies and SSP available; attach configs/logs/records as noted</t>
        </is>
      </c>
      <c r="F349" s="574" t="n"/>
      <c r="G349" s="40" t="n"/>
      <c r="H349" s="40" t="n"/>
      <c r="I349" s="40" t="n"/>
      <c r="J349" s="40" t="n"/>
    </row>
    <row r="350" ht="42" customHeight="1" s="566">
      <c r="A350" s="583">
        <f t="array" ref="A350">IF('SSP - DoD SPRS &amp; FAR and Above'!M105&lt;&gt;"Fully Addressed",'SSP - DoD SPRS &amp; FAR and Above'!E105&amp;" - "&amp;IF('SSP - DoD SPRS &amp; FAR and Above'!I105&lt;&gt;"",'SSP - DoD SPRS &amp; FAR and Above'!I105,'SSP - DoD SPRS &amp; FAR and Above'!J105))</f>
        <v/>
      </c>
      <c r="B350" s="567" t="inlineStr">
        <is>
          <t>ISO/CISO</t>
        </is>
      </c>
      <c r="C350" s="568" t="inlineStr">
        <is>
          <t>Funded</t>
        </is>
      </c>
      <c r="D350" s="567" t="inlineStr">
        <is>
          <t>Provide Entra MFA enforcement (all users remote + privileged), Conditional Access policies, password policy (length/complexity/history/lockout), and PIM activation logs.</t>
        </is>
      </c>
      <c r="E350" s="585" t="inlineStr">
        <is>
          <t>Estimate - 90 days to remediate
Policies and SSP available; attach configs/logs/records as noted</t>
        </is>
      </c>
      <c r="F350" s="574" t="n"/>
      <c r="G350" s="40" t="n"/>
      <c r="H350" s="40" t="n"/>
      <c r="I350" s="40" t="n"/>
      <c r="J350" s="40" t="n"/>
    </row>
    <row r="351" ht="42" customHeight="1" s="566">
      <c r="A351" s="583">
        <f t="array" ref="A351">IF('SSP - DoD SPRS &amp; FAR and Above'!M106&lt;&gt;"Fully Addressed",'SSP - DoD SPRS &amp; FAR and Above'!E106&amp;" - "&amp;IF('SSP - DoD SPRS &amp; FAR and Above'!I106&lt;&gt;"",'SSP - DoD SPRS &amp; FAR and Above'!I106,'SSP - DoD SPRS &amp; FAR and Above'!J106))</f>
        <v/>
      </c>
      <c r="B351" s="567" t="inlineStr">
        <is>
          <t>ISO/CISO</t>
        </is>
      </c>
      <c r="C351" s="568" t="inlineStr">
        <is>
          <t>Funded</t>
        </is>
      </c>
      <c r="D351" s="567" t="inlineStr">
        <is>
          <t>Provide Entra MFA enforcement (all users remote + privileged), Conditional Access policies, password policy (length/complexity/history/lockout), and PIM activation logs.</t>
        </is>
      </c>
      <c r="E351" s="585" t="inlineStr">
        <is>
          <t>Estimate - 90 days to remediate
Policies and SSP available; attach configs/logs/records as noted</t>
        </is>
      </c>
      <c r="F351" s="574" t="n"/>
      <c r="G351" s="40" t="n"/>
      <c r="H351" s="40" t="n"/>
      <c r="I351" s="40" t="n"/>
      <c r="J351" s="40" t="n"/>
    </row>
    <row r="352" ht="42" customHeight="1" s="566">
      <c r="A352" s="583">
        <f t="array" ref="A352">IF('SSP - DoD SPRS &amp; FAR and Above'!M107&lt;&gt;"Fully Addressed",'SSP - DoD SPRS &amp; FAR and Above'!E107&amp;" - "&amp;IF('SSP - DoD SPRS &amp; FAR and Above'!I107&lt;&gt;"",'SSP - DoD SPRS &amp; FAR and Above'!I107,'SSP - DoD SPRS &amp; FAR and Above'!J107))</f>
        <v/>
      </c>
      <c r="B352" s="567" t="inlineStr">
        <is>
          <t>ISO/CISO</t>
        </is>
      </c>
      <c r="C352" s="568" t="inlineStr">
        <is>
          <t>Funded</t>
        </is>
      </c>
      <c r="D352" s="567" t="inlineStr">
        <is>
          <t>Provide Entra MFA enforcement (all users remote + privileged), Conditional Access policies, password policy (length/complexity/history/lockout), and PIM activation logs.</t>
        </is>
      </c>
      <c r="E352" s="585" t="inlineStr">
        <is>
          <t>Estimate - 90 days to remediate
Policies and SSP available; attach configs/logs/records as noted</t>
        </is>
      </c>
      <c r="F352" s="574" t="n"/>
      <c r="G352" s="40" t="n"/>
      <c r="H352" s="40" t="n"/>
      <c r="I352" s="40" t="n"/>
      <c r="J352" s="40" t="n"/>
    </row>
    <row r="353" ht="42" customHeight="1" s="566">
      <c r="A353" s="583">
        <f t="array" ref="A353">IF('SSP - DoD SPRS &amp; FAR and Above'!M108&lt;&gt;"Fully Addressed",'SSP - DoD SPRS &amp; FAR and Above'!E108&amp;" - "&amp;IF('SSP - DoD SPRS &amp; FAR and Above'!I108&lt;&gt;"",'SSP - DoD SPRS &amp; FAR and Above'!I108,'SSP - DoD SPRS &amp; FAR and Above'!J108))</f>
        <v/>
      </c>
      <c r="B353" s="567" t="inlineStr">
        <is>
          <t>ISO/CISO</t>
        </is>
      </c>
      <c r="C353" s="568" t="inlineStr">
        <is>
          <t>Funded</t>
        </is>
      </c>
      <c r="D353" s="567" t="inlineStr">
        <is>
          <t>Provide Entra MFA enforcement (all users remote + privileged), Conditional Access policies, password policy (length/complexity/history/lockout), and PIM activation logs.</t>
        </is>
      </c>
      <c r="E353" s="585" t="inlineStr">
        <is>
          <t>Estimate - 90 days to remediate
Policies and SSP available; attach configs/logs/records as noted</t>
        </is>
      </c>
      <c r="F353" s="574" t="n"/>
      <c r="G353" s="40" t="n"/>
      <c r="H353" s="40" t="n"/>
      <c r="I353" s="40" t="n"/>
      <c r="J353" s="40" t="n"/>
    </row>
    <row r="354" ht="42" customHeight="1" s="566">
      <c r="A354" s="583">
        <f t="array" ref="A354">IF('SSP - DoD SPRS &amp; FAR and Above'!M109&lt;&gt;"Fully Addressed",'SSP - DoD SPRS &amp; FAR and Above'!E109&amp;" - "&amp;IF('SSP - DoD SPRS &amp; FAR and Above'!I109&lt;&gt;"",'SSP - DoD SPRS &amp; FAR and Above'!I109,'SSP - DoD SPRS &amp; FAR and Above'!J109))</f>
        <v/>
      </c>
      <c r="B354" s="567" t="inlineStr">
        <is>
          <t>ISO/CISO</t>
        </is>
      </c>
      <c r="C354" s="568" t="inlineStr">
        <is>
          <t>Funded</t>
        </is>
      </c>
      <c r="D354" s="567" t="inlineStr">
        <is>
          <t>Provide Entra MFA enforcement (all users remote + privileged), Conditional Access policies, password policy (length/complexity/history/lockout), and PIM activation logs.</t>
        </is>
      </c>
      <c r="E354" s="585" t="inlineStr">
        <is>
          <t>Estimate - 90 days to remediate
Policies and SSP available; attach configs/logs/records as noted</t>
        </is>
      </c>
      <c r="F354" s="574" t="n"/>
      <c r="G354" s="40" t="n"/>
      <c r="H354" s="40" t="n"/>
      <c r="I354" s="40" t="n"/>
      <c r="J354" s="40" t="n"/>
    </row>
    <row r="355" ht="42" customHeight="1" s="566">
      <c r="A355" s="583">
        <f t="array" ref="A355">IF('SSP - DoD SPRS &amp; FAR and Above'!M110&lt;&gt;"Fully Addressed",'SSP - DoD SPRS &amp; FAR and Above'!E110&amp;" - "&amp;IF('SSP - DoD SPRS &amp; FAR and Above'!I110&lt;&gt;"",'SSP - DoD SPRS &amp; FAR and Above'!I110,'SSP - DoD SPRS &amp; FAR and Above'!J110))</f>
        <v/>
      </c>
      <c r="B355" s="567" t="inlineStr">
        <is>
          <t>ISO/CISO</t>
        </is>
      </c>
      <c r="C355" s="568" t="inlineStr">
        <is>
          <t>Funded</t>
        </is>
      </c>
      <c r="D355" s="567" t="inlineStr">
        <is>
          <t>Provide Entra MFA enforcement (all users remote + privileged), Conditional Access policies, password policy (length/complexity/history/lockout), and PIM activation logs.</t>
        </is>
      </c>
      <c r="E355" s="585" t="inlineStr">
        <is>
          <t>Estimate - 90 days to remediate
Policies and SSP available; attach configs/logs/records as noted</t>
        </is>
      </c>
      <c r="F355" s="574" t="n"/>
      <c r="G355" s="40" t="n"/>
      <c r="H355" s="40" t="n"/>
      <c r="I355" s="40" t="n"/>
      <c r="J355" s="40" t="n"/>
    </row>
    <row r="356" ht="42" customHeight="1" s="566">
      <c r="A356" s="583">
        <f t="array" ref="A356">IF('SSP - DoD SPRS &amp; FAR and Above'!M111&lt;&gt;"Fully Addressed",'SSP - DoD SPRS &amp; FAR and Above'!E111&amp;" - "&amp;IF('SSP - DoD SPRS &amp; FAR and Above'!I111&lt;&gt;"",'SSP - DoD SPRS &amp; FAR and Above'!I111,'SSP - DoD SPRS &amp; FAR and Above'!J111))</f>
        <v/>
      </c>
      <c r="B356" s="567" t="inlineStr">
        <is>
          <t>ISO/CISO</t>
        </is>
      </c>
      <c r="C356" s="568" t="inlineStr">
        <is>
          <t>Funded</t>
        </is>
      </c>
      <c r="D356" s="567" t="inlineStr">
        <is>
          <t>Provide Entra MFA enforcement (all users remote + privileged), Conditional Access policies, password policy (length/complexity/history/lockout), and PIM activation logs.</t>
        </is>
      </c>
      <c r="E356" s="585" t="inlineStr">
        <is>
          <t>Estimate - 90 days to remediate
Policies and SSP available; attach configs/logs/records as noted</t>
        </is>
      </c>
      <c r="F356" s="574" t="n"/>
      <c r="G356" s="40" t="n"/>
      <c r="H356" s="40" t="n"/>
      <c r="I356" s="40" t="n"/>
      <c r="J356" s="40" t="n"/>
    </row>
    <row r="357" ht="42" customHeight="1" s="566">
      <c r="A357" s="583">
        <f t="array" ref="A357">IF('SSP - DoD SPRS &amp; FAR and Above'!M112&lt;&gt;"Fully Addressed",'SSP - DoD SPRS &amp; FAR and Above'!E112&amp;" - "&amp;IF('SSP - DoD SPRS &amp; FAR and Above'!I112&lt;&gt;"",'SSP - DoD SPRS &amp; FAR and Above'!I112,'SSP - DoD SPRS &amp; FAR and Above'!J112))</f>
        <v/>
      </c>
      <c r="B357" s="567" t="inlineStr">
        <is>
          <t>ISO/CISO</t>
        </is>
      </c>
      <c r="C357" s="568" t="inlineStr">
        <is>
          <t>Funded</t>
        </is>
      </c>
      <c r="D357" s="567" t="inlineStr">
        <is>
          <t>Provide Entra MFA enforcement (all users remote + privileged), Conditional Access policies, password policy (length/complexity/history/lockout), and PIM activation logs.</t>
        </is>
      </c>
      <c r="E357" s="585" t="inlineStr">
        <is>
          <t>Estimate - 90 days to remediate
Policies and SSP available; attach configs/logs/records as noted</t>
        </is>
      </c>
      <c r="F357" s="574" t="n"/>
      <c r="G357" s="40" t="n"/>
      <c r="H357" s="40" t="n"/>
      <c r="I357" s="40" t="n"/>
      <c r="J357" s="40" t="n"/>
    </row>
    <row r="358" ht="42" customHeight="1" s="566">
      <c r="A358" s="583">
        <f t="array" ref="A358">IF('SSP - DoD SPRS &amp; FAR and Above'!M120&lt;&gt;"Fully Addressed",'SSP - DoD SPRS &amp; FAR and Above'!E120&amp;" - "&amp;IF('SSP - DoD SPRS &amp; FAR and Above'!I120&lt;&gt;"",'SSP - DoD SPRS &amp; FAR and Above'!I120,'SSP - DoD SPRS &amp; FAR and Above'!J120))</f>
        <v/>
      </c>
      <c r="B358" s="567" t="inlineStr">
        <is>
          <t>ISO/CISO</t>
        </is>
      </c>
      <c r="C358" s="568" t="inlineStr">
        <is>
          <t>Funded</t>
        </is>
      </c>
      <c r="D358" s="567" t="inlineStr">
        <is>
          <t>Provide Entra MFA enforcement (all users remote + privileged), Conditional Access policies, password policy (length/complexity/history/lockout), and PIM activation logs.</t>
        </is>
      </c>
      <c r="E358" s="585" t="inlineStr">
        <is>
          <t>Estimate - 90 days to remediate
Policies and SSP available; attach configs/logs/records as noted</t>
        </is>
      </c>
      <c r="F358" s="574" t="n"/>
      <c r="G358" s="40" t="n"/>
      <c r="H358" s="40" t="n"/>
      <c r="I358" s="40" t="n"/>
      <c r="J358" s="40" t="n"/>
    </row>
    <row r="359" ht="27.95" customHeight="1" s="566">
      <c r="A359" s="583">
        <f t="array" ref="A359">IF('SSP - DoD SPRS &amp; FAR and Above'!M193&lt;&gt;"Fully Addressed",'SSP - DoD SPRS &amp; FAR and Above'!E193&amp;" - "&amp;IF('SSP - DoD SPRS &amp; FAR and Above'!I193&lt;&gt;"",'SSP - DoD SPRS &amp; FAR and Above'!I193,'SSP - DoD SPRS &amp; FAR and Above'!J193))</f>
        <v/>
      </c>
      <c r="B359" s="567" t="inlineStr">
        <is>
          <t>ISO/CISO</t>
        </is>
      </c>
      <c r="C359" s="568" t="inlineStr">
        <is>
          <t>Funded</t>
        </is>
      </c>
      <c r="D359" s="567" t="inlineStr">
        <is>
          <t>Upload IR Plan test (tabletop AAR) and 1–2 incident tickets showing detection→analysis→containment→recovery (include notifications).</t>
        </is>
      </c>
      <c r="E359" s="585" t="inlineStr">
        <is>
          <t>Estimate - 90 days to remediate
Policies and SSP available; attach configs/logs/records as noted</t>
        </is>
      </c>
      <c r="F359" s="574" t="n"/>
      <c r="G359" s="40" t="n"/>
      <c r="H359" s="40" t="n"/>
      <c r="I359" s="40" t="n"/>
      <c r="J359" s="40" t="n"/>
    </row>
    <row r="360" ht="27.95" customHeight="1" s="566">
      <c r="A360" s="583">
        <f t="array" ref="A360">IF('SSP - DoD SPRS &amp; FAR and Above'!M194&lt;&gt;"Fully Addressed",'SSP - DoD SPRS &amp; FAR and Above'!E194&amp;" - "&amp;IF('SSP - DoD SPRS &amp; FAR and Above'!I194&lt;&gt;"",'SSP - DoD SPRS &amp; FAR and Above'!I194,'SSP - DoD SPRS &amp; FAR and Above'!J194))</f>
        <v/>
      </c>
      <c r="B360" s="567" t="inlineStr">
        <is>
          <t>ISO/CISO</t>
        </is>
      </c>
      <c r="C360" s="568" t="inlineStr">
        <is>
          <t>Funded</t>
        </is>
      </c>
      <c r="D360" s="567" t="inlineStr">
        <is>
          <t>Upload IR Plan test (tabletop AAR) and 1–2 incident tickets showing detection→analysis→containment→recovery (include notifications).</t>
        </is>
      </c>
      <c r="E360" s="585" t="inlineStr">
        <is>
          <t>Estimate - 90 days to remediate
Policies and SSP available; attach configs/logs/records as noted</t>
        </is>
      </c>
      <c r="F360" s="574" t="n"/>
      <c r="G360" s="40" t="n"/>
      <c r="H360" s="40" t="n"/>
      <c r="I360" s="40" t="n"/>
      <c r="J360" s="40" t="n"/>
    </row>
    <row r="361" ht="27.95" customHeight="1" s="566">
      <c r="A361" s="583">
        <f t="array" ref="A361">IF('SSP - DoD SPRS &amp; FAR and Above'!M195&lt;&gt;"Fully Addressed",'SSP - DoD SPRS &amp; FAR and Above'!E195&amp;" - "&amp;IF('SSP - DoD SPRS &amp; FAR and Above'!I195&lt;&gt;"",'SSP - DoD SPRS &amp; FAR and Above'!I195,'SSP - DoD SPRS &amp; FAR and Above'!J195))</f>
        <v/>
      </c>
      <c r="B361" s="567" t="inlineStr">
        <is>
          <t>ISO/CISO</t>
        </is>
      </c>
      <c r="C361" s="568" t="inlineStr">
        <is>
          <t>Funded</t>
        </is>
      </c>
      <c r="D361" s="567" t="inlineStr">
        <is>
          <t>Upload IR Plan test (tabletop AAR) and 1–2 incident tickets showing detection→analysis→containment→recovery (include notifications).</t>
        </is>
      </c>
      <c r="E361" s="585" t="inlineStr">
        <is>
          <t>Estimate - 90 days to remediate
Policies and SSP available; attach configs/logs/records as noted</t>
        </is>
      </c>
      <c r="F361" s="574" t="n"/>
      <c r="G361" s="40" t="n"/>
      <c r="H361" s="40" t="n"/>
      <c r="I361" s="40" t="n"/>
      <c r="J361" s="40" t="n"/>
    </row>
    <row r="362" ht="27.95" customHeight="1" s="566">
      <c r="A362" s="583">
        <f t="array" ref="A362">IF('SSP - DoD SPRS &amp; FAR and Above'!M196&lt;&gt;"Fully Addressed",'SSP - DoD SPRS &amp; FAR and Above'!E196&amp;" - "&amp;IF('SSP - DoD SPRS &amp; FAR and Above'!I196&lt;&gt;"",'SSP - DoD SPRS &amp; FAR and Above'!I196,'SSP - DoD SPRS &amp; FAR and Above'!J196))</f>
        <v/>
      </c>
      <c r="B362" s="567" t="inlineStr">
        <is>
          <t>ISO/CISO</t>
        </is>
      </c>
      <c r="C362" s="568" t="inlineStr">
        <is>
          <t>Funded</t>
        </is>
      </c>
      <c r="D362" s="567" t="inlineStr">
        <is>
          <t>Upload IR Plan test (tabletop AAR) and 1–2 incident tickets showing detection→analysis→containment→recovery (include notifications).</t>
        </is>
      </c>
      <c r="E362" s="585" t="inlineStr">
        <is>
          <t>Estimate - 90 days to remediate
Policies and SSP available; attach configs/logs/records as noted</t>
        </is>
      </c>
      <c r="F362" s="574" t="n"/>
      <c r="G362" s="40" t="n"/>
      <c r="H362" s="40" t="n"/>
      <c r="I362" s="40" t="n"/>
      <c r="J362" s="40" t="n"/>
    </row>
    <row r="363" ht="27.95" customHeight="1" s="566">
      <c r="A363" s="583">
        <f t="array" ref="A363">IF('SSP - DoD SPRS &amp; FAR and Above'!M197&lt;&gt;"Fully Addressed",'SSP - DoD SPRS &amp; FAR and Above'!E197&amp;" - "&amp;IF('SSP - DoD SPRS &amp; FAR and Above'!I197&lt;&gt;"",'SSP - DoD SPRS &amp; FAR and Above'!I197,'SSP - DoD SPRS &amp; FAR and Above'!J197))</f>
        <v/>
      </c>
      <c r="B363" s="567" t="inlineStr">
        <is>
          <t>ISO/CISO</t>
        </is>
      </c>
      <c r="C363" s="568" t="inlineStr">
        <is>
          <t>Funded</t>
        </is>
      </c>
      <c r="D363" s="567" t="inlineStr">
        <is>
          <t>Upload IR Plan test (tabletop AAR) and 1–2 incident tickets showing detection→analysis→containment→recovery (include notifications).</t>
        </is>
      </c>
      <c r="E363" s="585" t="inlineStr">
        <is>
          <t>Estimate - 90 days to remediate
Policies and SSP available; attach configs/logs/records as noted</t>
        </is>
      </c>
      <c r="F363" s="574" t="n"/>
      <c r="G363" s="40" t="n"/>
      <c r="H363" s="40" t="n"/>
      <c r="I363" s="40" t="n"/>
      <c r="J363" s="40" t="n"/>
    </row>
    <row r="364" ht="27.95" customHeight="1" s="566">
      <c r="A364" s="583">
        <f t="array" ref="A364">IF('SSP - DoD SPRS &amp; FAR and Above'!M198&lt;&gt;"Fully Addressed",'SSP - DoD SPRS &amp; FAR and Above'!E198&amp;" - "&amp;IF('SSP - DoD SPRS &amp; FAR and Above'!I198&lt;&gt;"",'SSP - DoD SPRS &amp; FAR and Above'!I198,'SSP - DoD SPRS &amp; FAR and Above'!J198))</f>
        <v/>
      </c>
      <c r="B364" s="567" t="inlineStr">
        <is>
          <t>ISO/CISO</t>
        </is>
      </c>
      <c r="C364" s="568" t="inlineStr">
        <is>
          <t>Funded</t>
        </is>
      </c>
      <c r="D364" s="567" t="inlineStr">
        <is>
          <t>Upload IR Plan test (tabletop AAR) and 1–2 incident tickets showing detection→analysis→containment→recovery (include notifications).</t>
        </is>
      </c>
      <c r="E364" s="585" t="inlineStr">
        <is>
          <t>Estimate - 90 days to remediate
Policies and SSP available; attach configs/logs/records as noted</t>
        </is>
      </c>
      <c r="F364" s="574" t="n"/>
      <c r="G364" s="40" t="n"/>
      <c r="H364" s="40" t="n"/>
      <c r="I364" s="40" t="n"/>
      <c r="J364" s="40" t="n"/>
    </row>
    <row r="365" ht="27.95" customHeight="1" s="566">
      <c r="A365" s="583">
        <f t="array" ref="A365">IF('SSP - DoD SPRS &amp; FAR and Above'!M199&lt;&gt;"Fully Addressed",'SSP - DoD SPRS &amp; FAR and Above'!E199&amp;" - "&amp;IF('SSP - DoD SPRS &amp; FAR and Above'!I199&lt;&gt;"",'SSP - DoD SPRS &amp; FAR and Above'!I199,'SSP - DoD SPRS &amp; FAR and Above'!J199))</f>
        <v/>
      </c>
      <c r="B365" s="567" t="inlineStr">
        <is>
          <t>ISO/CISO</t>
        </is>
      </c>
      <c r="C365" s="568" t="inlineStr">
        <is>
          <t>Funded</t>
        </is>
      </c>
      <c r="D365" s="567" t="inlineStr">
        <is>
          <t>Upload IR Plan test (tabletop AAR) and 1–2 incident tickets showing detection→analysis→containment→recovery (include notifications).</t>
        </is>
      </c>
      <c r="E365" s="585" t="inlineStr">
        <is>
          <t>Estimate - 90 days to remediate
Policies and SSP available; attach configs/logs/records as noted</t>
        </is>
      </c>
      <c r="F365" s="574" t="n"/>
      <c r="G365" s="40" t="n"/>
      <c r="H365" s="40" t="n"/>
      <c r="I365" s="40" t="n"/>
      <c r="J365" s="40" t="n"/>
    </row>
    <row r="366" ht="27.95" customHeight="1" s="566">
      <c r="A366" s="583">
        <f t="array" ref="A366">IF('SSP - DoD SPRS &amp; FAR and Above'!M200&lt;&gt;"Fully Addressed",'SSP - DoD SPRS &amp; FAR and Above'!E200&amp;" - "&amp;IF('SSP - DoD SPRS &amp; FAR and Above'!I200&lt;&gt;"",'SSP - DoD SPRS &amp; FAR and Above'!I200,'SSP - DoD SPRS &amp; FAR and Above'!J200))</f>
        <v/>
      </c>
      <c r="B366" s="567" t="inlineStr">
        <is>
          <t>ISO/CISO</t>
        </is>
      </c>
      <c r="C366" s="568" t="inlineStr">
        <is>
          <t>Funded</t>
        </is>
      </c>
      <c r="D366" s="567" t="inlineStr">
        <is>
          <t>Upload IR Plan test (tabletop AAR) and 1–2 incident tickets showing detection→analysis→containment→recovery (include notifications).</t>
        </is>
      </c>
      <c r="E366" s="585" t="inlineStr">
        <is>
          <t>Estimate - 90 days to remediate
Policies and SSP available; attach configs/logs/records as noted</t>
        </is>
      </c>
      <c r="F366" s="574" t="n"/>
      <c r="G366" s="40" t="n"/>
      <c r="H366" s="40" t="n"/>
      <c r="I366" s="40" t="n"/>
      <c r="J366" s="40" t="n"/>
    </row>
    <row r="367" ht="27.95" customHeight="1" s="566">
      <c r="A367" s="583">
        <f t="array" ref="A367">IF('SSP - DoD SPRS &amp; FAR and Above'!M201&lt;&gt;"Fully Addressed",'SSP - DoD SPRS &amp; FAR and Above'!E201&amp;" - "&amp;IF('SSP - DoD SPRS &amp; FAR and Above'!I201&lt;&gt;"",'SSP - DoD SPRS &amp; FAR and Above'!I201,'SSP - DoD SPRS &amp; FAR and Above'!J201))</f>
        <v/>
      </c>
      <c r="B367" s="567" t="inlineStr">
        <is>
          <t>ISO/CISO</t>
        </is>
      </c>
      <c r="C367" s="568" t="inlineStr">
        <is>
          <t>Funded</t>
        </is>
      </c>
      <c r="D367" s="567" t="inlineStr">
        <is>
          <t>Upload IR Plan test (tabletop AAR) and 1–2 incident tickets showing detection→analysis→containment→recovery (include notifications).</t>
        </is>
      </c>
      <c r="E367" s="585" t="inlineStr">
        <is>
          <t>Estimate - 90 days to remediate
Policies and SSP available; attach configs/logs/records as noted</t>
        </is>
      </c>
      <c r="F367" s="574" t="n"/>
      <c r="G367" s="40" t="n"/>
      <c r="H367" s="40" t="n"/>
      <c r="I367" s="40" t="n"/>
      <c r="J367" s="40" t="n"/>
    </row>
    <row r="368" ht="27.95" customHeight="1" s="566">
      <c r="A368" s="583">
        <f t="array" ref="A368">IF('SSP - DoD SPRS &amp; FAR and Above'!M202&lt;&gt;"Fully Addressed",'SSP - DoD SPRS &amp; FAR and Above'!E202&amp;" - "&amp;IF('SSP - DoD SPRS &amp; FAR and Above'!I202&lt;&gt;"",'SSP - DoD SPRS &amp; FAR and Above'!I202,'SSP - DoD SPRS &amp; FAR and Above'!J202))</f>
        <v/>
      </c>
      <c r="B368" s="567" t="inlineStr">
        <is>
          <t>ISO/CISO</t>
        </is>
      </c>
      <c r="C368" s="568" t="inlineStr">
        <is>
          <t>Funded</t>
        </is>
      </c>
      <c r="D368" s="567" t="inlineStr">
        <is>
          <t>Upload IR Plan test (tabletop AAR) and 1–2 incident tickets showing detection→analysis→containment→recovery (include notifications).</t>
        </is>
      </c>
      <c r="E368" s="585" t="inlineStr">
        <is>
          <t>Estimate - 90 days to remediate
Policies and SSP available; attach configs/logs/records as noted</t>
        </is>
      </c>
      <c r="F368" s="574" t="n"/>
      <c r="G368" s="40" t="n"/>
      <c r="H368" s="40" t="n"/>
      <c r="I368" s="40" t="n"/>
      <c r="J368" s="40" t="n"/>
    </row>
    <row r="369" ht="27.95" customHeight="1" s="566">
      <c r="A369" s="583">
        <f t="array" ref="A369">IF('SSP - DoD SPRS &amp; FAR and Above'!M203&lt;&gt;"Fully Addressed",'SSP - DoD SPRS &amp; FAR and Above'!E203&amp;" - "&amp;IF('SSP - DoD SPRS &amp; FAR and Above'!I203&lt;&gt;"",'SSP - DoD SPRS &amp; FAR and Above'!I203,'SSP - DoD SPRS &amp; FAR and Above'!J203))</f>
        <v/>
      </c>
      <c r="B369" s="567" t="inlineStr">
        <is>
          <t>ISO/CISO</t>
        </is>
      </c>
      <c r="C369" s="568" t="inlineStr">
        <is>
          <t>Funded</t>
        </is>
      </c>
      <c r="D369" s="567" t="inlineStr">
        <is>
          <t>Upload IR Plan test (tabletop AAR) and 1–2 incident tickets showing detection→analysis→containment→recovery (include notifications).</t>
        </is>
      </c>
      <c r="E369" s="585" t="inlineStr">
        <is>
          <t>Estimate - 90 days to remediate
Policies and SSP available; attach configs/logs/records as noted</t>
        </is>
      </c>
      <c r="F369" s="574" t="n"/>
      <c r="G369" s="40" t="n"/>
      <c r="H369" s="40" t="n"/>
      <c r="I369" s="40" t="n"/>
      <c r="J369" s="40" t="n"/>
    </row>
    <row r="370" ht="27.95" customHeight="1" s="566">
      <c r="A370" s="583">
        <f t="array" ref="A370">IF('SSP - DoD SPRS &amp; FAR and Above'!M204&lt;&gt;"Fully Addressed",'SSP - DoD SPRS &amp; FAR and Above'!E204&amp;" - "&amp;IF('SSP - DoD SPRS &amp; FAR and Above'!I204&lt;&gt;"",'SSP - DoD SPRS &amp; FAR and Above'!I204,'SSP - DoD SPRS &amp; FAR and Above'!J204))</f>
        <v/>
      </c>
      <c r="B370" s="567" t="inlineStr">
        <is>
          <t>ISO/CISO</t>
        </is>
      </c>
      <c r="C370" s="568" t="inlineStr">
        <is>
          <t>Funded</t>
        </is>
      </c>
      <c r="D370" s="567" t="inlineStr">
        <is>
          <t>Upload IR Plan test (tabletop AAR) and 1–2 incident tickets showing detection→analysis→containment→recovery (include notifications).</t>
        </is>
      </c>
      <c r="E370" s="585" t="inlineStr">
        <is>
          <t>Estimate - 90 days to remediate
Policies and SSP available; attach configs/logs/records as noted</t>
        </is>
      </c>
      <c r="F370" s="574" t="n"/>
      <c r="G370" s="40" t="n"/>
      <c r="H370" s="40" t="n"/>
      <c r="I370" s="40" t="n"/>
      <c r="J370" s="40" t="n"/>
    </row>
    <row r="371" ht="27.95" customHeight="1" s="566">
      <c r="A371" s="583">
        <f t="array" ref="A371">IF('SSP - DoD SPRS &amp; FAR and Above'!M205&lt;&gt;"Fully Addressed",'SSP - DoD SPRS &amp; FAR and Above'!E205&amp;" - "&amp;IF('SSP - DoD SPRS &amp; FAR and Above'!I205&lt;&gt;"",'SSP - DoD SPRS &amp; FAR and Above'!I205,'SSP - DoD SPRS &amp; FAR and Above'!J205))</f>
        <v/>
      </c>
      <c r="B371" s="567" t="inlineStr">
        <is>
          <t>ISO/CISO</t>
        </is>
      </c>
      <c r="C371" s="568" t="inlineStr">
        <is>
          <t>Funded</t>
        </is>
      </c>
      <c r="D371" s="567" t="inlineStr">
        <is>
          <t>Upload IR Plan test (tabletop AAR) and 1–2 incident tickets showing detection→analysis→containment→recovery (include notifications).</t>
        </is>
      </c>
      <c r="E371" s="585" t="inlineStr">
        <is>
          <t>Estimate - 90 days to remediate
Policies and SSP available; attach configs/logs/records as noted</t>
        </is>
      </c>
      <c r="F371" s="574" t="n"/>
      <c r="G371" s="40" t="n"/>
      <c r="H371" s="40" t="n"/>
      <c r="I371" s="40" t="n"/>
      <c r="J371" s="40" t="n"/>
    </row>
    <row r="372" ht="27.95" customHeight="1" s="566">
      <c r="A372" s="583">
        <f t="array" ref="A372">IF('SSP - DoD SPRS &amp; FAR and Above'!M206&lt;&gt;"Fully Addressed",'SSP - DoD SPRS &amp; FAR and Above'!E206&amp;" - "&amp;IF('SSP - DoD SPRS &amp; FAR and Above'!I206&lt;&gt;"",'SSP - DoD SPRS &amp; FAR and Above'!I206,'SSP - DoD SPRS &amp; FAR and Above'!J206))</f>
        <v/>
      </c>
      <c r="B372" s="567" t="inlineStr">
        <is>
          <t>ISO/CISO</t>
        </is>
      </c>
      <c r="C372" s="568" t="inlineStr">
        <is>
          <t>Funded</t>
        </is>
      </c>
      <c r="D372" s="567" t="inlineStr">
        <is>
          <t>Upload IR Plan test (tabletop AAR) and 1–2 incident tickets showing detection→analysis→containment→recovery (include notifications).</t>
        </is>
      </c>
      <c r="E372" s="585" t="inlineStr">
        <is>
          <t>Estimate - 90 days to remediate
Policies and SSP available; attach configs/logs/records as noted</t>
        </is>
      </c>
      <c r="F372" s="574" t="n"/>
      <c r="G372" s="40" t="n"/>
      <c r="H372" s="40" t="n"/>
      <c r="I372" s="40" t="n"/>
      <c r="J372" s="40" t="n"/>
    </row>
    <row r="373" ht="27.95" customHeight="1" s="566">
      <c r="A373" s="583">
        <f t="array" ref="A373">IF('SSP - DoD SPRS &amp; FAR and Above'!M207&lt;&gt;"Fully Addressed",'SSP - DoD SPRS &amp; FAR and Above'!E207&amp;" - "&amp;IF('SSP - DoD SPRS &amp; FAR and Above'!I207&lt;&gt;"",'SSP - DoD SPRS &amp; FAR and Above'!I207,'SSP - DoD SPRS &amp; FAR and Above'!J207))</f>
        <v/>
      </c>
      <c r="B373" s="567" t="inlineStr">
        <is>
          <t>ISO/CISO</t>
        </is>
      </c>
      <c r="C373" s="568" t="inlineStr">
        <is>
          <t>Funded</t>
        </is>
      </c>
      <c r="D373" s="567" t="inlineStr">
        <is>
          <t>Upload IR Plan test (tabletop AAR) and 1–2 incident tickets showing detection→analysis→containment→recovery (include notifications).</t>
        </is>
      </c>
      <c r="E373" s="585" t="inlineStr">
        <is>
          <t>Estimate - 90 days to remediate
Policies and SSP available; attach configs/logs/records as noted</t>
        </is>
      </c>
      <c r="F373" s="574" t="n"/>
      <c r="G373" s="40" t="n"/>
      <c r="H373" s="40" t="n"/>
      <c r="I373" s="40" t="n"/>
      <c r="J373" s="40" t="n"/>
    </row>
    <row r="374" ht="27.95" customHeight="1" s="566">
      <c r="A374" s="583">
        <f t="array" ref="A374">IF('SSP - DoD SPRS &amp; FAR and Above'!M208&lt;&gt;"Fully Addressed",'SSP - DoD SPRS &amp; FAR and Above'!E208&amp;" - "&amp;IF('SSP - DoD SPRS &amp; FAR and Above'!I208&lt;&gt;"",'SSP - DoD SPRS &amp; FAR and Above'!I208,'SSP - DoD SPRS &amp; FAR and Above'!J208))</f>
        <v/>
      </c>
      <c r="B374" s="567" t="inlineStr">
        <is>
          <t>ISO/CISO</t>
        </is>
      </c>
      <c r="C374" s="568" t="inlineStr">
        <is>
          <t>Funded</t>
        </is>
      </c>
      <c r="D374" s="567" t="inlineStr">
        <is>
          <t>Upload IR Plan test (tabletop AAR) and 1–2 incident tickets showing detection→analysis→containment→recovery (include notifications).</t>
        </is>
      </c>
      <c r="E374" s="585" t="inlineStr">
        <is>
          <t>Estimate - 90 days to remediate
Policies and SSP available; attach configs/logs/records as noted</t>
        </is>
      </c>
      <c r="F374" s="574" t="n"/>
      <c r="G374" s="40" t="n"/>
      <c r="H374" s="40" t="n"/>
      <c r="I374" s="40" t="n"/>
      <c r="J374" s="40" t="n"/>
    </row>
    <row r="375" ht="42" customHeight="1" s="566">
      <c r="A375" s="583">
        <f t="array" ref="A375">IF('SSP - DoD SPRS &amp; FAR and Above'!M145&lt;&gt;"Fully Addressed",'SSP - DoD SPRS &amp; FAR and Above'!E145&amp;" - "&amp;IF('SSP - DoD SPRS &amp; FAR and Above'!I145&lt;&gt;"",'SSP - DoD SPRS &amp; FAR and Above'!I145,'SSP - DoD SPRS &amp; FAR and Above'!J145))</f>
        <v/>
      </c>
      <c r="B375" s="567" t="inlineStr">
        <is>
          <t>ISO/CISO</t>
        </is>
      </c>
      <c r="C375" s="568" t="inlineStr">
        <is>
          <t>Funded</t>
        </is>
      </c>
      <c r="D375" s="572" t="inlineStr">
        <is>
          <t>Provide maintenance tickets/logs (scheduled/emergency), tool-control list, antivirus scan logs for diagnostic media, and MFA evidence for nonlocal maintenance.</t>
        </is>
      </c>
      <c r="E375" s="585" t="inlineStr">
        <is>
          <t>Estimate - 30 days to remediate
Policies and SSP available; attach configs/logs/records as noted</t>
        </is>
      </c>
      <c r="F375" s="574" t="n"/>
      <c r="G375" s="40" t="n"/>
      <c r="H375" s="40" t="n"/>
      <c r="I375" s="40" t="n"/>
      <c r="J375" s="40" t="n"/>
    </row>
    <row r="376" ht="42" customHeight="1" s="566">
      <c r="A376" s="583">
        <f t="array" ref="A376">IF('SSP - DoD SPRS &amp; FAR and Above'!M146&lt;&gt;"Fully Addressed",'SSP - DoD SPRS &amp; FAR and Above'!E146&amp;" - "&amp;IF('SSP - DoD SPRS &amp; FAR and Above'!I146&lt;&gt;"",'SSP - DoD SPRS &amp; FAR and Above'!I146,'SSP - DoD SPRS &amp; FAR and Above'!J146))</f>
        <v/>
      </c>
      <c r="B376" s="567" t="inlineStr">
        <is>
          <t>ISO/CISO</t>
        </is>
      </c>
      <c r="C376" s="568" t="inlineStr">
        <is>
          <t>Funded</t>
        </is>
      </c>
      <c r="D376" s="572" t="inlineStr">
        <is>
          <t>Provide maintenance tickets/logs (scheduled/emergency), tool-control list, antivirus scan logs for diagnostic media, and MFA evidence for nonlocal maintenance.</t>
        </is>
      </c>
      <c r="E376" s="585" t="inlineStr">
        <is>
          <t>Estimate - 30 days to remediate
Policies and SSP available; attach configs/logs/records as noted</t>
        </is>
      </c>
      <c r="F376" s="574" t="n"/>
      <c r="G376" s="40" t="n"/>
      <c r="H376" s="40" t="n"/>
      <c r="I376" s="40" t="n"/>
      <c r="J376" s="40" t="n"/>
    </row>
    <row r="377" ht="42" customHeight="1" s="566">
      <c r="A377" s="583">
        <f t="array" ref="A377">IF('SSP - DoD SPRS &amp; FAR and Above'!M147&lt;&gt;"Fully Addressed",'SSP - DoD SPRS &amp; FAR and Above'!E147&amp;" - "&amp;IF('SSP - DoD SPRS &amp; FAR and Above'!I147&lt;&gt;"",'SSP - DoD SPRS &amp; FAR and Above'!I147,'SSP - DoD SPRS &amp; FAR and Above'!J147))</f>
        <v/>
      </c>
      <c r="B377" s="567" t="inlineStr">
        <is>
          <t>ISO/CISO</t>
        </is>
      </c>
      <c r="C377" s="568" t="inlineStr">
        <is>
          <t>Funded</t>
        </is>
      </c>
      <c r="D377" s="572" t="inlineStr">
        <is>
          <t>Provide maintenance tickets/logs (scheduled/emergency), tool-control list, antivirus scan logs for diagnostic media, and MFA evidence for nonlocal maintenance.</t>
        </is>
      </c>
      <c r="E377" s="585" t="inlineStr">
        <is>
          <t>Estimate - 30 days to remediate
Policies and SSP available; attach configs/logs/records as noted</t>
        </is>
      </c>
      <c r="F377" s="574" t="n"/>
      <c r="G377" s="40" t="n"/>
      <c r="H377" s="40" t="n"/>
      <c r="I377" s="40" t="n"/>
      <c r="J377" s="40" t="n"/>
    </row>
    <row r="378" ht="42" customHeight="1" s="566">
      <c r="A378" s="583">
        <f t="array" ref="A378">IF('SSP - DoD SPRS &amp; FAR and Above'!M148&lt;&gt;"Fully Addressed",'SSP - DoD SPRS &amp; FAR and Above'!E148&amp;" - "&amp;IF('SSP - DoD SPRS &amp; FAR and Above'!I148&lt;&gt;"",'SSP - DoD SPRS &amp; FAR and Above'!I148,'SSP - DoD SPRS &amp; FAR and Above'!J148))</f>
        <v/>
      </c>
      <c r="B378" s="567" t="inlineStr">
        <is>
          <t>ISO/CISO</t>
        </is>
      </c>
      <c r="C378" s="568" t="inlineStr">
        <is>
          <t>Funded</t>
        </is>
      </c>
      <c r="D378" s="572" t="inlineStr">
        <is>
          <t>Provide maintenance tickets/logs (scheduled/emergency), tool-control list, antivirus scan logs for diagnostic media, and MFA evidence for nonlocal maintenance.</t>
        </is>
      </c>
      <c r="E378" s="585" t="inlineStr">
        <is>
          <t>Estimate - 30 days to remediate
Policies and SSP available; attach configs/logs/records as noted</t>
        </is>
      </c>
      <c r="F378" s="574" t="n"/>
      <c r="G378" s="40" t="n"/>
      <c r="H378" s="40" t="n"/>
      <c r="I378" s="40" t="n"/>
      <c r="J378" s="40" t="n"/>
    </row>
    <row r="379" ht="42" customHeight="1" s="566">
      <c r="A379" s="583">
        <f t="array" ref="A379">IF('SSP - DoD SPRS &amp; FAR and Above'!M149&lt;&gt;"Fully Addressed",'SSP - DoD SPRS &amp; FAR and Above'!E149&amp;" - "&amp;IF('SSP - DoD SPRS &amp; FAR and Above'!I149&lt;&gt;"",'SSP - DoD SPRS &amp; FAR and Above'!I149,'SSP - DoD SPRS &amp; FAR and Above'!J149))</f>
        <v/>
      </c>
      <c r="B379" s="567" t="inlineStr">
        <is>
          <t>ISO/CISO</t>
        </is>
      </c>
      <c r="C379" s="568" t="inlineStr">
        <is>
          <t>Funded</t>
        </is>
      </c>
      <c r="D379" s="572" t="inlineStr">
        <is>
          <t>Provide maintenance tickets/logs (scheduled/emergency), tool-control list, antivirus scan logs for diagnostic media, and MFA evidence for nonlocal maintenance.</t>
        </is>
      </c>
      <c r="E379" s="585" t="inlineStr">
        <is>
          <t>Estimate - 30 days to remediate
Policies and SSP available; attach configs/logs/records as noted</t>
        </is>
      </c>
      <c r="F379" s="574" t="n"/>
      <c r="G379" s="40" t="n"/>
      <c r="H379" s="40" t="n"/>
      <c r="I379" s="40" t="n"/>
      <c r="J379" s="40" t="n"/>
    </row>
    <row r="380" ht="42" customHeight="1" s="566">
      <c r="A380" s="583">
        <f t="array" ref="A380">IF('SSP - DoD SPRS &amp; FAR and Above'!M150&lt;&gt;"Fully Addressed",'SSP - DoD SPRS &amp; FAR and Above'!E150&amp;" - "&amp;IF('SSP - DoD SPRS &amp; FAR and Above'!I150&lt;&gt;"",'SSP - DoD SPRS &amp; FAR and Above'!I150,'SSP - DoD SPRS &amp; FAR and Above'!J150))</f>
        <v/>
      </c>
      <c r="B380" s="567" t="inlineStr">
        <is>
          <t>ISO/CISO</t>
        </is>
      </c>
      <c r="C380" s="568" t="inlineStr">
        <is>
          <t>Funded</t>
        </is>
      </c>
      <c r="D380" s="572" t="inlineStr">
        <is>
          <t>Provide maintenance tickets/logs (scheduled/emergency), tool-control list, antivirus scan logs for diagnostic media, and MFA evidence for nonlocal maintenance.</t>
        </is>
      </c>
      <c r="E380" s="585" t="inlineStr">
        <is>
          <t>Estimate - 30 days to remediate
Policies and SSP available; attach configs/logs/records as noted</t>
        </is>
      </c>
      <c r="F380" s="574" t="n"/>
      <c r="G380" s="40" t="n"/>
      <c r="H380" s="40" t="n"/>
      <c r="I380" s="40" t="n"/>
      <c r="J380" s="40" t="n"/>
    </row>
    <row r="381" ht="42" customHeight="1" s="566">
      <c r="A381" s="583">
        <f t="array" ref="A381">IF('SSP - DoD SPRS &amp; FAR and Above'!M378&lt;&gt;"Fully Addressed",'SSP - DoD SPRS &amp; FAR and Above'!E378&amp;" - "&amp;IF('SSP - DoD SPRS &amp; FAR and Above'!I378&lt;&gt;"",'SSP - DoD SPRS &amp; FAR and Above'!I378,'SSP - DoD SPRS &amp; FAR and Above'!J378))</f>
        <v/>
      </c>
      <c r="B381" s="567" t="inlineStr">
        <is>
          <t>ISO/CISO</t>
        </is>
      </c>
      <c r="C381" s="568" t="inlineStr">
        <is>
          <t>Funded</t>
        </is>
      </c>
      <c r="D381" s="572" t="inlineStr">
        <is>
          <t>Provide maintenance tickets/logs (scheduled/emergency), tool-control list, antivirus scan logs for diagnostic media, and MFA evidence for nonlocal maintenance.</t>
        </is>
      </c>
      <c r="E381" s="585" t="inlineStr">
        <is>
          <t>Estimate - 30 days to remediate
Policies and SSP available; attach configs/logs/records as noted</t>
        </is>
      </c>
      <c r="F381" s="574" t="n"/>
      <c r="G381" s="40" t="n"/>
      <c r="H381" s="40" t="n"/>
      <c r="I381" s="40" t="n"/>
      <c r="J381" s="40" t="n"/>
    </row>
    <row r="382" ht="42" customHeight="1" s="566">
      <c r="A382" s="583">
        <f t="array" ref="A382">IF('SSP - DoD SPRS &amp; FAR and Above'!M313&lt;&gt;"Fully Addressed",'SSP - DoD SPRS &amp; FAR and Above'!E313&amp;" - "&amp;IF('SSP - DoD SPRS &amp; FAR and Above'!I313&lt;&gt;"",'SSP - DoD SPRS &amp; FAR and Above'!I313,'SSP - DoD SPRS &amp; FAR and Above'!J313))</f>
        <v/>
      </c>
      <c r="B382" s="567" t="inlineStr">
        <is>
          <t>ISO/CISO</t>
        </is>
      </c>
      <c r="C382" s="568" t="inlineStr">
        <is>
          <t>Funded</t>
        </is>
      </c>
      <c r="D382" s="572" t="inlineStr">
        <is>
          <t>Provide maintenance tickets/logs (scheduled/emergency), tool-control list, antivirus scan logs for diagnostic media, and MFA evidence for nonlocal maintenance.</t>
        </is>
      </c>
      <c r="E382" s="585" t="inlineStr">
        <is>
          <t>Estimate - 30 days to remediate
Policies and SSP available; attach configs/logs/records as noted</t>
        </is>
      </c>
      <c r="F382" s="574" t="n"/>
      <c r="G382" s="40" t="n"/>
      <c r="H382" s="40" t="n"/>
      <c r="I382" s="40" t="n"/>
      <c r="J382" s="40" t="n"/>
    </row>
    <row r="383" ht="42" customHeight="1" s="566">
      <c r="A383" s="583">
        <f t="array" ref="A383">IF('SSP - DoD SPRS &amp; FAR and Above'!M94&lt;&gt;"Fully Addressed",'SSP - DoD SPRS &amp; FAR and Above'!E94&amp;" - "&amp;IF('SSP - DoD SPRS &amp; FAR and Above'!I94&lt;&gt;"",'SSP - DoD SPRS &amp; FAR and Above'!I94,'SSP - DoD SPRS &amp; FAR and Above'!J94))</f>
        <v/>
      </c>
      <c r="B383" s="567" t="inlineStr">
        <is>
          <t>ISO/CISO</t>
        </is>
      </c>
      <c r="C383" s="568" t="inlineStr">
        <is>
          <t>Funded</t>
        </is>
      </c>
      <c r="D383" s="572" t="inlineStr">
        <is>
          <t>Provide maintenance tickets/logs (scheduled/emergency), tool-control list, antivirus scan logs for diagnostic media, and MFA evidence for nonlocal maintenance.</t>
        </is>
      </c>
      <c r="E383" s="585" t="inlineStr">
        <is>
          <t>Estimate - 30 days to remediate
Policies and SSP available; attach configs/logs/records as noted</t>
        </is>
      </c>
      <c r="F383" s="574" t="n"/>
      <c r="G383" s="40" t="n"/>
      <c r="H383" s="40" t="n"/>
      <c r="I383" s="40" t="n"/>
      <c r="J383" s="40" t="n"/>
    </row>
    <row r="384" ht="42" customHeight="1" s="566">
      <c r="A384" s="583">
        <f t="array" ref="A384">IF('SSP - DoD SPRS &amp; FAR and Above'!M95&lt;&gt;"Fully Addressed",'SSP - DoD SPRS &amp; FAR and Above'!E95&amp;" - "&amp;IF('SSP - DoD SPRS &amp; FAR and Above'!I95&lt;&gt;"",'SSP - DoD SPRS &amp; FAR and Above'!I95,'SSP - DoD SPRS &amp; FAR and Above'!J95))</f>
        <v/>
      </c>
      <c r="B384" s="567" t="inlineStr">
        <is>
          <t>ISO/CISO</t>
        </is>
      </c>
      <c r="C384" s="568" t="inlineStr">
        <is>
          <t>Funded</t>
        </is>
      </c>
      <c r="D384" s="572" t="inlineStr">
        <is>
          <t>Provide maintenance tickets/logs (scheduled/emergency), tool-control list, antivirus scan logs for diagnostic media, and MFA evidence for nonlocal maintenance.</t>
        </is>
      </c>
      <c r="E384" s="585" t="inlineStr">
        <is>
          <t>Estimate - 30 days to remediate
Policies and SSP available; attach configs/logs/records as noted</t>
        </is>
      </c>
      <c r="F384" s="574" t="n"/>
      <c r="G384" s="40" t="n"/>
      <c r="H384" s="40" t="n"/>
      <c r="I384" s="40" t="n"/>
      <c r="J384" s="40" t="n"/>
    </row>
    <row r="385" ht="42" customHeight="1" s="566">
      <c r="A385" s="583">
        <f t="array" ref="A385">IF('SSP - DoD SPRS &amp; FAR and Above'!M96&lt;&gt;"Fully Addressed",'SSP - DoD SPRS &amp; FAR and Above'!E96&amp;" - "&amp;IF('SSP - DoD SPRS &amp; FAR and Above'!I96&lt;&gt;"",'SSP - DoD SPRS &amp; FAR and Above'!I96,'SSP - DoD SPRS &amp; FAR and Above'!J96))</f>
        <v/>
      </c>
      <c r="B385" s="567" t="inlineStr">
        <is>
          <t>ISO/CISO</t>
        </is>
      </c>
      <c r="C385" s="568" t="inlineStr">
        <is>
          <t>Funded</t>
        </is>
      </c>
      <c r="D385" s="572" t="inlineStr">
        <is>
          <t>Provide maintenance tickets/logs (scheduled/emergency), tool-control list, antivirus scan logs for diagnostic media, and MFA evidence for nonlocal maintenance.</t>
        </is>
      </c>
      <c r="E385" s="585" t="inlineStr">
        <is>
          <t>Estimate - 30 days to remediate
Policies and SSP available; attach configs/logs/records as noted</t>
        </is>
      </c>
      <c r="F385" s="574" t="n"/>
      <c r="G385" s="40" t="n"/>
      <c r="H385" s="40" t="n"/>
      <c r="I385" s="40" t="n"/>
      <c r="J385" s="40" t="n"/>
    </row>
    <row r="386" ht="42" customHeight="1" s="566">
      <c r="A386" s="583">
        <f t="array" ref="A386">IF('SSP - DoD SPRS &amp; FAR and Above'!M151&lt;&gt;"Fully Addressed",'SSP - DoD SPRS &amp; FAR and Above'!E151&amp;" - "&amp;IF('SSP - DoD SPRS &amp; FAR and Above'!I151&lt;&gt;"",'SSP - DoD SPRS &amp; FAR and Above'!I151,'SSP - DoD SPRS &amp; FAR and Above'!J151))</f>
        <v/>
      </c>
      <c r="B386" s="567" t="inlineStr">
        <is>
          <t>ISO/CISO</t>
        </is>
      </c>
      <c r="C386" s="568" t="inlineStr">
        <is>
          <t>Funded</t>
        </is>
      </c>
      <c r="D386" s="572" t="inlineStr">
        <is>
          <t>Provide maintenance tickets/logs (scheduled/emergency), tool-control list, antivirus scan logs for diagnostic media, and MFA evidence for nonlocal maintenance.</t>
        </is>
      </c>
      <c r="E386" s="585" t="inlineStr">
        <is>
          <t>Estimate - 30 days to remediate
Policies and SSP available; attach configs/logs/records as noted</t>
        </is>
      </c>
      <c r="F386" s="574" t="n"/>
      <c r="G386" s="40" t="n"/>
      <c r="H386" s="40" t="n"/>
      <c r="I386" s="40" t="n"/>
      <c r="J386" s="40" t="n"/>
    </row>
    <row r="387" ht="42" customHeight="1" s="566">
      <c r="A387" s="583">
        <f t="array" ref="A387">IF('SSP - DoD SPRS &amp; FAR and Above'!M318&lt;&gt;"Fully Addressed",'SSP - DoD SPRS &amp; FAR and Above'!E318&amp;" - "&amp;IF('SSP - DoD SPRS &amp; FAR and Above'!I318&lt;&gt;"",'SSP - DoD SPRS &amp; FAR and Above'!I318,'SSP - DoD SPRS &amp; FAR and Above'!J318))</f>
        <v/>
      </c>
      <c r="B387" s="567" t="inlineStr">
        <is>
          <t>ISO/CISO</t>
        </is>
      </c>
      <c r="C387" s="568" t="inlineStr">
        <is>
          <t>Funded</t>
        </is>
      </c>
      <c r="D387" s="572" t="inlineStr">
        <is>
          <t>Produce completed, signed/witnessed sanitization certificates mapped to NIST 800-88 methods; attach Media Sanitization Procedure and any chain-of-custody logs.</t>
        </is>
      </c>
      <c r="E387" s="585" t="inlineStr">
        <is>
          <t>Estimate - 30 days to remediate
Policies and SSP available; attach configs/logs/records as noted</t>
        </is>
      </c>
      <c r="F387" s="574" t="n"/>
      <c r="G387" s="40" t="n"/>
      <c r="H387" s="40" t="n"/>
      <c r="I387" s="40" t="n"/>
      <c r="J387" s="40" t="n"/>
    </row>
    <row r="388" ht="42" customHeight="1" s="566">
      <c r="A388" s="583">
        <f t="array" ref="A388">IF('SSP - DoD SPRS &amp; FAR and Above'!M319&lt;&gt;"Fully Addressed",'SSP - DoD SPRS &amp; FAR and Above'!E319&amp;" - "&amp;IF('SSP - DoD SPRS &amp; FAR and Above'!I319&lt;&gt;"",'SSP - DoD SPRS &amp; FAR and Above'!I319,'SSP - DoD SPRS &amp; FAR and Above'!J319))</f>
        <v/>
      </c>
      <c r="B388" s="567" t="inlineStr">
        <is>
          <t>ISO/CISO</t>
        </is>
      </c>
      <c r="C388" s="568" t="inlineStr">
        <is>
          <t>Funded</t>
        </is>
      </c>
      <c r="D388" s="572" t="inlineStr">
        <is>
          <t>Produce completed, signed/witnessed sanitization certificates mapped to NIST 800-88 methods; attach Media Sanitization Procedure and any chain-of-custody logs.</t>
        </is>
      </c>
      <c r="E388" s="585" t="inlineStr">
        <is>
          <t>Estimate - 30 days to remediate
Policies and SSP available; attach configs/logs/records as noted</t>
        </is>
      </c>
      <c r="F388" s="574" t="n"/>
      <c r="G388" s="40" t="n"/>
      <c r="H388" s="40" t="n"/>
      <c r="I388" s="40" t="n"/>
      <c r="J388" s="40" t="n"/>
    </row>
    <row r="389" ht="42" customHeight="1" s="566">
      <c r="A389" s="583">
        <f t="array" ref="A389">IF('SSP - DoD SPRS &amp; FAR and Above'!M320&lt;&gt;"Fully Addressed",'SSP - DoD SPRS &amp; FAR and Above'!E320&amp;" - "&amp;IF('SSP - DoD SPRS &amp; FAR and Above'!I320&lt;&gt;"",'SSP - DoD SPRS &amp; FAR and Above'!I320,'SSP - DoD SPRS &amp; FAR and Above'!J320))</f>
        <v/>
      </c>
      <c r="B389" s="567" t="inlineStr">
        <is>
          <t>ISO/CISO</t>
        </is>
      </c>
      <c r="C389" s="568" t="inlineStr">
        <is>
          <t>Funded</t>
        </is>
      </c>
      <c r="D389" s="572" t="inlineStr">
        <is>
          <t>Produce completed, signed/witnessed sanitization certificates mapped to NIST 800-88 methods; attach Media Sanitization Procedure and any chain-of-custody logs.</t>
        </is>
      </c>
      <c r="E389" s="585" t="inlineStr">
        <is>
          <t>Estimate - 30 days to remediate
Policies and SSP available; attach configs/logs/records as noted</t>
        </is>
      </c>
      <c r="F389" s="574" t="n"/>
      <c r="G389" s="40" t="n"/>
      <c r="H389" s="40" t="n"/>
      <c r="I389" s="40" t="n"/>
      <c r="J389" s="40" t="n"/>
    </row>
    <row r="390" ht="42" customHeight="1" s="566">
      <c r="A390" s="583">
        <f t="array" ref="A390">IF('SSP - DoD SPRS &amp; FAR and Above'!M321&lt;&gt;"Fully Addressed",'SSP - DoD SPRS &amp; FAR and Above'!E321&amp;" - "&amp;IF('SSP - DoD SPRS &amp; FAR and Above'!I321&lt;&gt;"",'SSP - DoD SPRS &amp; FAR and Above'!I321,'SSP - DoD SPRS &amp; FAR and Above'!J321))</f>
        <v/>
      </c>
      <c r="B390" s="567" t="inlineStr">
        <is>
          <t>ISO/CISO</t>
        </is>
      </c>
      <c r="C390" s="568" t="inlineStr">
        <is>
          <t>Funded</t>
        </is>
      </c>
      <c r="D390" s="572" t="inlineStr">
        <is>
          <t>Produce completed, signed/witnessed sanitization certificates mapped to NIST 800-88 methods; attach Media Sanitization Procedure and any chain-of-custody logs.</t>
        </is>
      </c>
      <c r="E390" s="585" t="inlineStr">
        <is>
          <t>Estimate - 30 days to remediate
Policies and SSP available; attach configs/logs/records as noted</t>
        </is>
      </c>
      <c r="F390" s="574" t="n"/>
      <c r="G390" s="40" t="n"/>
      <c r="H390" s="40" t="n"/>
      <c r="I390" s="40" t="n"/>
      <c r="J390" s="40" t="n"/>
    </row>
    <row r="391" ht="42" customHeight="1" s="566">
      <c r="A391" s="583">
        <f t="array" ref="A391">IF('SSP - DoD SPRS &amp; FAR and Above'!M322&lt;&gt;"Fully Addressed",'SSP - DoD SPRS &amp; FAR and Above'!E322&amp;" - "&amp;IF('SSP - DoD SPRS &amp; FAR and Above'!I322&lt;&gt;"",'SSP - DoD SPRS &amp; FAR and Above'!I322,'SSP - DoD SPRS &amp; FAR and Above'!J322))</f>
        <v/>
      </c>
      <c r="B391" s="567" t="inlineStr">
        <is>
          <t>ISO/CISO</t>
        </is>
      </c>
      <c r="C391" s="568" t="inlineStr">
        <is>
          <t>Funded</t>
        </is>
      </c>
      <c r="D391" s="572" t="inlineStr">
        <is>
          <t>Produce completed, signed/witnessed sanitization certificates mapped to NIST 800-88 methods; attach Media Sanitization Procedure and any chain-of-custody logs.</t>
        </is>
      </c>
      <c r="E391" s="585" t="inlineStr">
        <is>
          <t>Estimate - 30 days to remediate
Policies and SSP available; attach configs/logs/records as noted</t>
        </is>
      </c>
      <c r="F391" s="574" t="n"/>
      <c r="G391" s="40" t="n"/>
      <c r="H391" s="40" t="n"/>
      <c r="I391" s="40" t="n"/>
      <c r="J391" s="40" t="n"/>
    </row>
    <row r="392" ht="42" customHeight="1" s="566">
      <c r="A392" s="583">
        <f t="array" ref="A392">IF('SSP - DoD SPRS &amp; FAR and Above'!M314&lt;&gt;"Fully Addressed",'SSP - DoD SPRS &amp; FAR and Above'!E314&amp;" - "&amp;IF('SSP - DoD SPRS &amp; FAR and Above'!I314&lt;&gt;"",'SSP - DoD SPRS &amp; FAR and Above'!I314,'SSP - DoD SPRS &amp; FAR and Above'!J314))</f>
        <v/>
      </c>
      <c r="B392" s="567" t="inlineStr">
        <is>
          <t>ISO/CISO</t>
        </is>
      </c>
      <c r="C392" s="568" t="inlineStr">
        <is>
          <t>Funded</t>
        </is>
      </c>
      <c r="D392" s="572" t="inlineStr">
        <is>
          <t>Produce completed, signed/witnessed sanitization certificates mapped to NIST 800-88 methods; attach Media Sanitization Procedure and any chain-of-custody logs.</t>
        </is>
      </c>
      <c r="E392" s="585" t="inlineStr">
        <is>
          <t>Estimate - 30 days to remediate
Policies and SSP available; attach configs/logs/records as noted</t>
        </is>
      </c>
      <c r="F392" s="574" t="n"/>
      <c r="G392" s="40" t="n"/>
      <c r="H392" s="40" t="n"/>
      <c r="I392" s="40" t="n"/>
      <c r="J392" s="40" t="n"/>
    </row>
    <row r="393" ht="42" customHeight="1" s="566">
      <c r="A393" s="583">
        <f t="array" ref="A393">IF('SSP - DoD SPRS &amp; FAR and Above'!M28&lt;&gt;"Fully Addressed",'SSP - DoD SPRS &amp; FAR and Above'!E28&amp;" - "&amp;IF('SSP - DoD SPRS &amp; FAR and Above'!I28&lt;&gt;"",'SSP - DoD SPRS &amp; FAR and Above'!I28,'SSP - DoD SPRS &amp; FAR and Above'!J28))</f>
        <v/>
      </c>
      <c r="B393" s="567" t="inlineStr">
        <is>
          <t>ISO/CISO</t>
        </is>
      </c>
      <c r="C393" s="568" t="inlineStr">
        <is>
          <t>Funded</t>
        </is>
      </c>
      <c r="D393" s="572" t="inlineStr">
        <is>
          <t>Produce completed, signed/witnessed sanitization certificates mapped to NIST 800-88 methods; attach Media Sanitization Procedure and any chain-of-custody logs.</t>
        </is>
      </c>
      <c r="E393" s="585" t="inlineStr">
        <is>
          <t>Estimate - 30 days to remediate
Policies and SSP available; attach configs/logs/records as noted</t>
        </is>
      </c>
      <c r="F393" s="574" t="n"/>
      <c r="G393" s="40" t="n"/>
      <c r="H393" s="40" t="n"/>
      <c r="I393" s="40" t="n"/>
      <c r="J393" s="40" t="n"/>
    </row>
    <row r="394" ht="42" customHeight="1" s="566">
      <c r="A394" s="583">
        <f t="array" ref="A394">IF('SSP - DoD SPRS &amp; FAR and Above'!M29&lt;&gt;"Fully Addressed",'SSP - DoD SPRS &amp; FAR and Above'!E29&amp;" - "&amp;IF('SSP - DoD SPRS &amp; FAR and Above'!I29&lt;&gt;"",'SSP - DoD SPRS &amp; FAR and Above'!I29,'SSP - DoD SPRS &amp; FAR and Above'!J29))</f>
        <v/>
      </c>
      <c r="B394" s="567" t="inlineStr">
        <is>
          <t>ISO/CISO</t>
        </is>
      </c>
      <c r="C394" s="568" t="inlineStr">
        <is>
          <t>Funded</t>
        </is>
      </c>
      <c r="D394" s="572" t="inlineStr">
        <is>
          <t>Produce completed, signed/witnessed sanitization certificates mapped to NIST 800-88 methods; attach Media Sanitization Procedure and any chain-of-custody logs.</t>
        </is>
      </c>
      <c r="E394" s="585" t="inlineStr">
        <is>
          <t>Estimate - 30 days to remediate
Policies and SSP available; attach configs/logs/records as noted</t>
        </is>
      </c>
      <c r="F394" s="574" t="n"/>
      <c r="G394" s="40" t="n"/>
      <c r="H394" s="40" t="n"/>
      <c r="I394" s="40" t="n"/>
      <c r="J394" s="40" t="n"/>
    </row>
    <row r="395" ht="42" customHeight="1" s="566">
      <c r="A395" s="583">
        <f t="array" ref="A395">IF('SSP - DoD SPRS &amp; FAR and Above'!M30&lt;&gt;"Fully Addressed",'SSP - DoD SPRS &amp; FAR and Above'!E30&amp;" - "&amp;IF('SSP - DoD SPRS &amp; FAR and Above'!I30&lt;&gt;"",'SSP - DoD SPRS &amp; FAR and Above'!I30,'SSP - DoD SPRS &amp; FAR and Above'!J30))</f>
        <v/>
      </c>
      <c r="B395" s="567" t="inlineStr">
        <is>
          <t>ISO/CISO</t>
        </is>
      </c>
      <c r="C395" s="568" t="inlineStr">
        <is>
          <t>Funded</t>
        </is>
      </c>
      <c r="D395" s="572" t="inlineStr">
        <is>
          <t>Produce completed, signed/witnessed sanitization certificates mapped to NIST 800-88 methods; attach Media Sanitization Procedure and any chain-of-custody logs.</t>
        </is>
      </c>
      <c r="E395" s="585" t="inlineStr">
        <is>
          <t>Estimate - 30 days to remediate
Policies and SSP available; attach configs/logs/records as noted</t>
        </is>
      </c>
      <c r="F395" s="574" t="n"/>
      <c r="G395" s="40" t="n"/>
      <c r="H395" s="40" t="n"/>
      <c r="I395" s="40" t="n"/>
      <c r="J395" s="40" t="n"/>
    </row>
    <row r="396" ht="42" customHeight="1" s="566">
      <c r="A396" s="583">
        <f t="array" ref="A396">IF('SSP - DoD SPRS &amp; FAR and Above'!M351&lt;&gt;"Fully Addressed",'SSP - DoD SPRS &amp; FAR and Above'!E351&amp;" - "&amp;IF('SSP - DoD SPRS &amp; FAR and Above'!I351&lt;&gt;"",'SSP - DoD SPRS &amp; FAR and Above'!I351,'SSP - DoD SPRS &amp; FAR and Above'!J351))</f>
        <v/>
      </c>
      <c r="B396" s="567" t="inlineStr">
        <is>
          <t>ISO/CISO</t>
        </is>
      </c>
      <c r="C396" s="568" t="inlineStr">
        <is>
          <t>Funded</t>
        </is>
      </c>
      <c r="D396" s="572" t="inlineStr">
        <is>
          <t>Produce completed, signed/witnessed sanitization certificates mapped to NIST 800-88 methods; attach Media Sanitization Procedure and any chain-of-custody logs.</t>
        </is>
      </c>
      <c r="E396" s="585" t="inlineStr">
        <is>
          <t>Estimate - 30 days to remediate
Policies and SSP available; attach configs/logs/records as noted</t>
        </is>
      </c>
      <c r="F396" s="574" t="n"/>
      <c r="G396" s="40" t="n"/>
      <c r="H396" s="40" t="n"/>
      <c r="I396" s="40" t="n"/>
      <c r="J396" s="40" t="n"/>
    </row>
    <row r="397" ht="42" customHeight="1" s="566">
      <c r="A397" s="583">
        <f t="array" ref="A397">IF('SSP - DoD SPRS &amp; FAR and Above'!M352&lt;&gt;"Fully Addressed",'SSP - DoD SPRS &amp; FAR and Above'!E352&amp;" - "&amp;IF('SSP - DoD SPRS &amp; FAR and Above'!I352&lt;&gt;"",'SSP - DoD SPRS &amp; FAR and Above'!I352,'SSP - DoD SPRS &amp; FAR and Above'!J352))</f>
        <v/>
      </c>
      <c r="B397" s="567" t="inlineStr">
        <is>
          <t>ISO/CISO</t>
        </is>
      </c>
      <c r="C397" s="568" t="inlineStr">
        <is>
          <t>Funded</t>
        </is>
      </c>
      <c r="D397" s="572" t="inlineStr">
        <is>
          <t>Produce completed, signed/witnessed sanitization certificates mapped to NIST 800-88 methods; attach Media Sanitization Procedure and any chain-of-custody logs.</t>
        </is>
      </c>
      <c r="E397" s="585" t="inlineStr">
        <is>
          <t>Estimate - 30 days to remediate
Policies and SSP available; attach configs/logs/records as noted</t>
        </is>
      </c>
      <c r="F397" s="574" t="n"/>
      <c r="G397" s="40" t="n"/>
      <c r="H397" s="40" t="n"/>
      <c r="I397" s="40" t="n"/>
      <c r="J397" s="40" t="n"/>
    </row>
    <row r="398" ht="42" customHeight="1" s="566">
      <c r="A398" s="583">
        <f t="array" ref="A398">IF('SSP - DoD SPRS &amp; FAR and Above'!M353&lt;&gt;"Fully Addressed",'SSP - DoD SPRS &amp; FAR and Above'!E353&amp;" - "&amp;IF('SSP - DoD SPRS &amp; FAR and Above'!I353&lt;&gt;"",'SSP - DoD SPRS &amp; FAR and Above'!I353,'SSP - DoD SPRS &amp; FAR and Above'!J353))</f>
        <v/>
      </c>
      <c r="B398" s="567" t="inlineStr">
        <is>
          <t>ISO/CISO</t>
        </is>
      </c>
      <c r="C398" s="568" t="inlineStr">
        <is>
          <t>Funded</t>
        </is>
      </c>
      <c r="D398" s="572" t="inlineStr">
        <is>
          <t>Produce completed, signed/witnessed sanitization certificates mapped to NIST 800-88 methods; attach Media Sanitization Procedure and any chain-of-custody logs.</t>
        </is>
      </c>
      <c r="E398" s="585" t="inlineStr">
        <is>
          <t>Estimate - 30 days to remediate
Policies and SSP available; attach configs/logs/records as noted</t>
        </is>
      </c>
      <c r="F398" s="574" t="n"/>
      <c r="G398" s="40" t="n"/>
      <c r="H398" s="40" t="n"/>
      <c r="I398" s="40" t="n"/>
      <c r="J398" s="40" t="n"/>
    </row>
    <row r="399" ht="42" customHeight="1" s="566">
      <c r="A399" s="583">
        <f t="array" ref="A399">IF('SSP - DoD SPRS &amp; FAR and Above'!M365&lt;&gt;"Fully Addressed",'SSP - DoD SPRS &amp; FAR and Above'!E365&amp;" - "&amp;IF('SSP - DoD SPRS &amp; FAR and Above'!I365&lt;&gt;"",'SSP - DoD SPRS &amp; FAR and Above'!I365,'SSP - DoD SPRS &amp; FAR and Above'!J365))</f>
        <v/>
      </c>
      <c r="B399" s="567" t="inlineStr">
        <is>
          <t>ISO/CISO</t>
        </is>
      </c>
      <c r="C399" s="568" t="inlineStr">
        <is>
          <t>Funded</t>
        </is>
      </c>
      <c r="D399" s="572" t="inlineStr">
        <is>
          <t>Produce completed, signed/witnessed sanitization certificates mapped to NIST 800-88 methods; attach Media Sanitization Procedure and any chain-of-custody logs.</t>
        </is>
      </c>
      <c r="E399" s="585" t="inlineStr">
        <is>
          <t>Estimate - 30 days to remediate
Policies and SSP available; attach configs/logs/records as noted</t>
        </is>
      </c>
      <c r="F399" s="574" t="n"/>
      <c r="G399" s="40" t="n"/>
      <c r="H399" s="40" t="n"/>
      <c r="I399" s="40" t="n"/>
      <c r="J399" s="40" t="n"/>
    </row>
    <row r="400" ht="42" customHeight="1" s="566">
      <c r="A400" s="583">
        <f t="array" ref="A400">IF('SSP - DoD SPRS &amp; FAR and Above'!M366&lt;&gt;"Fully Addressed",'SSP - DoD SPRS &amp; FAR and Above'!E366&amp;" - "&amp;IF('SSP - DoD SPRS &amp; FAR and Above'!I366&lt;&gt;"",'SSP - DoD SPRS &amp; FAR and Above'!I366,'SSP - DoD SPRS &amp; FAR and Above'!J366))</f>
        <v/>
      </c>
      <c r="B400" s="567" t="inlineStr">
        <is>
          <t>ISO/CISO</t>
        </is>
      </c>
      <c r="C400" s="568" t="inlineStr">
        <is>
          <t>Funded</t>
        </is>
      </c>
      <c r="D400" s="572" t="inlineStr">
        <is>
          <t>Produce completed, signed/witnessed sanitization certificates mapped to NIST 800-88 methods; attach Media Sanitization Procedure and any chain-of-custody logs.</t>
        </is>
      </c>
      <c r="E400" s="585" t="inlineStr">
        <is>
          <t>Estimate - 30 days to remediate
Policies and SSP available; attach configs/logs/records as noted</t>
        </is>
      </c>
      <c r="F400" s="574" t="n"/>
      <c r="G400" s="40" t="n"/>
      <c r="H400" s="40" t="n"/>
      <c r="I400" s="40" t="n"/>
      <c r="J400" s="40" t="n"/>
    </row>
    <row r="401" ht="42" customHeight="1" s="566">
      <c r="A401" s="583">
        <f t="array" ref="A401">IF('SSP - DoD SPRS &amp; FAR and Above'!M367&lt;&gt;"Fully Addressed",'SSP - DoD SPRS &amp; FAR and Above'!E367&amp;" - "&amp;IF('SSP - DoD SPRS &amp; FAR and Above'!I367&lt;&gt;"",'SSP - DoD SPRS &amp; FAR and Above'!I367,'SSP - DoD SPRS &amp; FAR and Above'!J367))</f>
        <v/>
      </c>
      <c r="B401" s="567" t="inlineStr">
        <is>
          <t>ISO/CISO</t>
        </is>
      </c>
      <c r="C401" s="568" t="inlineStr">
        <is>
          <t>Funded</t>
        </is>
      </c>
      <c r="D401" s="572" t="inlineStr">
        <is>
          <t>Produce completed, signed/witnessed sanitization certificates mapped to NIST 800-88 methods; attach Media Sanitization Procedure and any chain-of-custody logs.</t>
        </is>
      </c>
      <c r="E401" s="585" t="inlineStr">
        <is>
          <t>Estimate - 30 days to remediate
Policies and SSP available; attach configs/logs/records as noted</t>
        </is>
      </c>
      <c r="F401" s="574" t="n"/>
      <c r="G401" s="40" t="n"/>
      <c r="H401" s="40" t="n"/>
      <c r="I401" s="40" t="n"/>
      <c r="J401" s="40" t="n"/>
    </row>
    <row r="402" ht="27.95" customHeight="1" s="566">
      <c r="A402" s="583">
        <f t="array" ref="A402">IF('SSP - DoD SPRS &amp; FAR and Above'!M372&lt;&gt;"Fully Addressed",'SSP - DoD SPRS &amp; FAR and Above'!E372&amp;" - "&amp;IF('SSP - DoD SPRS &amp; FAR and Above'!I372&lt;&gt;"",'SSP - DoD SPRS &amp; FAR and Above'!I372,'SSP - DoD SPRS &amp; FAR and Above'!J372))</f>
        <v/>
      </c>
      <c r="B402" s="568" t="n"/>
      <c r="C402" s="568" t="n"/>
      <c r="D402" s="568" t="n"/>
      <c r="E402" s="584" t="n"/>
      <c r="F402" s="574" t="n"/>
      <c r="G402" s="40" t="n"/>
      <c r="H402" s="40" t="n"/>
      <c r="I402" s="40" t="n"/>
      <c r="J402" s="40" t="n"/>
    </row>
    <row r="403" ht="42" customHeight="1" s="566">
      <c r="A403" s="583">
        <f t="array" ref="A403">IF('SSP - DoD SPRS &amp; FAR and Above'!M311&lt;&gt;"Fully Addressed",'SSP - DoD SPRS &amp; FAR and Above'!E311&amp;" - "&amp;IF('SSP - DoD SPRS &amp; FAR and Above'!I311&lt;&gt;"",'SSP - DoD SPRS &amp; FAR and Above'!I311,'SSP - DoD SPRS &amp; FAR and Above'!J311))</f>
        <v/>
      </c>
      <c r="B403" s="567" t="inlineStr">
        <is>
          <t>ISO/CISO</t>
        </is>
      </c>
      <c r="C403" s="568" t="inlineStr">
        <is>
          <t>Funded</t>
        </is>
      </c>
      <c r="D403" s="572" t="inlineStr">
        <is>
          <t>Produce completed, signed/witnessed sanitization certificates mapped to NIST 800-88 methods; attach Media Sanitization Procedure and any chain-of-custody logs.</t>
        </is>
      </c>
      <c r="E403" s="585" t="inlineStr">
        <is>
          <t>Estimate - 30 days to remediate
Policies and SSP available; attach configs/logs/records as noted</t>
        </is>
      </c>
      <c r="F403" s="574" t="n"/>
      <c r="G403" s="40" t="n"/>
      <c r="H403" s="40" t="n"/>
      <c r="I403" s="40" t="n"/>
      <c r="J403" s="40" t="n"/>
    </row>
    <row r="404" ht="42" customHeight="1" s="566">
      <c r="A404" s="583">
        <f t="array" ref="A404">IF('SSP - DoD SPRS &amp; FAR and Above'!M312&lt;&gt;"Fully Addressed",'SSP - DoD SPRS &amp; FAR and Above'!E312&amp;" - "&amp;IF('SSP - DoD SPRS &amp; FAR and Above'!I312&lt;&gt;"",'SSP - DoD SPRS &amp; FAR and Above'!I312,'SSP - DoD SPRS &amp; FAR and Above'!J312))</f>
        <v/>
      </c>
      <c r="B404" s="567" t="inlineStr">
        <is>
          <t>ISO/CISO</t>
        </is>
      </c>
      <c r="C404" s="568" t="inlineStr">
        <is>
          <t>Funded</t>
        </is>
      </c>
      <c r="D404" s="572" t="inlineStr">
        <is>
          <t>Produce completed, signed/witnessed sanitization certificates mapped to NIST 800-88 methods; attach Media Sanitization Procedure and any chain-of-custody logs.</t>
        </is>
      </c>
      <c r="E404" s="585" t="inlineStr">
        <is>
          <t>Estimate - 30 days to remediate
Policies and SSP available; attach configs/logs/records as noted</t>
        </is>
      </c>
      <c r="F404" s="574" t="n"/>
      <c r="G404" s="40" t="n"/>
      <c r="H404" s="40" t="n"/>
      <c r="I404" s="40" t="n"/>
      <c r="J404" s="40" t="n"/>
    </row>
    <row r="405" ht="42" customHeight="1" s="566">
      <c r="A405" s="583">
        <f t="array" ref="A405">IF('SSP - DoD SPRS &amp; FAR and Above'!M358&lt;&gt;"Fully Addressed",'SSP - DoD SPRS &amp; FAR and Above'!E358&amp;" - "&amp;IF('SSP - DoD SPRS &amp; FAR and Above'!I358&lt;&gt;"",'SSP - DoD SPRS &amp; FAR and Above'!I358,'SSP - DoD SPRS &amp; FAR and Above'!J358))</f>
        <v/>
      </c>
      <c r="B405" s="567" t="inlineStr">
        <is>
          <t>ISO/CISO</t>
        </is>
      </c>
      <c r="C405" s="568" t="inlineStr">
        <is>
          <t>Funded</t>
        </is>
      </c>
      <c r="D405" s="572" t="inlineStr">
        <is>
          <t>Produce completed, signed/witnessed sanitization certificates mapped to NIST 800-88 methods; attach Media Sanitization Procedure and any chain-of-custody logs.</t>
        </is>
      </c>
      <c r="E405" s="585" t="inlineStr">
        <is>
          <t>Estimate - 30 days to remediate
Policies and SSP available; attach configs/logs/records as noted</t>
        </is>
      </c>
      <c r="F405" s="574" t="n"/>
      <c r="G405" s="40" t="n"/>
      <c r="H405" s="40" t="n"/>
      <c r="I405" s="40" t="n"/>
      <c r="J405" s="40" t="n"/>
    </row>
    <row r="406" ht="27.95" customHeight="1" s="566">
      <c r="A406" s="583">
        <f t="array" ref="A406">IF('SSP - DoD SPRS &amp; FAR and Above'!M373&lt;&gt;"Fully Addressed",'SSP - DoD SPRS &amp; FAR and Above'!E373&amp;" - "&amp;IF('SSP - DoD SPRS &amp; FAR and Above'!I373&lt;&gt;"",'SSP - DoD SPRS &amp; FAR and Above'!I373,'SSP - DoD SPRS &amp; FAR and Above'!J373))</f>
        <v/>
      </c>
      <c r="B406" s="567" t="inlineStr">
        <is>
          <t>ISO/CISO</t>
        </is>
      </c>
      <c r="C406" s="568" t="inlineStr">
        <is>
          <t>Funded</t>
        </is>
      </c>
      <c r="D406" s="572" t="inlineStr">
        <is>
          <t>Provide screening confirmations and off-boarding/transfer checklists with timestamped account disablement and asset return.</t>
        </is>
      </c>
      <c r="E406" s="585" t="inlineStr">
        <is>
          <t>Estimate - 30 days to remediate
Policies and SSP available; attach configs/logs/records as noted</t>
        </is>
      </c>
      <c r="F406" s="574" t="n"/>
      <c r="G406" s="40" t="n"/>
      <c r="H406" s="40" t="n"/>
      <c r="I406" s="40" t="n"/>
      <c r="J406" s="40" t="n"/>
    </row>
    <row r="407" ht="27.95" customHeight="1" s="566">
      <c r="A407" s="583">
        <f t="array" ref="A407">IF('SSP - DoD SPRS &amp; FAR and Above'!M374&lt;&gt;"Fully Addressed",'SSP - DoD SPRS &amp; FAR and Above'!E374&amp;" - "&amp;IF('SSP - DoD SPRS &amp; FAR and Above'!I374&lt;&gt;"",'SSP - DoD SPRS &amp; FAR and Above'!I374,'SSP - DoD SPRS &amp; FAR and Above'!J374))</f>
        <v/>
      </c>
      <c r="B407" s="567" t="inlineStr">
        <is>
          <t>ISO/CISO</t>
        </is>
      </c>
      <c r="C407" s="568" t="inlineStr">
        <is>
          <t>Funded</t>
        </is>
      </c>
      <c r="D407" s="572" t="inlineStr">
        <is>
          <t>Provide screening confirmations and off-boarding/transfer checklists with timestamped account disablement and asset return.</t>
        </is>
      </c>
      <c r="E407" s="585" t="inlineStr">
        <is>
          <t>Estimate - 30 days to remediate
Policies and SSP available; attach configs/logs/records as noted</t>
        </is>
      </c>
      <c r="F407" s="574" t="n"/>
      <c r="G407" s="40" t="n"/>
      <c r="H407" s="40" t="n"/>
      <c r="I407" s="40" t="n"/>
      <c r="J407" s="40" t="n"/>
    </row>
    <row r="408" ht="27.95" customHeight="1" s="566">
      <c r="A408" s="583">
        <f t="array" ref="A408">IF('SSP - DoD SPRS &amp; FAR and Above'!M375&lt;&gt;"Fully Addressed",'SSP - DoD SPRS &amp; FAR and Above'!E375&amp;" - "&amp;IF('SSP - DoD SPRS &amp; FAR and Above'!I375&lt;&gt;"",'SSP - DoD SPRS &amp; FAR and Above'!I375,'SSP - DoD SPRS &amp; FAR and Above'!J375))</f>
        <v/>
      </c>
      <c r="B408" s="567" t="inlineStr">
        <is>
          <t>ISO/CISO</t>
        </is>
      </c>
      <c r="C408" s="568" t="inlineStr">
        <is>
          <t>Funded</t>
        </is>
      </c>
      <c r="D408" s="572" t="inlineStr">
        <is>
          <t>Provide screening confirmations and off-boarding/transfer checklists with timestamped account disablement and asset return.</t>
        </is>
      </c>
      <c r="E408" s="585" t="inlineStr">
        <is>
          <t>Estimate - 30 days to remediate
Policies and SSP available; attach configs/logs/records as noted</t>
        </is>
      </c>
      <c r="F408" s="574" t="n"/>
      <c r="G408" s="40" t="n"/>
      <c r="H408" s="40" t="n"/>
      <c r="I408" s="40" t="n"/>
      <c r="J408" s="40" t="n"/>
    </row>
    <row r="409" ht="27.95" customHeight="1" s="566">
      <c r="A409" s="583">
        <f t="array" ref="A409">IF('SSP - DoD SPRS &amp; FAR and Above'!M376&lt;&gt;"Fully Addressed",'SSP - DoD SPRS &amp; FAR and Above'!E376&amp;" - "&amp;IF('SSP - DoD SPRS &amp; FAR and Above'!I376&lt;&gt;"",'SSP - DoD SPRS &amp; FAR and Above'!I376,'SSP - DoD SPRS &amp; FAR and Above'!J376))</f>
        <v/>
      </c>
      <c r="B409" s="567" t="inlineStr">
        <is>
          <t>ISO/CISO</t>
        </is>
      </c>
      <c r="C409" s="568" t="inlineStr">
        <is>
          <t>Funded</t>
        </is>
      </c>
      <c r="D409" s="572" t="inlineStr">
        <is>
          <t>Provide screening confirmations and off-boarding/transfer checklists with timestamped account disablement and asset return.</t>
        </is>
      </c>
      <c r="E409" s="585" t="inlineStr">
        <is>
          <t>Estimate - 30 days to remediate
Policies and SSP available; attach configs/logs/records as noted</t>
        </is>
      </c>
      <c r="F409" s="574" t="n"/>
      <c r="G409" s="40" t="n"/>
      <c r="H409" s="40" t="n"/>
      <c r="I409" s="40" t="n"/>
      <c r="J409" s="40" t="n"/>
    </row>
    <row r="410" ht="29.1" customHeight="1" s="566" thickBot="1">
      <c r="A410" s="586">
        <f t="array" ref="A410">IF('SSP - DoD SPRS &amp; FAR and Above'!M377&lt;&gt;"Fully Addressed",'SSP - DoD SPRS &amp; FAR and Above'!E377&amp;" - "&amp;IF('SSP - DoD SPRS &amp; FAR and Above'!I377&lt;&gt;"",'SSP - DoD SPRS &amp; FAR and Above'!I377,'SSP - DoD SPRS &amp; FAR and Above'!J377))</f>
        <v/>
      </c>
      <c r="B410" s="587" t="inlineStr">
        <is>
          <t>ISO/CISO</t>
        </is>
      </c>
      <c r="C410" s="588" t="inlineStr">
        <is>
          <t>Funded</t>
        </is>
      </c>
      <c r="D410" s="589" t="inlineStr">
        <is>
          <t>Provide screening confirmations and off-boarding/transfer checklists with timestamped account disablement and asset return.</t>
        </is>
      </c>
      <c r="E410" s="590" t="inlineStr">
        <is>
          <t>Estimate - 30 days to remediate
Policies and SSP available; attach configs/logs/records as noted</t>
        </is>
      </c>
      <c r="F410" s="574" t="n"/>
      <c r="G410" s="40" t="n"/>
      <c r="H410" s="40" t="n"/>
      <c r="I410" s="40" t="n"/>
      <c r="J410" s="40" t="n"/>
    </row>
  </sheetData>
  <autoFilter ref="A3:J3">
    <sortState ref="A4:J410">
      <sortCondition ref="A3:A410"/>
    </sortState>
  </autoFilter>
  <mergeCells count="1">
    <mergeCell ref="A2:E2"/>
  </mergeCells>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K52"/>
  <sheetViews>
    <sheetView showGridLines="0" workbookViewId="0">
      <selection activeCell="A1" sqref="A1"/>
    </sheetView>
  </sheetViews>
  <sheetFormatPr baseColWidth="8" defaultColWidth="9" defaultRowHeight="12.75" customHeight="1"/>
  <cols>
    <col width="24.83203125" customWidth="1" style="1" min="1" max="1"/>
    <col width="18.1640625" customWidth="1" style="1" min="2" max="2"/>
    <col width="26.33203125" customWidth="1" style="1" min="3" max="3"/>
    <col width="27.83203125" customWidth="1" style="1" min="4" max="4"/>
    <col width="22.83203125" customWidth="1" style="1" min="5" max="5"/>
    <col width="16.1640625" customWidth="1" style="1" min="6" max="6"/>
    <col width="17.1640625" customWidth="1" style="1" min="7" max="7"/>
    <col width="21.83203125" customWidth="1" style="1" min="8" max="9"/>
    <col width="25.33203125" customWidth="1" style="1" min="10" max="10"/>
    <col width="20.1640625" customWidth="1" style="1" min="11" max="11"/>
    <col width="9" customWidth="1" style="1" min="12" max="12"/>
    <col width="9" customWidth="1" style="1" min="13" max="16384"/>
  </cols>
  <sheetData>
    <row r="1" ht="49.5" customHeight="1" s="566">
      <c r="A1" s="230" t="inlineStr">
        <is>
          <t>Relevant Requirement(s)/Objective(s):</t>
        </is>
      </c>
      <c r="B1" s="231" t="inlineStr">
        <is>
          <t>3.1.5a, 3.1.15a, 3.1.15b, 3.5.3a</t>
        </is>
      </c>
      <c r="C1" s="716" t="inlineStr">
        <is>
          <t>Last Reviewed by:</t>
        </is>
      </c>
      <c r="D1" s="232" t="n"/>
      <c r="E1" s="716" t="inlineStr">
        <is>
          <t>Last Reviewed on:</t>
        </is>
      </c>
      <c r="F1" s="233" t="n"/>
      <c r="G1" s="234" t="n"/>
      <c r="H1" s="235" t="n"/>
      <c r="I1" s="235" t="n"/>
      <c r="J1" s="236" t="n"/>
      <c r="K1" s="236" t="n"/>
    </row>
    <row r="2" ht="90" customHeight="1" s="566">
      <c r="A2" s="237" t="inlineStr">
        <is>
          <t>Account Name</t>
        </is>
      </c>
      <c r="B2" s="238" t="inlineStr">
        <is>
          <t>Account Purpose</t>
        </is>
      </c>
      <c r="C2" s="238" t="inlineStr">
        <is>
          <t>List of Cloud Services and External Systems Account is Authorized to Access</t>
        </is>
      </c>
      <c r="D2" s="238" t="inlineStr">
        <is>
          <t>List of Systems/Subsystems/ Hardware Account is Authorized to Access</t>
        </is>
      </c>
      <c r="E2" s="238" t="inlineStr">
        <is>
          <t>List of Software Account is Authorized to Access</t>
        </is>
      </c>
      <c r="F2" s="238" t="inlineStr">
        <is>
          <t>Is Account Authorized to Access System Remotely? (Yes/No)</t>
        </is>
      </c>
      <c r="G2" s="238" t="inlineStr">
        <is>
          <t>Is Account Authorized to Access System Security Information Remotely? (Yes/No)</t>
        </is>
      </c>
      <c r="H2" s="238" t="inlineStr">
        <is>
          <t xml:space="preserve">List of Privileged Commands Account is Authorized to Remotely Execute </t>
        </is>
      </c>
      <c r="I2" s="238" t="inlineStr">
        <is>
          <t>List of Security Information Types Account is Authorized to Remotely Access</t>
        </is>
      </c>
      <c r="J2" s="238" t="inlineStr">
        <is>
          <t>List of User(s)/Role(s) of Which Account is Authorized to Act on Behalf</t>
        </is>
      </c>
      <c r="K2" s="239" t="inlineStr">
        <is>
          <t>Date Password Last Changed</t>
        </is>
      </c>
    </row>
    <row r="3" ht="14.1" customHeight="1" s="566">
      <c r="A3" s="240" t="n"/>
      <c r="B3" s="606" t="n"/>
      <c r="C3" s="606" t="n"/>
      <c r="D3" s="606" t="n"/>
      <c r="E3" s="606" t="n"/>
      <c r="F3" s="606" t="n"/>
      <c r="G3" s="606" t="n"/>
      <c r="H3" s="606" t="n"/>
      <c r="I3" s="606" t="n"/>
      <c r="J3" s="606" t="n"/>
      <c r="K3" s="242" t="n"/>
    </row>
    <row r="4" ht="13.5" customHeight="1" s="566">
      <c r="A4" s="243" t="n"/>
      <c r="B4" s="244" t="n"/>
      <c r="C4" s="244" t="n"/>
      <c r="D4" s="244" t="n"/>
      <c r="E4" s="244" t="n"/>
      <c r="F4" s="244" t="n"/>
      <c r="G4" s="244" t="n"/>
      <c r="H4" s="244" t="n"/>
      <c r="I4" s="244" t="n"/>
      <c r="J4" s="244" t="n"/>
      <c r="K4" s="245" t="n"/>
    </row>
    <row r="5" ht="13.5" customHeight="1" s="566">
      <c r="A5" s="243" t="n"/>
      <c r="B5" s="244" t="n"/>
      <c r="C5" s="244" t="n"/>
      <c r="D5" s="244" t="n"/>
      <c r="E5" s="244" t="n"/>
      <c r="F5" s="244" t="n"/>
      <c r="G5" s="244" t="n"/>
      <c r="H5" s="244" t="n"/>
      <c r="I5" s="244" t="n"/>
      <c r="J5" s="244" t="n"/>
      <c r="K5" s="245" t="n"/>
    </row>
    <row r="6" ht="13.5" customHeight="1" s="566">
      <c r="A6" s="243" t="n"/>
      <c r="B6" s="244" t="n"/>
      <c r="C6" s="244" t="n"/>
      <c r="D6" s="244" t="n"/>
      <c r="E6" s="244" t="n"/>
      <c r="F6" s="244" t="n"/>
      <c r="G6" s="244" t="n"/>
      <c r="H6" s="244" t="n"/>
      <c r="I6" s="244" t="n"/>
      <c r="J6" s="244" t="n"/>
      <c r="K6" s="245" t="n"/>
    </row>
    <row r="7" ht="13.5" customHeight="1" s="566">
      <c r="A7" s="243" t="n"/>
      <c r="B7" s="244" t="n"/>
      <c r="C7" s="244" t="n"/>
      <c r="D7" s="244" t="n"/>
      <c r="E7" s="244" t="n"/>
      <c r="F7" s="244" t="n"/>
      <c r="G7" s="244" t="n"/>
      <c r="H7" s="244" t="n"/>
      <c r="I7" s="244" t="n"/>
      <c r="J7" s="244" t="n"/>
      <c r="K7" s="245" t="n"/>
    </row>
    <row r="8" ht="13.5" customHeight="1" s="566">
      <c r="A8" s="243" t="n"/>
      <c r="B8" s="244" t="n"/>
      <c r="C8" s="244" t="n"/>
      <c r="D8" s="244" t="n"/>
      <c r="E8" s="244" t="n"/>
      <c r="F8" s="244" t="n"/>
      <c r="G8" s="244" t="n"/>
      <c r="H8" s="244" t="n"/>
      <c r="I8" s="244" t="n"/>
      <c r="J8" s="244" t="n"/>
      <c r="K8" s="245" t="n"/>
    </row>
    <row r="9" ht="13.5" customHeight="1" s="566">
      <c r="A9" s="243" t="n"/>
      <c r="B9" s="244" t="n"/>
      <c r="C9" s="244" t="n"/>
      <c r="D9" s="244" t="n"/>
      <c r="E9" s="244" t="n"/>
      <c r="F9" s="244" t="n"/>
      <c r="G9" s="244" t="n"/>
      <c r="H9" s="244" t="n"/>
      <c r="I9" s="244" t="n"/>
      <c r="J9" s="244" t="n"/>
      <c r="K9" s="245" t="n"/>
    </row>
    <row r="10" ht="13.5" customHeight="1" s="566">
      <c r="A10" s="243" t="n"/>
      <c r="B10" s="244" t="n"/>
      <c r="C10" s="244" t="n"/>
      <c r="D10" s="244" t="n"/>
      <c r="E10" s="244" t="n"/>
      <c r="F10" s="244" t="n"/>
      <c r="G10" s="244" t="n"/>
      <c r="H10" s="244" t="n"/>
      <c r="I10" s="244" t="n"/>
      <c r="J10" s="244" t="n"/>
      <c r="K10" s="245" t="n"/>
    </row>
    <row r="11" ht="13.5" customHeight="1" s="566">
      <c r="A11" s="243" t="n"/>
      <c r="B11" s="244" t="n"/>
      <c r="C11" s="244" t="n"/>
      <c r="D11" s="244" t="n"/>
      <c r="E11" s="244" t="n"/>
      <c r="F11" s="244" t="n"/>
      <c r="G11" s="244" t="n"/>
      <c r="H11" s="244" t="n"/>
      <c r="I11" s="244" t="n"/>
      <c r="J11" s="244" t="n"/>
      <c r="K11" s="245" t="n"/>
    </row>
    <row r="12" ht="13.5" customHeight="1" s="566">
      <c r="A12" s="243" t="n"/>
      <c r="B12" s="244" t="n"/>
      <c r="C12" s="244" t="n"/>
      <c r="D12" s="244" t="n"/>
      <c r="E12" s="244" t="n"/>
      <c r="F12" s="244" t="n"/>
      <c r="G12" s="244" t="n"/>
      <c r="H12" s="244" t="n"/>
      <c r="I12" s="244" t="n"/>
      <c r="J12" s="244" t="n"/>
      <c r="K12" s="245" t="n"/>
    </row>
    <row r="13" ht="13.5" customHeight="1" s="566">
      <c r="A13" s="243" t="n"/>
      <c r="B13" s="244" t="n"/>
      <c r="C13" s="244" t="n"/>
      <c r="D13" s="244" t="n"/>
      <c r="E13" s="244" t="n"/>
      <c r="F13" s="244" t="n"/>
      <c r="G13" s="244" t="n"/>
      <c r="H13" s="244" t="n"/>
      <c r="I13" s="244" t="n"/>
      <c r="J13" s="244" t="n"/>
      <c r="K13" s="245" t="n"/>
    </row>
    <row r="14" ht="13.5" customHeight="1" s="566">
      <c r="A14" s="243" t="n"/>
      <c r="B14" s="244" t="n"/>
      <c r="C14" s="244" t="n"/>
      <c r="D14" s="244" t="n"/>
      <c r="E14" s="244" t="n"/>
      <c r="F14" s="244" t="n"/>
      <c r="G14" s="244" t="n"/>
      <c r="H14" s="244" t="n"/>
      <c r="I14" s="244" t="n"/>
      <c r="J14" s="244" t="n"/>
      <c r="K14" s="245" t="n"/>
    </row>
    <row r="15" ht="13.5" customHeight="1" s="566">
      <c r="A15" s="243" t="n"/>
      <c r="B15" s="244" t="n"/>
      <c r="C15" s="244" t="n"/>
      <c r="D15" s="244" t="n"/>
      <c r="E15" s="244" t="n"/>
      <c r="F15" s="244" t="n"/>
      <c r="G15" s="244" t="n"/>
      <c r="H15" s="244" t="n"/>
      <c r="I15" s="244" t="n"/>
      <c r="J15" s="244" t="n"/>
      <c r="K15" s="245" t="n"/>
    </row>
    <row r="16" ht="13.5" customHeight="1" s="566">
      <c r="A16" s="243" t="n"/>
      <c r="B16" s="244" t="n"/>
      <c r="C16" s="244" t="n"/>
      <c r="D16" s="244" t="n"/>
      <c r="E16" s="244" t="n"/>
      <c r="F16" s="244" t="n"/>
      <c r="G16" s="244" t="n"/>
      <c r="H16" s="244" t="n"/>
      <c r="I16" s="244" t="n"/>
      <c r="J16" s="244" t="n"/>
      <c r="K16" s="245" t="n"/>
    </row>
    <row r="17" ht="13.5" customHeight="1" s="566">
      <c r="A17" s="243" t="n"/>
      <c r="B17" s="244" t="n"/>
      <c r="C17" s="244" t="n"/>
      <c r="D17" s="244" t="n"/>
      <c r="E17" s="244" t="n"/>
      <c r="F17" s="244" t="n"/>
      <c r="G17" s="244" t="n"/>
      <c r="H17" s="244" t="n"/>
      <c r="I17" s="244" t="n"/>
      <c r="J17" s="244" t="n"/>
      <c r="K17" s="245" t="n"/>
    </row>
    <row r="18" ht="13.5" customHeight="1" s="566">
      <c r="A18" s="243" t="n"/>
      <c r="B18" s="244" t="n"/>
      <c r="C18" s="244" t="n"/>
      <c r="D18" s="244" t="n"/>
      <c r="E18" s="244" t="n"/>
      <c r="F18" s="244" t="n"/>
      <c r="G18" s="244" t="n"/>
      <c r="H18" s="244" t="n"/>
      <c r="I18" s="244" t="n"/>
      <c r="J18" s="244" t="n"/>
      <c r="K18" s="245" t="n"/>
    </row>
    <row r="19" ht="13.5" customHeight="1" s="566">
      <c r="A19" s="243" t="n"/>
      <c r="B19" s="244" t="n"/>
      <c r="C19" s="244" t="n"/>
      <c r="D19" s="244" t="n"/>
      <c r="E19" s="244" t="n"/>
      <c r="F19" s="244" t="n"/>
      <c r="G19" s="244" t="n"/>
      <c r="H19" s="244" t="n"/>
      <c r="I19" s="244" t="n"/>
      <c r="J19" s="244" t="n"/>
      <c r="K19" s="245" t="n"/>
    </row>
    <row r="20" ht="13.5" customHeight="1" s="566">
      <c r="A20" s="243" t="n"/>
      <c r="B20" s="244" t="n"/>
      <c r="C20" s="244" t="n"/>
      <c r="D20" s="244" t="n"/>
      <c r="E20" s="244" t="n"/>
      <c r="F20" s="244" t="n"/>
      <c r="G20" s="244" t="n"/>
      <c r="H20" s="244" t="n"/>
      <c r="I20" s="244" t="n"/>
      <c r="J20" s="244" t="n"/>
      <c r="K20" s="245" t="n"/>
    </row>
    <row r="21" ht="13.5" customHeight="1" s="566">
      <c r="A21" s="243" t="n"/>
      <c r="B21" s="244" t="n"/>
      <c r="C21" s="244" t="n"/>
      <c r="D21" s="244" t="n"/>
      <c r="E21" s="244" t="n"/>
      <c r="F21" s="244" t="n"/>
      <c r="G21" s="244" t="n"/>
      <c r="H21" s="244" t="n"/>
      <c r="I21" s="244" t="n"/>
      <c r="J21" s="244" t="n"/>
      <c r="K21" s="245" t="n"/>
    </row>
    <row r="22" ht="13.5" customHeight="1" s="566">
      <c r="A22" s="243" t="n"/>
      <c r="B22" s="244" t="n"/>
      <c r="C22" s="244" t="n"/>
      <c r="D22" s="244" t="n"/>
      <c r="E22" s="244" t="n"/>
      <c r="F22" s="244" t="n"/>
      <c r="G22" s="244" t="n"/>
      <c r="H22" s="244" t="n"/>
      <c r="I22" s="244" t="n"/>
      <c r="J22" s="244" t="n"/>
      <c r="K22" s="245" t="n"/>
    </row>
    <row r="23" ht="13.5" customHeight="1" s="566">
      <c r="A23" s="243" t="n"/>
      <c r="B23" s="244" t="n"/>
      <c r="C23" s="244" t="n"/>
      <c r="D23" s="244" t="n"/>
      <c r="E23" s="244" t="n"/>
      <c r="F23" s="244" t="n"/>
      <c r="G23" s="244" t="n"/>
      <c r="H23" s="244" t="n"/>
      <c r="I23" s="244" t="n"/>
      <c r="J23" s="244" t="n"/>
      <c r="K23" s="245" t="n"/>
    </row>
    <row r="24" ht="13.5" customHeight="1" s="566">
      <c r="A24" s="243" t="n"/>
      <c r="B24" s="244" t="n"/>
      <c r="C24" s="244" t="n"/>
      <c r="D24" s="244" t="n"/>
      <c r="E24" s="244" t="n"/>
      <c r="F24" s="244" t="n"/>
      <c r="G24" s="244" t="n"/>
      <c r="H24" s="244" t="n"/>
      <c r="I24" s="244" t="n"/>
      <c r="J24" s="244" t="n"/>
      <c r="K24" s="245" t="n"/>
    </row>
    <row r="25" ht="13.5" customHeight="1" s="566">
      <c r="A25" s="243" t="n"/>
      <c r="B25" s="244" t="n"/>
      <c r="C25" s="244" t="n"/>
      <c r="D25" s="244" t="n"/>
      <c r="E25" s="244" t="n"/>
      <c r="F25" s="244" t="n"/>
      <c r="G25" s="244" t="n"/>
      <c r="H25" s="244" t="n"/>
      <c r="I25" s="244" t="n"/>
      <c r="J25" s="244" t="n"/>
      <c r="K25" s="245" t="n"/>
    </row>
    <row r="26" ht="13.5" customHeight="1" s="566">
      <c r="A26" s="243" t="n"/>
      <c r="B26" s="244" t="n"/>
      <c r="C26" s="244" t="n"/>
      <c r="D26" s="244" t="n"/>
      <c r="E26" s="244" t="n"/>
      <c r="F26" s="244" t="n"/>
      <c r="G26" s="244" t="n"/>
      <c r="H26" s="244" t="n"/>
      <c r="I26" s="244" t="n"/>
      <c r="J26" s="244" t="n"/>
      <c r="K26" s="245" t="n"/>
    </row>
    <row r="27" ht="13.5" customHeight="1" s="566">
      <c r="A27" s="243" t="n"/>
      <c r="B27" s="244" t="n"/>
      <c r="C27" s="244" t="n"/>
      <c r="D27" s="244" t="n"/>
      <c r="E27" s="244" t="n"/>
      <c r="F27" s="244" t="n"/>
      <c r="G27" s="244" t="n"/>
      <c r="H27" s="244" t="n"/>
      <c r="I27" s="244" t="n"/>
      <c r="J27" s="244" t="n"/>
      <c r="K27" s="245" t="n"/>
    </row>
    <row r="28" ht="13.5" customHeight="1" s="566">
      <c r="A28" s="243" t="n"/>
      <c r="B28" s="244" t="n"/>
      <c r="C28" s="244" t="n"/>
      <c r="D28" s="244" t="n"/>
      <c r="E28" s="244" t="n"/>
      <c r="F28" s="244" t="n"/>
      <c r="G28" s="244" t="n"/>
      <c r="H28" s="244" t="n"/>
      <c r="I28" s="244" t="n"/>
      <c r="J28" s="244" t="n"/>
      <c r="K28" s="245" t="n"/>
    </row>
    <row r="29" ht="13.5" customHeight="1" s="566">
      <c r="A29" s="243" t="n"/>
      <c r="B29" s="244" t="n"/>
      <c r="C29" s="244" t="n"/>
      <c r="D29" s="244" t="n"/>
      <c r="E29" s="244" t="n"/>
      <c r="F29" s="244" t="n"/>
      <c r="G29" s="244" t="n"/>
      <c r="H29" s="244" t="n"/>
      <c r="I29" s="244" t="n"/>
      <c r="J29" s="244" t="n"/>
      <c r="K29" s="245" t="n"/>
    </row>
    <row r="30" ht="13.5" customHeight="1" s="566">
      <c r="A30" s="243" t="n"/>
      <c r="B30" s="244" t="n"/>
      <c r="C30" s="244" t="n"/>
      <c r="D30" s="244" t="n"/>
      <c r="E30" s="244" t="n"/>
      <c r="F30" s="244" t="n"/>
      <c r="G30" s="244" t="n"/>
      <c r="H30" s="244" t="n"/>
      <c r="I30" s="244" t="n"/>
      <c r="J30" s="244" t="n"/>
      <c r="K30" s="245" t="n"/>
    </row>
    <row r="31" ht="13.5" customHeight="1" s="566">
      <c r="A31" s="243" t="n"/>
      <c r="B31" s="244" t="n"/>
      <c r="C31" s="244" t="n"/>
      <c r="D31" s="244" t="n"/>
      <c r="E31" s="244" t="n"/>
      <c r="F31" s="244" t="n"/>
      <c r="G31" s="244" t="n"/>
      <c r="H31" s="244" t="n"/>
      <c r="I31" s="244" t="n"/>
      <c r="J31" s="244" t="n"/>
      <c r="K31" s="245" t="n"/>
    </row>
    <row r="32" ht="13.5" customHeight="1" s="566">
      <c r="A32" s="243" t="n"/>
      <c r="B32" s="244" t="n"/>
      <c r="C32" s="244" t="n"/>
      <c r="D32" s="244" t="n"/>
      <c r="E32" s="244" t="n"/>
      <c r="F32" s="244" t="n"/>
      <c r="G32" s="244" t="n"/>
      <c r="H32" s="244" t="n"/>
      <c r="I32" s="244" t="n"/>
      <c r="J32" s="244" t="n"/>
      <c r="K32" s="245" t="n"/>
    </row>
    <row r="33" ht="13.5" customHeight="1" s="566">
      <c r="A33" s="243" t="n"/>
      <c r="B33" s="244" t="n"/>
      <c r="C33" s="244" t="n"/>
      <c r="D33" s="244" t="n"/>
      <c r="E33" s="244" t="n"/>
      <c r="F33" s="244" t="n"/>
      <c r="G33" s="244" t="n"/>
      <c r="H33" s="244" t="n"/>
      <c r="I33" s="244" t="n"/>
      <c r="J33" s="244" t="n"/>
      <c r="K33" s="245" t="n"/>
    </row>
    <row r="34" ht="13.5" customHeight="1" s="566">
      <c r="A34" s="243" t="n"/>
      <c r="B34" s="244" t="n"/>
      <c r="C34" s="244" t="n"/>
      <c r="D34" s="244" t="n"/>
      <c r="E34" s="244" t="n"/>
      <c r="F34" s="244" t="n"/>
      <c r="G34" s="244" t="n"/>
      <c r="H34" s="244" t="n"/>
      <c r="I34" s="244" t="n"/>
      <c r="J34" s="244" t="n"/>
      <c r="K34" s="245" t="n"/>
    </row>
    <row r="35" ht="13.5" customHeight="1" s="566">
      <c r="A35" s="243" t="n"/>
      <c r="B35" s="244" t="n"/>
      <c r="C35" s="244" t="n"/>
      <c r="D35" s="244" t="n"/>
      <c r="E35" s="244" t="n"/>
      <c r="F35" s="244" t="n"/>
      <c r="G35" s="244" t="n"/>
      <c r="H35" s="244" t="n"/>
      <c r="I35" s="244" t="n"/>
      <c r="J35" s="244" t="n"/>
      <c r="K35" s="245" t="n"/>
    </row>
    <row r="36" ht="13.5" customHeight="1" s="566">
      <c r="A36" s="243" t="n"/>
      <c r="B36" s="244" t="n"/>
      <c r="C36" s="244" t="n"/>
      <c r="D36" s="244" t="n"/>
      <c r="E36" s="244" t="n"/>
      <c r="F36" s="244" t="n"/>
      <c r="G36" s="244" t="n"/>
      <c r="H36" s="244" t="n"/>
      <c r="I36" s="244" t="n"/>
      <c r="J36" s="244" t="n"/>
      <c r="K36" s="245" t="n"/>
    </row>
    <row r="37" ht="13.5" customHeight="1" s="566">
      <c r="A37" s="243" t="n"/>
      <c r="B37" s="244" t="n"/>
      <c r="C37" s="244" t="n"/>
      <c r="D37" s="244" t="n"/>
      <c r="E37" s="244" t="n"/>
      <c r="F37" s="244" t="n"/>
      <c r="G37" s="244" t="n"/>
      <c r="H37" s="244" t="n"/>
      <c r="I37" s="244" t="n"/>
      <c r="J37" s="244" t="n"/>
      <c r="K37" s="245" t="n"/>
    </row>
    <row r="38" ht="13.5" customHeight="1" s="566">
      <c r="A38" s="243" t="n"/>
      <c r="B38" s="244" t="n"/>
      <c r="C38" s="244" t="n"/>
      <c r="D38" s="244" t="n"/>
      <c r="E38" s="244" t="n"/>
      <c r="F38" s="244" t="n"/>
      <c r="G38" s="244" t="n"/>
      <c r="H38" s="244" t="n"/>
      <c r="I38" s="244" t="n"/>
      <c r="J38" s="244" t="n"/>
      <c r="K38" s="245" t="n"/>
    </row>
    <row r="39" ht="13.5" customHeight="1" s="566">
      <c r="A39" s="243" t="n"/>
      <c r="B39" s="244" t="n"/>
      <c r="C39" s="244" t="n"/>
      <c r="D39" s="244" t="n"/>
      <c r="E39" s="244" t="n"/>
      <c r="F39" s="244" t="n"/>
      <c r="G39" s="244" t="n"/>
      <c r="H39" s="244" t="n"/>
      <c r="I39" s="244" t="n"/>
      <c r="J39" s="244" t="n"/>
      <c r="K39" s="245" t="n"/>
    </row>
    <row r="40" ht="13.5" customHeight="1" s="566">
      <c r="A40" s="243" t="n"/>
      <c r="B40" s="244" t="n"/>
      <c r="C40" s="244" t="n"/>
      <c r="D40" s="244" t="n"/>
      <c r="E40" s="244" t="n"/>
      <c r="F40" s="244" t="n"/>
      <c r="G40" s="244" t="n"/>
      <c r="H40" s="244" t="n"/>
      <c r="I40" s="244" t="n"/>
      <c r="J40" s="244" t="n"/>
      <c r="K40" s="245" t="n"/>
    </row>
    <row r="41" ht="13.5" customHeight="1" s="566">
      <c r="A41" s="243" t="n"/>
      <c r="B41" s="244" t="n"/>
      <c r="C41" s="244" t="n"/>
      <c r="D41" s="244" t="n"/>
      <c r="E41" s="244" t="n"/>
      <c r="F41" s="244" t="n"/>
      <c r="G41" s="244" t="n"/>
      <c r="H41" s="244" t="n"/>
      <c r="I41" s="244" t="n"/>
      <c r="J41" s="244" t="n"/>
      <c r="K41" s="245" t="n"/>
    </row>
    <row r="42" ht="13.5" customHeight="1" s="566">
      <c r="A42" s="243" t="n"/>
      <c r="B42" s="244" t="n"/>
      <c r="C42" s="244" t="n"/>
      <c r="D42" s="244" t="n"/>
      <c r="E42" s="244" t="n"/>
      <c r="F42" s="244" t="n"/>
      <c r="G42" s="244" t="n"/>
      <c r="H42" s="244" t="n"/>
      <c r="I42" s="244" t="n"/>
      <c r="J42" s="244" t="n"/>
      <c r="K42" s="245" t="n"/>
    </row>
    <row r="43" ht="13.5" customHeight="1" s="566">
      <c r="A43" s="243" t="n"/>
      <c r="B43" s="244" t="n"/>
      <c r="C43" s="244" t="n"/>
      <c r="D43" s="244" t="n"/>
      <c r="E43" s="244" t="n"/>
      <c r="F43" s="244" t="n"/>
      <c r="G43" s="244" t="n"/>
      <c r="H43" s="244" t="n"/>
      <c r="I43" s="244" t="n"/>
      <c r="J43" s="244" t="n"/>
      <c r="K43" s="245" t="n"/>
    </row>
    <row r="44" ht="13.5" customHeight="1" s="566">
      <c r="A44" s="243" t="n"/>
      <c r="B44" s="244" t="n"/>
      <c r="C44" s="244" t="n"/>
      <c r="D44" s="244" t="n"/>
      <c r="E44" s="244" t="n"/>
      <c r="F44" s="244" t="n"/>
      <c r="G44" s="244" t="n"/>
      <c r="H44" s="244" t="n"/>
      <c r="I44" s="244" t="n"/>
      <c r="J44" s="244" t="n"/>
      <c r="K44" s="245" t="n"/>
    </row>
    <row r="45" ht="13.5" customHeight="1" s="566">
      <c r="A45" s="243" t="n"/>
      <c r="B45" s="244" t="n"/>
      <c r="C45" s="244" t="n"/>
      <c r="D45" s="244" t="n"/>
      <c r="E45" s="244" t="n"/>
      <c r="F45" s="244" t="n"/>
      <c r="G45" s="244" t="n"/>
      <c r="H45" s="244" t="n"/>
      <c r="I45" s="244" t="n"/>
      <c r="J45" s="244" t="n"/>
      <c r="K45" s="245" t="n"/>
    </row>
    <row r="46" ht="13.5" customHeight="1" s="566">
      <c r="A46" s="243" t="n"/>
      <c r="B46" s="244" t="n"/>
      <c r="C46" s="244" t="n"/>
      <c r="D46" s="244" t="n"/>
      <c r="E46" s="244" t="n"/>
      <c r="F46" s="244" t="n"/>
      <c r="G46" s="244" t="n"/>
      <c r="H46" s="244" t="n"/>
      <c r="I46" s="244" t="n"/>
      <c r="J46" s="244" t="n"/>
      <c r="K46" s="245" t="n"/>
    </row>
    <row r="47" ht="13.5" customHeight="1" s="566">
      <c r="A47" s="243" t="n"/>
      <c r="B47" s="244" t="n"/>
      <c r="C47" s="244" t="n"/>
      <c r="D47" s="244" t="n"/>
      <c r="E47" s="244" t="n"/>
      <c r="F47" s="244" t="n"/>
      <c r="G47" s="244" t="n"/>
      <c r="H47" s="244" t="n"/>
      <c r="I47" s="244" t="n"/>
      <c r="J47" s="244" t="n"/>
      <c r="K47" s="245" t="n"/>
    </row>
    <row r="48" ht="13.5" customHeight="1" s="566">
      <c r="A48" s="243" t="n"/>
      <c r="B48" s="244" t="n"/>
      <c r="C48" s="244" t="n"/>
      <c r="D48" s="244" t="n"/>
      <c r="E48" s="244" t="n"/>
      <c r="F48" s="244" t="n"/>
      <c r="G48" s="244" t="n"/>
      <c r="H48" s="244" t="n"/>
      <c r="I48" s="244" t="n"/>
      <c r="J48" s="244" t="n"/>
      <c r="K48" s="245" t="n"/>
    </row>
    <row r="49" ht="13.5" customHeight="1" s="566">
      <c r="A49" s="243" t="n"/>
      <c r="B49" s="244" t="n"/>
      <c r="C49" s="244" t="n"/>
      <c r="D49" s="244" t="n"/>
      <c r="E49" s="244" t="n"/>
      <c r="F49" s="244" t="n"/>
      <c r="G49" s="244" t="n"/>
      <c r="H49" s="244" t="n"/>
      <c r="I49" s="244" t="n"/>
      <c r="J49" s="244" t="n"/>
      <c r="K49" s="245" t="n"/>
    </row>
    <row r="50" ht="13.5" customHeight="1" s="566">
      <c r="A50" s="243" t="n"/>
      <c r="B50" s="244" t="n"/>
      <c r="C50" s="244" t="n"/>
      <c r="D50" s="244" t="n"/>
      <c r="E50" s="244" t="n"/>
      <c r="F50" s="244" t="n"/>
      <c r="G50" s="244" t="n"/>
      <c r="H50" s="244" t="n"/>
      <c r="I50" s="244" t="n"/>
      <c r="J50" s="244" t="n"/>
      <c r="K50" s="245" t="n"/>
    </row>
    <row r="51" ht="13.5" customHeight="1" s="566">
      <c r="A51" s="243" t="n"/>
      <c r="B51" s="244" t="n"/>
      <c r="C51" s="244" t="n"/>
      <c r="D51" s="244" t="n"/>
      <c r="E51" s="244" t="n"/>
      <c r="F51" s="244" t="n"/>
      <c r="G51" s="244" t="n"/>
      <c r="H51" s="244" t="n"/>
      <c r="I51" s="244" t="n"/>
      <c r="J51" s="244" t="n"/>
      <c r="K51" s="245" t="n"/>
    </row>
    <row r="52" ht="13.5" customHeight="1" s="566">
      <c r="A52" s="246" t="n"/>
      <c r="B52" s="608" t="n"/>
      <c r="C52" s="608" t="n"/>
      <c r="D52" s="608" t="n"/>
      <c r="E52" s="608" t="n"/>
      <c r="F52" s="608" t="n"/>
      <c r="G52" s="608" t="n"/>
      <c r="H52" s="608" t="n"/>
      <c r="I52" s="608" t="n"/>
      <c r="J52" s="608" t="n"/>
      <c r="K52" s="248" t="n"/>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I23"/>
  <sheetViews>
    <sheetView showGridLines="0" workbookViewId="0">
      <selection activeCell="K14" sqref="K14"/>
    </sheetView>
  </sheetViews>
  <sheetFormatPr baseColWidth="8" defaultColWidth="9" defaultRowHeight="12.75" customHeight="1"/>
  <cols>
    <col width="16.6640625" customWidth="1" style="1" min="1" max="1"/>
    <col width="25" customWidth="1" style="1" min="2" max="2"/>
    <col width="32.6640625" customWidth="1" style="1" min="3" max="6"/>
    <col hidden="1" width="32.6640625" customWidth="1" style="1" min="7" max="7"/>
    <col hidden="1" width="27.33203125" customWidth="1" style="1" min="8" max="8"/>
    <col hidden="1" width="42.33203125" customWidth="1" style="1" min="9" max="9"/>
    <col width="9" customWidth="1" style="1" min="10" max="10"/>
    <col width="9" customWidth="1" style="1" min="11" max="16384"/>
  </cols>
  <sheetData>
    <row r="1" ht="49.5" customHeight="1" s="566">
      <c r="A1" s="230" t="inlineStr">
        <is>
          <t>Relevant Requirement(s)/ Objective(s):</t>
        </is>
      </c>
      <c r="B1" s="249" t="inlineStr">
        <is>
          <t>3.10.1a, 3.10.5a</t>
        </is>
      </c>
      <c r="C1" s="230" t="inlineStr">
        <is>
          <t>Last Reviewed By:</t>
        </is>
      </c>
      <c r="D1" s="250" t="n"/>
      <c r="E1" s="230" t="inlineStr">
        <is>
          <t>Last Reviewed On:</t>
        </is>
      </c>
      <c r="F1" s="250" t="n"/>
      <c r="G1" s="251" t="n"/>
      <c r="H1" s="252" t="n"/>
      <c r="I1" s="252" t="n"/>
    </row>
    <row r="2" ht="15.95" customHeight="1" s="566">
      <c r="A2" s="899" t="n"/>
      <c r="B2" s="897" t="n"/>
      <c r="C2" s="511" t="inlineStr">
        <is>
          <t>Location 1</t>
        </is>
      </c>
      <c r="D2" s="511" t="inlineStr">
        <is>
          <t>Location 2</t>
        </is>
      </c>
      <c r="E2" s="511" t="inlineStr">
        <is>
          <t>Location 3</t>
        </is>
      </c>
      <c r="F2" s="511" t="inlineStr">
        <is>
          <t>Location 4</t>
        </is>
      </c>
      <c r="G2" s="511" t="inlineStr">
        <is>
          <t>Location 5</t>
        </is>
      </c>
      <c r="H2" s="81" t="n"/>
      <c r="I2" s="506" t="n"/>
    </row>
    <row r="3" ht="27.95" customHeight="1" s="566">
      <c r="A3" s="753" t="inlineStr">
        <is>
          <t>Location Name/Description</t>
        </is>
      </c>
      <c r="B3" s="900" t="n"/>
      <c r="C3" s="513" t="inlineStr">
        <is>
          <t xml:space="preserve">California 
(Hera A&amp;D | West) </t>
        </is>
      </c>
      <c r="D3" s="513" t="inlineStr">
        <is>
          <t>California (MSM A&amp;D)</t>
        </is>
      </c>
      <c r="E3" s="513" t="inlineStr">
        <is>
          <t>Colorado 
(Canopy Technologies)</t>
        </is>
      </c>
      <c r="F3" s="513" t="inlineStr">
        <is>
          <t>Florida (Hera A&amp;D | East)</t>
        </is>
      </c>
      <c r="H3" s="538" t="n"/>
      <c r="I3" s="506" t="n"/>
    </row>
    <row r="4" ht="15.95" customHeight="1" s="566">
      <c r="A4" s="749" t="inlineStr">
        <is>
          <t>Address 1</t>
        </is>
      </c>
      <c r="B4" s="867" t="n"/>
      <c r="C4" s="512" t="inlineStr">
        <is>
          <t>1055 E Francis St</t>
        </is>
      </c>
      <c r="D4" s="512" t="inlineStr">
        <is>
          <t>12660 Magnolia Ave</t>
        </is>
      </c>
      <c r="E4" s="512" t="inlineStr">
        <is>
          <t>8101 Midway Dr</t>
        </is>
      </c>
      <c r="F4" s="512" t="inlineStr">
        <is>
          <t>350 Imperial Blvd</t>
        </is>
      </c>
      <c r="H4" s="538" t="n"/>
      <c r="I4" s="506" t="n"/>
    </row>
    <row r="5" ht="15.95" customHeight="1" s="566">
      <c r="A5" s="749" t="inlineStr">
        <is>
          <t>Address 2</t>
        </is>
      </c>
      <c r="B5" s="867" t="n"/>
      <c r="C5" s="512" t="n"/>
      <c r="D5" s="512" t="n"/>
      <c r="E5" s="514" t="inlineStr">
        <is>
          <t>Ste 100</t>
        </is>
      </c>
      <c r="F5" s="512" t="n"/>
      <c r="H5" s="538" t="n"/>
      <c r="I5" s="506" t="n"/>
    </row>
    <row r="6" ht="15.95" customHeight="1" s="566">
      <c r="A6" s="749" t="inlineStr">
        <is>
          <t>City</t>
        </is>
      </c>
      <c r="B6" s="867" t="n"/>
      <c r="C6" s="514" t="inlineStr">
        <is>
          <t>Ontario</t>
        </is>
      </c>
      <c r="D6" s="514" t="inlineStr">
        <is>
          <t>Riverside</t>
        </is>
      </c>
      <c r="E6" s="514" t="inlineStr">
        <is>
          <t>Littleton</t>
        </is>
      </c>
      <c r="F6" s="512" t="inlineStr">
        <is>
          <t>Cape Canaveral</t>
        </is>
      </c>
      <c r="H6" s="538" t="n"/>
      <c r="I6" s="506" t="n"/>
    </row>
    <row r="7" ht="14.1" customHeight="1" s="566">
      <c r="A7" s="749" t="inlineStr">
        <is>
          <t>State</t>
        </is>
      </c>
      <c r="B7" s="867" t="n"/>
      <c r="C7" s="514" t="inlineStr">
        <is>
          <t xml:space="preserve">CA </t>
        </is>
      </c>
      <c r="D7" s="514" t="inlineStr">
        <is>
          <t xml:space="preserve">CA </t>
        </is>
      </c>
      <c r="E7" s="512" t="inlineStr">
        <is>
          <t xml:space="preserve">CO </t>
        </is>
      </c>
      <c r="F7" s="514" t="inlineStr">
        <is>
          <t xml:space="preserve">FL </t>
        </is>
      </c>
      <c r="H7" s="538" t="n"/>
      <c r="I7" s="81" t="n"/>
    </row>
    <row r="8" ht="14.1" customHeight="1" s="566">
      <c r="A8" s="749" t="inlineStr">
        <is>
          <t>Country</t>
        </is>
      </c>
      <c r="B8" s="867" t="n"/>
      <c r="C8" s="512" t="inlineStr">
        <is>
          <t>USA</t>
        </is>
      </c>
      <c r="D8" s="512" t="inlineStr">
        <is>
          <t>USA</t>
        </is>
      </c>
      <c r="E8" s="512" t="inlineStr">
        <is>
          <t>USA</t>
        </is>
      </c>
      <c r="F8" s="512" t="inlineStr">
        <is>
          <t>USA</t>
        </is>
      </c>
      <c r="H8" s="538" t="n"/>
      <c r="I8" s="81" t="n"/>
    </row>
    <row r="9" ht="14.1" customHeight="1" s="566">
      <c r="A9" s="749" t="inlineStr">
        <is>
          <t>Postal Code</t>
        </is>
      </c>
      <c r="B9" s="867" t="n"/>
      <c r="C9" s="514" t="n">
        <v>91761</v>
      </c>
      <c r="D9" s="514" t="n">
        <v>92503</v>
      </c>
      <c r="E9" s="514" t="n">
        <v>80125</v>
      </c>
      <c r="F9" s="514" t="n">
        <v>32920</v>
      </c>
      <c r="H9" s="538" t="n"/>
      <c r="I9" s="81" t="n"/>
    </row>
    <row r="10" ht="14.1" customHeight="1" s="566">
      <c r="A10" s="749" t="inlineStr">
        <is>
          <t>Room(s)/Floor(s)/Cage(s)</t>
        </is>
      </c>
      <c r="B10" s="867" t="n"/>
      <c r="C10" s="512" t="n"/>
      <c r="D10" s="512" t="n"/>
      <c r="E10" s="512" t="n"/>
      <c r="F10" s="512" t="n"/>
      <c r="H10" s="538" t="n"/>
      <c r="I10" s="81" t="n"/>
    </row>
    <row r="11" ht="14.1" customHeight="1" s="566">
      <c r="A11" s="751" t="inlineStr">
        <is>
          <t>Accountable Role/Individual</t>
        </is>
      </c>
      <c r="B11" s="883" t="n"/>
      <c r="C11" s="512" t="n"/>
      <c r="D11" s="512" t="n"/>
      <c r="E11" s="512" t="n"/>
      <c r="F11" s="512" t="n"/>
      <c r="H11" s="538" t="n"/>
      <c r="I11" s="81" t="n"/>
    </row>
    <row r="12" ht="14.25" customHeight="1" s="566">
      <c r="A12" s="293" t="inlineStr">
        <is>
          <t>Entry 1</t>
        </is>
      </c>
      <c r="B12" s="507" t="inlineStr">
        <is>
          <t>Location</t>
        </is>
      </c>
      <c r="C12" s="512" t="n"/>
      <c r="D12" s="512" t="n"/>
      <c r="E12" s="512" t="n"/>
      <c r="F12" s="512" t="n"/>
      <c r="G12" s="512" t="n"/>
      <c r="H12" s="538" t="n"/>
      <c r="I12" s="81" t="n"/>
    </row>
    <row r="13" ht="13.7" customHeight="1" s="566">
      <c r="A13" s="890" t="n"/>
      <c r="B13" s="508" t="inlineStr">
        <is>
          <t>Physical Access Device</t>
        </is>
      </c>
      <c r="C13" s="512" t="n"/>
      <c r="D13" s="512" t="n"/>
      <c r="E13" s="512" t="n"/>
      <c r="F13" s="512" t="n"/>
      <c r="G13" s="512" t="n"/>
      <c r="H13" s="538" t="n"/>
      <c r="I13" s="81" t="n"/>
    </row>
    <row r="14" ht="13.5" customHeight="1" s="566">
      <c r="A14" s="901" t="n"/>
      <c r="B14" s="509" t="inlineStr">
        <is>
          <t>Other Description</t>
        </is>
      </c>
      <c r="C14" s="512" t="n"/>
      <c r="D14" s="512" t="n"/>
      <c r="E14" s="512" t="n"/>
      <c r="F14" s="512" t="n"/>
      <c r="G14" s="512" t="n"/>
      <c r="H14" s="538" t="n"/>
      <c r="I14" s="81" t="n"/>
    </row>
    <row r="15" ht="14.25" customHeight="1" s="566">
      <c r="A15" s="293" t="inlineStr">
        <is>
          <t>Entry 2</t>
        </is>
      </c>
      <c r="B15" s="507" t="inlineStr">
        <is>
          <t>Location</t>
        </is>
      </c>
      <c r="C15" s="512" t="n"/>
      <c r="D15" s="512" t="n"/>
      <c r="E15" s="512" t="n"/>
      <c r="F15" s="512" t="n"/>
      <c r="G15" s="512" t="n"/>
      <c r="H15" s="538" t="n"/>
      <c r="I15" s="81" t="n"/>
    </row>
    <row r="16" ht="13.7" customHeight="1" s="566">
      <c r="A16" s="890" t="n"/>
      <c r="B16" s="508" t="inlineStr">
        <is>
          <t>Physical Access Device</t>
        </is>
      </c>
      <c r="C16" s="512" t="n"/>
      <c r="D16" s="512" t="n"/>
      <c r="E16" s="512" t="n"/>
      <c r="F16" s="512" t="n"/>
      <c r="G16" s="512" t="n"/>
      <c r="H16" s="538" t="n"/>
      <c r="I16" s="81" t="n"/>
    </row>
    <row r="17" ht="13.5" customHeight="1" s="566">
      <c r="A17" s="901" t="n"/>
      <c r="B17" s="509" t="inlineStr">
        <is>
          <t>Other Description</t>
        </is>
      </c>
      <c r="C17" s="512" t="n"/>
      <c r="D17" s="512" t="n"/>
      <c r="E17" s="512" t="n"/>
      <c r="F17" s="512" t="n"/>
      <c r="G17" s="512" t="n"/>
      <c r="H17" s="538" t="n"/>
      <c r="I17" s="81" t="n"/>
    </row>
    <row r="18" ht="14.25" customHeight="1" s="566">
      <c r="A18" s="293" t="inlineStr">
        <is>
          <t>Entry 3</t>
        </is>
      </c>
      <c r="B18" s="507" t="inlineStr">
        <is>
          <t>Location</t>
        </is>
      </c>
      <c r="C18" s="512" t="n"/>
      <c r="D18" s="512" t="n"/>
      <c r="E18" s="512" t="n"/>
      <c r="F18" s="512" t="n"/>
      <c r="G18" s="512" t="n"/>
      <c r="H18" s="538" t="n"/>
      <c r="I18" s="81" t="n"/>
    </row>
    <row r="19" ht="13.7" customHeight="1" s="566">
      <c r="A19" s="890" t="n"/>
      <c r="B19" s="508" t="inlineStr">
        <is>
          <t>Physical Access Device</t>
        </is>
      </c>
      <c r="C19" s="512" t="n"/>
      <c r="D19" s="512" t="n"/>
      <c r="E19" s="512" t="n"/>
      <c r="F19" s="512" t="n"/>
      <c r="G19" s="512" t="n"/>
      <c r="H19" s="538" t="n"/>
      <c r="I19" s="81" t="n"/>
    </row>
    <row r="20" ht="13.5" customHeight="1" s="566">
      <c r="A20" s="901" t="n"/>
      <c r="B20" s="509" t="inlineStr">
        <is>
          <t>Other Description</t>
        </is>
      </c>
      <c r="C20" s="512" t="n"/>
      <c r="D20" s="512" t="n"/>
      <c r="E20" s="512" t="n"/>
      <c r="F20" s="512" t="n"/>
      <c r="G20" s="512" t="n"/>
      <c r="H20" s="538" t="n"/>
      <c r="I20" s="81" t="n"/>
    </row>
    <row r="21" ht="14.25" customHeight="1" s="566">
      <c r="A21" s="293" t="inlineStr">
        <is>
          <t>Entry 4</t>
        </is>
      </c>
      <c r="B21" s="507" t="inlineStr">
        <is>
          <t>Location</t>
        </is>
      </c>
      <c r="C21" s="512" t="n"/>
      <c r="D21" s="512" t="n"/>
      <c r="E21" s="512" t="n"/>
      <c r="F21" s="512" t="n"/>
      <c r="G21" s="512" t="n"/>
      <c r="H21" s="538" t="n"/>
      <c r="I21" s="81" t="n"/>
    </row>
    <row r="22" ht="13.7" customHeight="1" s="566">
      <c r="A22" s="890" t="n"/>
      <c r="B22" s="508" t="inlineStr">
        <is>
          <t>Physical Access Device</t>
        </is>
      </c>
      <c r="C22" s="512" t="n"/>
      <c r="D22" s="512" t="n"/>
      <c r="E22" s="512" t="n"/>
      <c r="F22" s="512" t="n"/>
      <c r="G22" s="512" t="n"/>
      <c r="H22" s="538" t="n"/>
      <c r="I22" s="81" t="n"/>
    </row>
    <row r="23" ht="13.5" customHeight="1" s="566">
      <c r="A23" s="901" t="n"/>
      <c r="B23" s="509" t="inlineStr">
        <is>
          <t>Other Description</t>
        </is>
      </c>
      <c r="C23" s="512" t="n"/>
      <c r="D23" s="512" t="n"/>
      <c r="E23" s="512" t="n"/>
      <c r="F23" s="512" t="n"/>
      <c r="G23" s="512" t="n"/>
      <c r="H23" s="538" t="n"/>
      <c r="I23" s="81" t="n"/>
    </row>
  </sheetData>
  <mergeCells count="14">
    <mergeCell ref="A4:B4"/>
    <mergeCell ref="A21:A23"/>
    <mergeCell ref="A2:B2"/>
    <mergeCell ref="A12:A14"/>
    <mergeCell ref="A7:B7"/>
    <mergeCell ref="A11:B11"/>
    <mergeCell ref="A10:B10"/>
    <mergeCell ref="A5:B5"/>
    <mergeCell ref="A15:A17"/>
    <mergeCell ref="A9:B9"/>
    <mergeCell ref="A8:B8"/>
    <mergeCell ref="A3:B3"/>
    <mergeCell ref="A6:B6"/>
    <mergeCell ref="A18:A20"/>
  </mergeCells>
  <dataValidations count="1">
    <dataValidation sqref="C13 G13" showDropDown="0" showInputMessage="1" showErrorMessage="1" allowBlank="1" type="list">
      <formula1>"Lock and Key,Combination Lock,Card Reader,Biometrics,Other"</formula1>
    </dataValidation>
  </dataValidations>
  <pageMargins left="0.7" right="0.7" top="0.75" bottom="0.75" header="0.3" footer="0.3"/>
  <pageSetup orientation="portrait"/>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K102"/>
  <sheetViews>
    <sheetView showGridLines="0" workbookViewId="0">
      <selection activeCell="A1" sqref="A1"/>
    </sheetView>
  </sheetViews>
  <sheetFormatPr baseColWidth="8" defaultColWidth="9" defaultRowHeight="12.75" customHeight="1"/>
  <cols>
    <col width="17" customWidth="1" style="1" min="1" max="1"/>
    <col width="16.6640625" customWidth="1" style="1" min="2" max="3"/>
    <col width="15.1640625" customWidth="1" style="1" min="4" max="4"/>
    <col width="26.6640625" customWidth="1" style="1" min="5" max="6"/>
    <col width="24.6640625" customWidth="1" style="1" min="7" max="7"/>
    <col width="26.6640625" customWidth="1" style="1" min="8" max="9"/>
    <col width="12.1640625" customWidth="1" style="1" min="10" max="11"/>
    <col width="9" customWidth="1" style="1" min="12" max="12"/>
    <col width="9" customWidth="1" style="1" min="13" max="16384"/>
  </cols>
  <sheetData>
    <row r="1" ht="49.5" customHeight="1" s="566">
      <c r="A1" s="237" t="inlineStr">
        <is>
          <t>Relevant Requirement(s)/ Objective(s):</t>
        </is>
      </c>
      <c r="B1" s="260" t="inlineStr">
        <is>
          <t>3.1.1a, 3.5.1a</t>
        </is>
      </c>
      <c r="C1" s="230" t="inlineStr">
        <is>
          <t>Last Reviewed By:</t>
        </is>
      </c>
      <c r="D1" s="250" t="n"/>
      <c r="E1" s="230" t="inlineStr">
        <is>
          <t>Last Reviewed On:</t>
        </is>
      </c>
      <c r="F1" s="250" t="n"/>
      <c r="G1" s="261" t="n"/>
      <c r="H1" s="262" t="n"/>
      <c r="I1" s="262" t="n"/>
      <c r="J1" s="236" t="n"/>
      <c r="K1" s="236" t="n"/>
    </row>
    <row r="2" ht="39" customHeight="1" s="566">
      <c r="A2" s="263" t="inlineStr">
        <is>
          <t>User ID</t>
        </is>
      </c>
      <c r="B2" s="238" t="inlineStr">
        <is>
          <t>Access Authorization Start Date</t>
        </is>
      </c>
      <c r="C2" s="238" t="inlineStr">
        <is>
          <t>Access Authorization End Date</t>
        </is>
      </c>
      <c r="D2" s="238" t="inlineStr">
        <is>
          <t>Account Authorized By (Name)</t>
        </is>
      </c>
      <c r="E2" s="238" t="inlineStr">
        <is>
          <t>User First Name</t>
        </is>
      </c>
      <c r="F2" s="238" t="inlineStr">
        <is>
          <t>User Last Name</t>
        </is>
      </c>
      <c r="G2" s="238" t="inlineStr">
        <is>
          <t>Organization Name</t>
        </is>
      </c>
      <c r="H2" s="238" t="inlineStr">
        <is>
          <t>E-mail Address</t>
        </is>
      </c>
      <c r="I2" s="239" t="inlineStr">
        <is>
          <t>User Role(s)</t>
        </is>
      </c>
      <c r="J2" s="237" t="inlineStr">
        <is>
          <t>Date Account Created</t>
        </is>
      </c>
      <c r="K2" s="239" t="inlineStr">
        <is>
          <t>Date Account Disabled</t>
        </is>
      </c>
    </row>
    <row r="3" ht="14.25" customHeight="1" s="566">
      <c r="A3" s="240" t="n"/>
      <c r="B3" s="264" t="n"/>
      <c r="C3" s="264" t="n"/>
      <c r="D3" s="606" t="n"/>
      <c r="E3" s="606" t="n"/>
      <c r="F3" s="606" t="n"/>
      <c r="G3" s="606" t="n"/>
      <c r="H3" s="606" t="n"/>
      <c r="I3" s="242" t="n"/>
      <c r="J3" s="240" t="n"/>
      <c r="K3" s="242" t="n"/>
    </row>
    <row r="4" ht="13.7" customHeight="1" s="566">
      <c r="A4" s="243" t="n"/>
      <c r="B4" s="734" t="n"/>
      <c r="C4" s="734" t="n"/>
      <c r="D4" s="244" t="n"/>
      <c r="E4" s="244" t="n"/>
      <c r="F4" s="244" t="n"/>
      <c r="G4" s="244" t="n"/>
      <c r="H4" s="244" t="n"/>
      <c r="I4" s="245" t="n"/>
      <c r="J4" s="243" t="n"/>
      <c r="K4" s="245" t="n"/>
    </row>
    <row r="5" ht="13.7" customHeight="1" s="566">
      <c r="A5" s="243" t="n"/>
      <c r="B5" s="734" t="n"/>
      <c r="C5" s="734" t="n"/>
      <c r="D5" s="244" t="n"/>
      <c r="E5" s="244" t="n"/>
      <c r="F5" s="244" t="n"/>
      <c r="G5" s="244" t="n"/>
      <c r="H5" s="244" t="n"/>
      <c r="I5" s="245" t="n"/>
      <c r="J5" s="243" t="n"/>
      <c r="K5" s="245" t="n"/>
    </row>
    <row r="6" ht="13.7" customHeight="1" s="566">
      <c r="A6" s="243" t="n"/>
      <c r="B6" s="734" t="n"/>
      <c r="C6" s="734" t="n"/>
      <c r="D6" s="244" t="n"/>
      <c r="E6" s="244" t="n"/>
      <c r="F6" s="244" t="n"/>
      <c r="G6" s="244" t="n"/>
      <c r="H6" s="244" t="n"/>
      <c r="I6" s="245" t="n"/>
      <c r="J6" s="243" t="n"/>
      <c r="K6" s="245" t="n"/>
    </row>
    <row r="7" ht="13.7" customHeight="1" s="566">
      <c r="A7" s="243" t="n"/>
      <c r="B7" s="734" t="n"/>
      <c r="C7" s="734" t="n"/>
      <c r="D7" s="244" t="n"/>
      <c r="E7" s="244" t="n"/>
      <c r="F7" s="244" t="n"/>
      <c r="G7" s="244" t="n"/>
      <c r="H7" s="244" t="n"/>
      <c r="I7" s="245" t="n"/>
      <c r="J7" s="243" t="n"/>
      <c r="K7" s="245" t="n"/>
    </row>
    <row r="8" ht="13.7" customHeight="1" s="566">
      <c r="A8" s="243" t="n"/>
      <c r="B8" s="734" t="n"/>
      <c r="C8" s="734" t="n"/>
      <c r="D8" s="244" t="n"/>
      <c r="E8" s="244" t="n"/>
      <c r="F8" s="244" t="n"/>
      <c r="G8" s="244" t="n"/>
      <c r="H8" s="244" t="n"/>
      <c r="I8" s="245" t="n"/>
      <c r="J8" s="243" t="n"/>
      <c r="K8" s="245" t="n"/>
    </row>
    <row r="9" ht="13.7" customHeight="1" s="566">
      <c r="A9" s="243" t="n"/>
      <c r="B9" s="734" t="n"/>
      <c r="C9" s="734" t="n"/>
      <c r="D9" s="244" t="n"/>
      <c r="E9" s="244" t="n"/>
      <c r="F9" s="244" t="n"/>
      <c r="G9" s="244" t="n"/>
      <c r="H9" s="244" t="n"/>
      <c r="I9" s="245" t="n"/>
      <c r="J9" s="243" t="n"/>
      <c r="K9" s="245" t="n"/>
    </row>
    <row r="10" ht="13.7" customHeight="1" s="566">
      <c r="A10" s="243" t="n"/>
      <c r="B10" s="734" t="n"/>
      <c r="C10" s="734" t="n"/>
      <c r="D10" s="244" t="n"/>
      <c r="E10" s="244" t="n"/>
      <c r="F10" s="244" t="n"/>
      <c r="G10" s="244" t="n"/>
      <c r="H10" s="244" t="n"/>
      <c r="I10" s="245" t="n"/>
      <c r="J10" s="243" t="n"/>
      <c r="K10" s="245" t="n"/>
    </row>
    <row r="11" ht="13.7" customHeight="1" s="566">
      <c r="A11" s="243" t="n"/>
      <c r="B11" s="734" t="n"/>
      <c r="C11" s="734" t="n"/>
      <c r="D11" s="244" t="n"/>
      <c r="E11" s="244" t="n"/>
      <c r="F11" s="244" t="n"/>
      <c r="G11" s="244" t="n"/>
      <c r="H11" s="244" t="n"/>
      <c r="I11" s="245" t="n"/>
      <c r="J11" s="243" t="n"/>
      <c r="K11" s="245" t="n"/>
    </row>
    <row r="12" ht="13.7" customHeight="1" s="566">
      <c r="A12" s="243" t="n"/>
      <c r="B12" s="734" t="n"/>
      <c r="C12" s="734" t="n"/>
      <c r="D12" s="244" t="n"/>
      <c r="E12" s="244" t="n"/>
      <c r="F12" s="244" t="n"/>
      <c r="G12" s="244" t="n"/>
      <c r="H12" s="244" t="n"/>
      <c r="I12" s="245" t="n"/>
      <c r="J12" s="243" t="n"/>
      <c r="K12" s="245" t="n"/>
    </row>
    <row r="13" ht="13.7" customHeight="1" s="566">
      <c r="A13" s="243" t="n"/>
      <c r="B13" s="734" t="n"/>
      <c r="C13" s="734" t="n"/>
      <c r="D13" s="244" t="n"/>
      <c r="E13" s="244" t="n"/>
      <c r="F13" s="244" t="n"/>
      <c r="G13" s="244" t="n"/>
      <c r="H13" s="244" t="n"/>
      <c r="I13" s="245" t="n"/>
      <c r="J13" s="243" t="n"/>
      <c r="K13" s="245" t="n"/>
    </row>
    <row r="14" ht="13.7" customHeight="1" s="566">
      <c r="A14" s="243" t="n"/>
      <c r="B14" s="734" t="n"/>
      <c r="C14" s="734" t="n"/>
      <c r="D14" s="244" t="n"/>
      <c r="E14" s="244" t="n"/>
      <c r="F14" s="244" t="n"/>
      <c r="G14" s="244" t="n"/>
      <c r="H14" s="244" t="n"/>
      <c r="I14" s="245" t="n"/>
      <c r="J14" s="243" t="n"/>
      <c r="K14" s="245" t="n"/>
    </row>
    <row r="15" ht="13.7" customHeight="1" s="566">
      <c r="A15" s="243" t="n"/>
      <c r="B15" s="734" t="n"/>
      <c r="C15" s="734" t="n"/>
      <c r="D15" s="244" t="n"/>
      <c r="E15" s="244" t="n"/>
      <c r="F15" s="244" t="n"/>
      <c r="G15" s="244" t="n"/>
      <c r="H15" s="244" t="n"/>
      <c r="I15" s="245" t="n"/>
      <c r="J15" s="243" t="n"/>
      <c r="K15" s="245" t="n"/>
    </row>
    <row r="16" ht="13.7" customHeight="1" s="566">
      <c r="A16" s="243" t="n"/>
      <c r="B16" s="734" t="n"/>
      <c r="C16" s="734" t="n"/>
      <c r="D16" s="244" t="n"/>
      <c r="E16" s="244" t="n"/>
      <c r="F16" s="244" t="n"/>
      <c r="G16" s="244" t="n"/>
      <c r="H16" s="244" t="n"/>
      <c r="I16" s="245" t="n"/>
      <c r="J16" s="243" t="n"/>
      <c r="K16" s="245" t="n"/>
    </row>
    <row r="17" ht="13.7" customHeight="1" s="566">
      <c r="A17" s="243" t="n"/>
      <c r="B17" s="734" t="n"/>
      <c r="C17" s="734" t="n"/>
      <c r="D17" s="244" t="n"/>
      <c r="E17" s="244" t="n"/>
      <c r="F17" s="244" t="n"/>
      <c r="G17" s="244" t="n"/>
      <c r="H17" s="244" t="n"/>
      <c r="I17" s="245" t="n"/>
      <c r="J17" s="243" t="n"/>
      <c r="K17" s="245" t="n"/>
    </row>
    <row r="18" ht="13.7" customHeight="1" s="566">
      <c r="A18" s="243" t="n"/>
      <c r="B18" s="734" t="n"/>
      <c r="C18" s="734" t="n"/>
      <c r="D18" s="244" t="n"/>
      <c r="E18" s="244" t="n"/>
      <c r="F18" s="244" t="n"/>
      <c r="G18" s="244" t="n"/>
      <c r="H18" s="244" t="n"/>
      <c r="I18" s="245" t="n"/>
      <c r="J18" s="243" t="n"/>
      <c r="K18" s="245" t="n"/>
    </row>
    <row r="19" ht="13.7" customHeight="1" s="566">
      <c r="A19" s="243" t="n"/>
      <c r="B19" s="734" t="n"/>
      <c r="C19" s="734" t="n"/>
      <c r="D19" s="244" t="n"/>
      <c r="E19" s="244" t="n"/>
      <c r="F19" s="244" t="n"/>
      <c r="G19" s="244" t="n"/>
      <c r="H19" s="244" t="n"/>
      <c r="I19" s="245" t="n"/>
      <c r="J19" s="243" t="n"/>
      <c r="K19" s="245" t="n"/>
    </row>
    <row r="20" ht="13.7" customHeight="1" s="566">
      <c r="A20" s="243" t="n"/>
      <c r="B20" s="734" t="n"/>
      <c r="C20" s="734" t="n"/>
      <c r="D20" s="244" t="n"/>
      <c r="E20" s="244" t="n"/>
      <c r="F20" s="244" t="n"/>
      <c r="G20" s="244" t="n"/>
      <c r="H20" s="244" t="n"/>
      <c r="I20" s="245" t="n"/>
      <c r="J20" s="243" t="n"/>
      <c r="K20" s="245" t="n"/>
    </row>
    <row r="21" ht="13.7" customHeight="1" s="566">
      <c r="A21" s="243" t="n"/>
      <c r="B21" s="734" t="n"/>
      <c r="C21" s="734" t="n"/>
      <c r="D21" s="244" t="n"/>
      <c r="E21" s="244" t="n"/>
      <c r="F21" s="244" t="n"/>
      <c r="G21" s="244" t="n"/>
      <c r="H21" s="244" t="n"/>
      <c r="I21" s="245" t="n"/>
      <c r="J21" s="243" t="n"/>
      <c r="K21" s="245" t="n"/>
    </row>
    <row r="22" ht="13.7" customHeight="1" s="566">
      <c r="A22" s="243" t="n"/>
      <c r="B22" s="734" t="n"/>
      <c r="C22" s="734" t="n"/>
      <c r="D22" s="244" t="n"/>
      <c r="E22" s="244" t="n"/>
      <c r="F22" s="244" t="n"/>
      <c r="G22" s="244" t="n"/>
      <c r="H22" s="244" t="n"/>
      <c r="I22" s="245" t="n"/>
      <c r="J22" s="243" t="n"/>
      <c r="K22" s="245" t="n"/>
    </row>
    <row r="23" ht="13.7" customHeight="1" s="566">
      <c r="A23" s="243" t="n"/>
      <c r="B23" s="734" t="n"/>
      <c r="C23" s="734" t="n"/>
      <c r="D23" s="244" t="n"/>
      <c r="E23" s="244" t="n"/>
      <c r="F23" s="244" t="n"/>
      <c r="G23" s="244" t="n"/>
      <c r="H23" s="244" t="n"/>
      <c r="I23" s="245" t="n"/>
      <c r="J23" s="243" t="n"/>
      <c r="K23" s="245" t="n"/>
    </row>
    <row r="24" ht="13.7" customHeight="1" s="566">
      <c r="A24" s="243" t="n"/>
      <c r="B24" s="734" t="n"/>
      <c r="C24" s="734" t="n"/>
      <c r="D24" s="244" t="n"/>
      <c r="E24" s="244" t="n"/>
      <c r="F24" s="244" t="n"/>
      <c r="G24" s="244" t="n"/>
      <c r="H24" s="244" t="n"/>
      <c r="I24" s="245" t="n"/>
      <c r="J24" s="243" t="n"/>
      <c r="K24" s="245" t="n"/>
    </row>
    <row r="25" ht="13.7" customHeight="1" s="566">
      <c r="A25" s="243" t="n"/>
      <c r="B25" s="734" t="n"/>
      <c r="C25" s="734" t="n"/>
      <c r="D25" s="244" t="n"/>
      <c r="E25" s="244" t="n"/>
      <c r="F25" s="244" t="n"/>
      <c r="G25" s="244" t="n"/>
      <c r="H25" s="244" t="n"/>
      <c r="I25" s="245" t="n"/>
      <c r="J25" s="243" t="n"/>
      <c r="K25" s="245" t="n"/>
    </row>
    <row r="26" ht="13.7" customHeight="1" s="566">
      <c r="A26" s="243" t="n"/>
      <c r="B26" s="734" t="n"/>
      <c r="C26" s="734" t="n"/>
      <c r="D26" s="244" t="n"/>
      <c r="E26" s="244" t="n"/>
      <c r="F26" s="244" t="n"/>
      <c r="G26" s="244" t="n"/>
      <c r="H26" s="244" t="n"/>
      <c r="I26" s="245" t="n"/>
      <c r="J26" s="243" t="n"/>
      <c r="K26" s="245" t="n"/>
    </row>
    <row r="27" ht="13.7" customHeight="1" s="566">
      <c r="A27" s="243" t="n"/>
      <c r="B27" s="734" t="n"/>
      <c r="C27" s="734" t="n"/>
      <c r="D27" s="244" t="n"/>
      <c r="E27" s="244" t="n"/>
      <c r="F27" s="244" t="n"/>
      <c r="G27" s="244" t="n"/>
      <c r="H27" s="244" t="n"/>
      <c r="I27" s="245" t="n"/>
      <c r="J27" s="243" t="n"/>
      <c r="K27" s="245" t="n"/>
    </row>
    <row r="28" ht="13.7" customHeight="1" s="566">
      <c r="A28" s="243" t="n"/>
      <c r="B28" s="734" t="n"/>
      <c r="C28" s="734" t="n"/>
      <c r="D28" s="244" t="n"/>
      <c r="E28" s="244" t="n"/>
      <c r="F28" s="244" t="n"/>
      <c r="G28" s="244" t="n"/>
      <c r="H28" s="244" t="n"/>
      <c r="I28" s="245" t="n"/>
      <c r="J28" s="243" t="n"/>
      <c r="K28" s="245" t="n"/>
    </row>
    <row r="29" ht="13.7" customHeight="1" s="566">
      <c r="A29" s="243" t="n"/>
      <c r="B29" s="734" t="n"/>
      <c r="C29" s="734" t="n"/>
      <c r="D29" s="244" t="n"/>
      <c r="E29" s="244" t="n"/>
      <c r="F29" s="244" t="n"/>
      <c r="G29" s="244" t="n"/>
      <c r="H29" s="244" t="n"/>
      <c r="I29" s="245" t="n"/>
      <c r="J29" s="243" t="n"/>
      <c r="K29" s="245" t="n"/>
    </row>
    <row r="30" ht="13.7" customHeight="1" s="566">
      <c r="A30" s="243" t="n"/>
      <c r="B30" s="734" t="n"/>
      <c r="C30" s="734" t="n"/>
      <c r="D30" s="244" t="n"/>
      <c r="E30" s="244" t="n"/>
      <c r="F30" s="244" t="n"/>
      <c r="G30" s="244" t="n"/>
      <c r="H30" s="244" t="n"/>
      <c r="I30" s="245" t="n"/>
      <c r="J30" s="243" t="n"/>
      <c r="K30" s="245" t="n"/>
    </row>
    <row r="31" ht="13.7" customHeight="1" s="566">
      <c r="A31" s="243" t="n"/>
      <c r="B31" s="734" t="n"/>
      <c r="C31" s="734" t="n"/>
      <c r="D31" s="244" t="n"/>
      <c r="E31" s="244" t="n"/>
      <c r="F31" s="244" t="n"/>
      <c r="G31" s="244" t="n"/>
      <c r="H31" s="244" t="n"/>
      <c r="I31" s="245" t="n"/>
      <c r="J31" s="243" t="n"/>
      <c r="K31" s="245" t="n"/>
    </row>
    <row r="32" ht="13.7" customHeight="1" s="566">
      <c r="A32" s="243" t="n"/>
      <c r="B32" s="734" t="n"/>
      <c r="C32" s="734" t="n"/>
      <c r="D32" s="244" t="n"/>
      <c r="E32" s="244" t="n"/>
      <c r="F32" s="244" t="n"/>
      <c r="G32" s="244" t="n"/>
      <c r="H32" s="244" t="n"/>
      <c r="I32" s="245" t="n"/>
      <c r="J32" s="243" t="n"/>
      <c r="K32" s="245" t="n"/>
    </row>
    <row r="33" ht="13.7" customHeight="1" s="566">
      <c r="A33" s="243" t="n"/>
      <c r="B33" s="734" t="n"/>
      <c r="C33" s="734" t="n"/>
      <c r="D33" s="244" t="n"/>
      <c r="E33" s="244" t="n"/>
      <c r="F33" s="244" t="n"/>
      <c r="G33" s="244" t="n"/>
      <c r="H33" s="244" t="n"/>
      <c r="I33" s="245" t="n"/>
      <c r="J33" s="243" t="n"/>
      <c r="K33" s="245" t="n"/>
    </row>
    <row r="34" ht="13.7" customHeight="1" s="566">
      <c r="A34" s="243" t="n"/>
      <c r="B34" s="734" t="n"/>
      <c r="C34" s="734" t="n"/>
      <c r="D34" s="244" t="n"/>
      <c r="E34" s="244" t="n"/>
      <c r="F34" s="244" t="n"/>
      <c r="G34" s="244" t="n"/>
      <c r="H34" s="244" t="n"/>
      <c r="I34" s="245" t="n"/>
      <c r="J34" s="243" t="n"/>
      <c r="K34" s="245" t="n"/>
    </row>
    <row r="35" ht="13.7" customHeight="1" s="566">
      <c r="A35" s="243" t="n"/>
      <c r="B35" s="734" t="n"/>
      <c r="C35" s="734" t="n"/>
      <c r="D35" s="244" t="n"/>
      <c r="E35" s="244" t="n"/>
      <c r="F35" s="244" t="n"/>
      <c r="G35" s="244" t="n"/>
      <c r="H35" s="244" t="n"/>
      <c r="I35" s="245" t="n"/>
      <c r="J35" s="243" t="n"/>
      <c r="K35" s="245" t="n"/>
    </row>
    <row r="36" ht="13.7" customHeight="1" s="566">
      <c r="A36" s="243" t="n"/>
      <c r="B36" s="734" t="n"/>
      <c r="C36" s="734" t="n"/>
      <c r="D36" s="244" t="n"/>
      <c r="E36" s="244" t="n"/>
      <c r="F36" s="244" t="n"/>
      <c r="G36" s="244" t="n"/>
      <c r="H36" s="244" t="n"/>
      <c r="I36" s="245" t="n"/>
      <c r="J36" s="243" t="n"/>
      <c r="K36" s="245" t="n"/>
    </row>
    <row r="37" ht="13.7" customHeight="1" s="566">
      <c r="A37" s="243" t="n"/>
      <c r="B37" s="734" t="n"/>
      <c r="C37" s="734" t="n"/>
      <c r="D37" s="244" t="n"/>
      <c r="E37" s="244" t="n"/>
      <c r="F37" s="244" t="n"/>
      <c r="G37" s="244" t="n"/>
      <c r="H37" s="244" t="n"/>
      <c r="I37" s="245" t="n"/>
      <c r="J37" s="243" t="n"/>
      <c r="K37" s="245" t="n"/>
    </row>
    <row r="38" ht="13.7" customHeight="1" s="566">
      <c r="A38" s="243" t="n"/>
      <c r="B38" s="734" t="n"/>
      <c r="C38" s="734" t="n"/>
      <c r="D38" s="244" t="n"/>
      <c r="E38" s="244" t="n"/>
      <c r="F38" s="244" t="n"/>
      <c r="G38" s="244" t="n"/>
      <c r="H38" s="244" t="n"/>
      <c r="I38" s="245" t="n"/>
      <c r="J38" s="243" t="n"/>
      <c r="K38" s="245" t="n"/>
    </row>
    <row r="39" ht="13.7" customHeight="1" s="566">
      <c r="A39" s="243" t="n"/>
      <c r="B39" s="734" t="n"/>
      <c r="C39" s="734" t="n"/>
      <c r="D39" s="244" t="n"/>
      <c r="E39" s="244" t="n"/>
      <c r="F39" s="244" t="n"/>
      <c r="G39" s="244" t="n"/>
      <c r="H39" s="244" t="n"/>
      <c r="I39" s="245" t="n"/>
      <c r="J39" s="243" t="n"/>
      <c r="K39" s="245" t="n"/>
    </row>
    <row r="40" ht="13.7" customHeight="1" s="566">
      <c r="A40" s="243" t="n"/>
      <c r="B40" s="734" t="n"/>
      <c r="C40" s="734" t="n"/>
      <c r="D40" s="244" t="n"/>
      <c r="E40" s="244" t="n"/>
      <c r="F40" s="244" t="n"/>
      <c r="G40" s="244" t="n"/>
      <c r="H40" s="244" t="n"/>
      <c r="I40" s="245" t="n"/>
      <c r="J40" s="243" t="n"/>
      <c r="K40" s="245" t="n"/>
    </row>
    <row r="41" ht="13.7" customHeight="1" s="566">
      <c r="A41" s="243" t="n"/>
      <c r="B41" s="734" t="n"/>
      <c r="C41" s="734" t="n"/>
      <c r="D41" s="244" t="n"/>
      <c r="E41" s="244" t="n"/>
      <c r="F41" s="244" t="n"/>
      <c r="G41" s="244" t="n"/>
      <c r="H41" s="244" t="n"/>
      <c r="I41" s="245" t="n"/>
      <c r="J41" s="243" t="n"/>
      <c r="K41" s="245" t="n"/>
    </row>
    <row r="42" ht="13.7" customHeight="1" s="566">
      <c r="A42" s="243" t="n"/>
      <c r="B42" s="734" t="n"/>
      <c r="C42" s="734" t="n"/>
      <c r="D42" s="244" t="n"/>
      <c r="E42" s="244" t="n"/>
      <c r="F42" s="244" t="n"/>
      <c r="G42" s="244" t="n"/>
      <c r="H42" s="244" t="n"/>
      <c r="I42" s="245" t="n"/>
      <c r="J42" s="243" t="n"/>
      <c r="K42" s="245" t="n"/>
    </row>
    <row r="43" ht="13.7" customHeight="1" s="566">
      <c r="A43" s="243" t="n"/>
      <c r="B43" s="734" t="n"/>
      <c r="C43" s="734" t="n"/>
      <c r="D43" s="244" t="n"/>
      <c r="E43" s="244" t="n"/>
      <c r="F43" s="244" t="n"/>
      <c r="G43" s="244" t="n"/>
      <c r="H43" s="244" t="n"/>
      <c r="I43" s="245" t="n"/>
      <c r="J43" s="243" t="n"/>
      <c r="K43" s="245" t="n"/>
    </row>
    <row r="44" ht="13.7" customHeight="1" s="566">
      <c r="A44" s="243" t="n"/>
      <c r="B44" s="734" t="n"/>
      <c r="C44" s="734" t="n"/>
      <c r="D44" s="244" t="n"/>
      <c r="E44" s="244" t="n"/>
      <c r="F44" s="244" t="n"/>
      <c r="G44" s="244" t="n"/>
      <c r="H44" s="244" t="n"/>
      <c r="I44" s="245" t="n"/>
      <c r="J44" s="243" t="n"/>
      <c r="K44" s="245" t="n"/>
    </row>
    <row r="45" ht="13.7" customHeight="1" s="566">
      <c r="A45" s="243" t="n"/>
      <c r="B45" s="734" t="n"/>
      <c r="C45" s="734" t="n"/>
      <c r="D45" s="244" t="n"/>
      <c r="E45" s="244" t="n"/>
      <c r="F45" s="244" t="n"/>
      <c r="G45" s="244" t="n"/>
      <c r="H45" s="244" t="n"/>
      <c r="I45" s="245" t="n"/>
      <c r="J45" s="243" t="n"/>
      <c r="K45" s="245" t="n"/>
    </row>
    <row r="46" ht="13.7" customHeight="1" s="566">
      <c r="A46" s="243" t="n"/>
      <c r="B46" s="734" t="n"/>
      <c r="C46" s="734" t="n"/>
      <c r="D46" s="244" t="n"/>
      <c r="E46" s="244" t="n"/>
      <c r="F46" s="244" t="n"/>
      <c r="G46" s="244" t="n"/>
      <c r="H46" s="244" t="n"/>
      <c r="I46" s="245" t="n"/>
      <c r="J46" s="243" t="n"/>
      <c r="K46" s="245" t="n"/>
    </row>
    <row r="47" ht="13.7" customHeight="1" s="566">
      <c r="A47" s="243" t="n"/>
      <c r="B47" s="734" t="n"/>
      <c r="C47" s="734" t="n"/>
      <c r="D47" s="244" t="n"/>
      <c r="E47" s="244" t="n"/>
      <c r="F47" s="244" t="n"/>
      <c r="G47" s="244" t="n"/>
      <c r="H47" s="244" t="n"/>
      <c r="I47" s="245" t="n"/>
      <c r="J47" s="243" t="n"/>
      <c r="K47" s="245" t="n"/>
    </row>
    <row r="48" ht="13.7" customHeight="1" s="566">
      <c r="A48" s="243" t="n"/>
      <c r="B48" s="734" t="n"/>
      <c r="C48" s="734" t="n"/>
      <c r="D48" s="244" t="n"/>
      <c r="E48" s="244" t="n"/>
      <c r="F48" s="244" t="n"/>
      <c r="G48" s="244" t="n"/>
      <c r="H48" s="244" t="n"/>
      <c r="I48" s="245" t="n"/>
      <c r="J48" s="243" t="n"/>
      <c r="K48" s="245" t="n"/>
    </row>
    <row r="49" ht="13.7" customHeight="1" s="566">
      <c r="A49" s="243" t="n"/>
      <c r="B49" s="734" t="n"/>
      <c r="C49" s="734" t="n"/>
      <c r="D49" s="244" t="n"/>
      <c r="E49" s="244" t="n"/>
      <c r="F49" s="244" t="n"/>
      <c r="G49" s="244" t="n"/>
      <c r="H49" s="244" t="n"/>
      <c r="I49" s="245" t="n"/>
      <c r="J49" s="243" t="n"/>
      <c r="K49" s="245" t="n"/>
    </row>
    <row r="50" ht="13.7" customHeight="1" s="566">
      <c r="A50" s="243" t="n"/>
      <c r="B50" s="734" t="n"/>
      <c r="C50" s="734" t="n"/>
      <c r="D50" s="244" t="n"/>
      <c r="E50" s="244" t="n"/>
      <c r="F50" s="244" t="n"/>
      <c r="G50" s="244" t="n"/>
      <c r="H50" s="244" t="n"/>
      <c r="I50" s="245" t="n"/>
      <c r="J50" s="243" t="n"/>
      <c r="K50" s="245" t="n"/>
    </row>
    <row r="51" ht="13.7" customHeight="1" s="566">
      <c r="A51" s="243" t="n"/>
      <c r="B51" s="734" t="n"/>
      <c r="C51" s="734" t="n"/>
      <c r="D51" s="244" t="n"/>
      <c r="E51" s="244" t="n"/>
      <c r="F51" s="244" t="n"/>
      <c r="G51" s="244" t="n"/>
      <c r="H51" s="244" t="n"/>
      <c r="I51" s="245" t="n"/>
      <c r="J51" s="243" t="n"/>
      <c r="K51" s="245" t="n"/>
    </row>
    <row r="52" ht="13.7" customHeight="1" s="566">
      <c r="A52" s="243" t="n"/>
      <c r="B52" s="734" t="n"/>
      <c r="C52" s="734" t="n"/>
      <c r="D52" s="244" t="n"/>
      <c r="E52" s="244" t="n"/>
      <c r="F52" s="244" t="n"/>
      <c r="G52" s="244" t="n"/>
      <c r="H52" s="244" t="n"/>
      <c r="I52" s="245" t="n"/>
      <c r="J52" s="243" t="n"/>
      <c r="K52" s="245" t="n"/>
    </row>
    <row r="53" ht="13.7" customHeight="1" s="566">
      <c r="A53" s="243" t="n"/>
      <c r="B53" s="734" t="n"/>
      <c r="C53" s="734" t="n"/>
      <c r="D53" s="244" t="n"/>
      <c r="E53" s="244" t="n"/>
      <c r="F53" s="244" t="n"/>
      <c r="G53" s="244" t="n"/>
      <c r="H53" s="244" t="n"/>
      <c r="I53" s="245" t="n"/>
      <c r="J53" s="243" t="n"/>
      <c r="K53" s="245" t="n"/>
    </row>
    <row r="54" ht="13.7" customHeight="1" s="566">
      <c r="A54" s="243" t="n"/>
      <c r="B54" s="734" t="n"/>
      <c r="C54" s="734" t="n"/>
      <c r="D54" s="244" t="n"/>
      <c r="E54" s="244" t="n"/>
      <c r="F54" s="244" t="n"/>
      <c r="G54" s="244" t="n"/>
      <c r="H54" s="244" t="n"/>
      <c r="I54" s="245" t="n"/>
      <c r="J54" s="243" t="n"/>
      <c r="K54" s="245" t="n"/>
    </row>
    <row r="55" ht="13.7" customHeight="1" s="566">
      <c r="A55" s="243" t="n"/>
      <c r="B55" s="734" t="n"/>
      <c r="C55" s="734" t="n"/>
      <c r="D55" s="244" t="n"/>
      <c r="E55" s="244" t="n"/>
      <c r="F55" s="244" t="n"/>
      <c r="G55" s="244" t="n"/>
      <c r="H55" s="244" t="n"/>
      <c r="I55" s="245" t="n"/>
      <c r="J55" s="243" t="n"/>
      <c r="K55" s="245" t="n"/>
    </row>
    <row r="56" ht="13.7" customHeight="1" s="566">
      <c r="A56" s="243" t="n"/>
      <c r="B56" s="734" t="n"/>
      <c r="C56" s="734" t="n"/>
      <c r="D56" s="244" t="n"/>
      <c r="E56" s="244" t="n"/>
      <c r="F56" s="244" t="n"/>
      <c r="G56" s="244" t="n"/>
      <c r="H56" s="244" t="n"/>
      <c r="I56" s="245" t="n"/>
      <c r="J56" s="243" t="n"/>
      <c r="K56" s="245" t="n"/>
    </row>
    <row r="57" ht="13.7" customHeight="1" s="566">
      <c r="A57" s="243" t="n"/>
      <c r="B57" s="734" t="n"/>
      <c r="C57" s="734" t="n"/>
      <c r="D57" s="244" t="n"/>
      <c r="E57" s="244" t="n"/>
      <c r="F57" s="244" t="n"/>
      <c r="G57" s="244" t="n"/>
      <c r="H57" s="244" t="n"/>
      <c r="I57" s="245" t="n"/>
      <c r="J57" s="243" t="n"/>
      <c r="K57" s="245" t="n"/>
    </row>
    <row r="58" ht="13.7" customHeight="1" s="566">
      <c r="A58" s="243" t="n"/>
      <c r="B58" s="734" t="n"/>
      <c r="C58" s="734" t="n"/>
      <c r="D58" s="244" t="n"/>
      <c r="E58" s="244" t="n"/>
      <c r="F58" s="244" t="n"/>
      <c r="G58" s="244" t="n"/>
      <c r="H58" s="244" t="n"/>
      <c r="I58" s="245" t="n"/>
      <c r="J58" s="243" t="n"/>
      <c r="K58" s="245" t="n"/>
    </row>
    <row r="59" ht="13.7" customHeight="1" s="566">
      <c r="A59" s="243" t="n"/>
      <c r="B59" s="734" t="n"/>
      <c r="C59" s="734" t="n"/>
      <c r="D59" s="244" t="n"/>
      <c r="E59" s="244" t="n"/>
      <c r="F59" s="244" t="n"/>
      <c r="G59" s="244" t="n"/>
      <c r="H59" s="244" t="n"/>
      <c r="I59" s="245" t="n"/>
      <c r="J59" s="243" t="n"/>
      <c r="K59" s="245" t="n"/>
    </row>
    <row r="60" ht="13.7" customHeight="1" s="566">
      <c r="A60" s="243" t="n"/>
      <c r="B60" s="734" t="n"/>
      <c r="C60" s="734" t="n"/>
      <c r="D60" s="244" t="n"/>
      <c r="E60" s="244" t="n"/>
      <c r="F60" s="244" t="n"/>
      <c r="G60" s="244" t="n"/>
      <c r="H60" s="244" t="n"/>
      <c r="I60" s="245" t="n"/>
      <c r="J60" s="243" t="n"/>
      <c r="K60" s="245" t="n"/>
    </row>
    <row r="61" ht="13.7" customHeight="1" s="566">
      <c r="A61" s="243" t="n"/>
      <c r="B61" s="734" t="n"/>
      <c r="C61" s="734" t="n"/>
      <c r="D61" s="244" t="n"/>
      <c r="E61" s="244" t="n"/>
      <c r="F61" s="244" t="n"/>
      <c r="G61" s="244" t="n"/>
      <c r="H61" s="244" t="n"/>
      <c r="I61" s="245" t="n"/>
      <c r="J61" s="243" t="n"/>
      <c r="K61" s="245" t="n"/>
    </row>
    <row r="62" ht="13.7" customHeight="1" s="566">
      <c r="A62" s="243" t="n"/>
      <c r="B62" s="734" t="n"/>
      <c r="C62" s="734" t="n"/>
      <c r="D62" s="244" t="n"/>
      <c r="E62" s="244" t="n"/>
      <c r="F62" s="244" t="n"/>
      <c r="G62" s="244" t="n"/>
      <c r="H62" s="244" t="n"/>
      <c r="I62" s="245" t="n"/>
      <c r="J62" s="243" t="n"/>
      <c r="K62" s="245" t="n"/>
    </row>
    <row r="63" ht="13.7" customHeight="1" s="566">
      <c r="A63" s="243" t="n"/>
      <c r="B63" s="734" t="n"/>
      <c r="C63" s="734" t="n"/>
      <c r="D63" s="244" t="n"/>
      <c r="E63" s="244" t="n"/>
      <c r="F63" s="244" t="n"/>
      <c r="G63" s="244" t="n"/>
      <c r="H63" s="244" t="n"/>
      <c r="I63" s="245" t="n"/>
      <c r="J63" s="243" t="n"/>
      <c r="K63" s="245" t="n"/>
    </row>
    <row r="64" ht="13.7" customHeight="1" s="566">
      <c r="A64" s="243" t="n"/>
      <c r="B64" s="734" t="n"/>
      <c r="C64" s="734" t="n"/>
      <c r="D64" s="244" t="n"/>
      <c r="E64" s="244" t="n"/>
      <c r="F64" s="244" t="n"/>
      <c r="G64" s="244" t="n"/>
      <c r="H64" s="244" t="n"/>
      <c r="I64" s="245" t="n"/>
      <c r="J64" s="243" t="n"/>
      <c r="K64" s="245" t="n"/>
    </row>
    <row r="65" ht="13.7" customHeight="1" s="566">
      <c r="A65" s="243" t="n"/>
      <c r="B65" s="734" t="n"/>
      <c r="C65" s="734" t="n"/>
      <c r="D65" s="244" t="n"/>
      <c r="E65" s="244" t="n"/>
      <c r="F65" s="244" t="n"/>
      <c r="G65" s="244" t="n"/>
      <c r="H65" s="244" t="n"/>
      <c r="I65" s="245" t="n"/>
      <c r="J65" s="243" t="n"/>
      <c r="K65" s="245" t="n"/>
    </row>
    <row r="66" ht="13.7" customHeight="1" s="566">
      <c r="A66" s="243" t="n"/>
      <c r="B66" s="734" t="n"/>
      <c r="C66" s="734" t="n"/>
      <c r="D66" s="244" t="n"/>
      <c r="E66" s="244" t="n"/>
      <c r="F66" s="244" t="n"/>
      <c r="G66" s="244" t="n"/>
      <c r="H66" s="244" t="n"/>
      <c r="I66" s="245" t="n"/>
      <c r="J66" s="243" t="n"/>
      <c r="K66" s="245" t="n"/>
    </row>
    <row r="67" ht="13.7" customHeight="1" s="566">
      <c r="A67" s="243" t="n"/>
      <c r="B67" s="734" t="n"/>
      <c r="C67" s="734" t="n"/>
      <c r="D67" s="244" t="n"/>
      <c r="E67" s="244" t="n"/>
      <c r="F67" s="244" t="n"/>
      <c r="G67" s="244" t="n"/>
      <c r="H67" s="244" t="n"/>
      <c r="I67" s="245" t="n"/>
      <c r="J67" s="243" t="n"/>
      <c r="K67" s="245" t="n"/>
    </row>
    <row r="68" ht="13.7" customHeight="1" s="566">
      <c r="A68" s="243" t="n"/>
      <c r="B68" s="734" t="n"/>
      <c r="C68" s="734" t="n"/>
      <c r="D68" s="244" t="n"/>
      <c r="E68" s="244" t="n"/>
      <c r="F68" s="244" t="n"/>
      <c r="G68" s="244" t="n"/>
      <c r="H68" s="244" t="n"/>
      <c r="I68" s="245" t="n"/>
      <c r="J68" s="243" t="n"/>
      <c r="K68" s="245" t="n"/>
    </row>
    <row r="69" ht="13.7" customHeight="1" s="566">
      <c r="A69" s="243" t="n"/>
      <c r="B69" s="734" t="n"/>
      <c r="C69" s="734" t="n"/>
      <c r="D69" s="244" t="n"/>
      <c r="E69" s="244" t="n"/>
      <c r="F69" s="244" t="n"/>
      <c r="G69" s="244" t="n"/>
      <c r="H69" s="244" t="n"/>
      <c r="I69" s="245" t="n"/>
      <c r="J69" s="243" t="n"/>
      <c r="K69" s="245" t="n"/>
    </row>
    <row r="70" ht="13.7" customHeight="1" s="566">
      <c r="A70" s="243" t="n"/>
      <c r="B70" s="734" t="n"/>
      <c r="C70" s="734" t="n"/>
      <c r="D70" s="244" t="n"/>
      <c r="E70" s="244" t="n"/>
      <c r="F70" s="244" t="n"/>
      <c r="G70" s="244" t="n"/>
      <c r="H70" s="244" t="n"/>
      <c r="I70" s="245" t="n"/>
      <c r="J70" s="243" t="n"/>
      <c r="K70" s="245" t="n"/>
    </row>
    <row r="71" ht="13.7" customHeight="1" s="566">
      <c r="A71" s="243" t="n"/>
      <c r="B71" s="734" t="n"/>
      <c r="C71" s="734" t="n"/>
      <c r="D71" s="244" t="n"/>
      <c r="E71" s="244" t="n"/>
      <c r="F71" s="244" t="n"/>
      <c r="G71" s="244" t="n"/>
      <c r="H71" s="244" t="n"/>
      <c r="I71" s="245" t="n"/>
      <c r="J71" s="243" t="n"/>
      <c r="K71" s="245" t="n"/>
    </row>
    <row r="72" ht="13.7" customHeight="1" s="566">
      <c r="A72" s="243" t="n"/>
      <c r="B72" s="734" t="n"/>
      <c r="C72" s="734" t="n"/>
      <c r="D72" s="244" t="n"/>
      <c r="E72" s="244" t="n"/>
      <c r="F72" s="244" t="n"/>
      <c r="G72" s="244" t="n"/>
      <c r="H72" s="244" t="n"/>
      <c r="I72" s="245" t="n"/>
      <c r="J72" s="243" t="n"/>
      <c r="K72" s="245" t="n"/>
    </row>
    <row r="73" ht="13.7" customHeight="1" s="566">
      <c r="A73" s="243" t="n"/>
      <c r="B73" s="734" t="n"/>
      <c r="C73" s="734" t="n"/>
      <c r="D73" s="244" t="n"/>
      <c r="E73" s="244" t="n"/>
      <c r="F73" s="244" t="n"/>
      <c r="G73" s="244" t="n"/>
      <c r="H73" s="244" t="n"/>
      <c r="I73" s="245" t="n"/>
      <c r="J73" s="243" t="n"/>
      <c r="K73" s="245" t="n"/>
    </row>
    <row r="74" ht="13.7" customHeight="1" s="566">
      <c r="A74" s="243" t="n"/>
      <c r="B74" s="734" t="n"/>
      <c r="C74" s="734" t="n"/>
      <c r="D74" s="244" t="n"/>
      <c r="E74" s="244" t="n"/>
      <c r="F74" s="244" t="n"/>
      <c r="G74" s="244" t="n"/>
      <c r="H74" s="244" t="n"/>
      <c r="I74" s="245" t="n"/>
      <c r="J74" s="243" t="n"/>
      <c r="K74" s="245" t="n"/>
    </row>
    <row r="75" ht="13.7" customHeight="1" s="566">
      <c r="A75" s="243" t="n"/>
      <c r="B75" s="734" t="n"/>
      <c r="C75" s="734" t="n"/>
      <c r="D75" s="244" t="n"/>
      <c r="E75" s="244" t="n"/>
      <c r="F75" s="244" t="n"/>
      <c r="G75" s="244" t="n"/>
      <c r="H75" s="244" t="n"/>
      <c r="I75" s="245" t="n"/>
      <c r="J75" s="243" t="n"/>
      <c r="K75" s="245" t="n"/>
    </row>
    <row r="76" ht="13.7" customHeight="1" s="566">
      <c r="A76" s="243" t="n"/>
      <c r="B76" s="734" t="n"/>
      <c r="C76" s="734" t="n"/>
      <c r="D76" s="244" t="n"/>
      <c r="E76" s="244" t="n"/>
      <c r="F76" s="244" t="n"/>
      <c r="G76" s="244" t="n"/>
      <c r="H76" s="244" t="n"/>
      <c r="I76" s="245" t="n"/>
      <c r="J76" s="243" t="n"/>
      <c r="K76" s="245" t="n"/>
    </row>
    <row r="77" ht="13.7" customHeight="1" s="566">
      <c r="A77" s="243" t="n"/>
      <c r="B77" s="734" t="n"/>
      <c r="C77" s="734" t="n"/>
      <c r="D77" s="244" t="n"/>
      <c r="E77" s="244" t="n"/>
      <c r="F77" s="244" t="n"/>
      <c r="G77" s="244" t="n"/>
      <c r="H77" s="244" t="n"/>
      <c r="I77" s="245" t="n"/>
      <c r="J77" s="243" t="n"/>
      <c r="K77" s="245" t="n"/>
    </row>
    <row r="78" ht="13.7" customHeight="1" s="566">
      <c r="A78" s="243" t="n"/>
      <c r="B78" s="734" t="n"/>
      <c r="C78" s="734" t="n"/>
      <c r="D78" s="244" t="n"/>
      <c r="E78" s="244" t="n"/>
      <c r="F78" s="244" t="n"/>
      <c r="G78" s="244" t="n"/>
      <c r="H78" s="244" t="n"/>
      <c r="I78" s="245" t="n"/>
      <c r="J78" s="243" t="n"/>
      <c r="K78" s="245" t="n"/>
    </row>
    <row r="79" ht="13.7" customHeight="1" s="566">
      <c r="A79" s="243" t="n"/>
      <c r="B79" s="734" t="n"/>
      <c r="C79" s="734" t="n"/>
      <c r="D79" s="244" t="n"/>
      <c r="E79" s="244" t="n"/>
      <c r="F79" s="244" t="n"/>
      <c r="G79" s="244" t="n"/>
      <c r="H79" s="244" t="n"/>
      <c r="I79" s="245" t="n"/>
      <c r="J79" s="243" t="n"/>
      <c r="K79" s="245" t="n"/>
    </row>
    <row r="80" ht="13.7" customHeight="1" s="566">
      <c r="A80" s="243" t="n"/>
      <c r="B80" s="734" t="n"/>
      <c r="C80" s="734" t="n"/>
      <c r="D80" s="244" t="n"/>
      <c r="E80" s="244" t="n"/>
      <c r="F80" s="244" t="n"/>
      <c r="G80" s="244" t="n"/>
      <c r="H80" s="244" t="n"/>
      <c r="I80" s="245" t="n"/>
      <c r="J80" s="243" t="n"/>
      <c r="K80" s="245" t="n"/>
    </row>
    <row r="81" ht="13.7" customHeight="1" s="566">
      <c r="A81" s="243" t="n"/>
      <c r="B81" s="734" t="n"/>
      <c r="C81" s="734" t="n"/>
      <c r="D81" s="244" t="n"/>
      <c r="E81" s="244" t="n"/>
      <c r="F81" s="244" t="n"/>
      <c r="G81" s="244" t="n"/>
      <c r="H81" s="244" t="n"/>
      <c r="I81" s="245" t="n"/>
      <c r="J81" s="243" t="n"/>
      <c r="K81" s="245" t="n"/>
    </row>
    <row r="82" ht="13.7" customHeight="1" s="566">
      <c r="A82" s="243" t="n"/>
      <c r="B82" s="734" t="n"/>
      <c r="C82" s="734" t="n"/>
      <c r="D82" s="244" t="n"/>
      <c r="E82" s="244" t="n"/>
      <c r="F82" s="244" t="n"/>
      <c r="G82" s="244" t="n"/>
      <c r="H82" s="244" t="n"/>
      <c r="I82" s="245" t="n"/>
      <c r="J82" s="243" t="n"/>
      <c r="K82" s="245" t="n"/>
    </row>
    <row r="83" ht="13.7" customHeight="1" s="566">
      <c r="A83" s="243" t="n"/>
      <c r="B83" s="734" t="n"/>
      <c r="C83" s="734" t="n"/>
      <c r="D83" s="244" t="n"/>
      <c r="E83" s="244" t="n"/>
      <c r="F83" s="244" t="n"/>
      <c r="G83" s="244" t="n"/>
      <c r="H83" s="244" t="n"/>
      <c r="I83" s="245" t="n"/>
      <c r="J83" s="243" t="n"/>
      <c r="K83" s="245" t="n"/>
    </row>
    <row r="84" ht="13.7" customHeight="1" s="566">
      <c r="A84" s="243" t="n"/>
      <c r="B84" s="734" t="n"/>
      <c r="C84" s="734" t="n"/>
      <c r="D84" s="244" t="n"/>
      <c r="E84" s="244" t="n"/>
      <c r="F84" s="244" t="n"/>
      <c r="G84" s="244" t="n"/>
      <c r="H84" s="244" t="n"/>
      <c r="I84" s="245" t="n"/>
      <c r="J84" s="243" t="n"/>
      <c r="K84" s="245" t="n"/>
    </row>
    <row r="85" ht="13.7" customHeight="1" s="566">
      <c r="A85" s="243" t="n"/>
      <c r="B85" s="734" t="n"/>
      <c r="C85" s="734" t="n"/>
      <c r="D85" s="244" t="n"/>
      <c r="E85" s="244" t="n"/>
      <c r="F85" s="244" t="n"/>
      <c r="G85" s="244" t="n"/>
      <c r="H85" s="244" t="n"/>
      <c r="I85" s="245" t="n"/>
      <c r="J85" s="243" t="n"/>
      <c r="K85" s="245" t="n"/>
    </row>
    <row r="86" ht="13.7" customHeight="1" s="566">
      <c r="A86" s="243" t="n"/>
      <c r="B86" s="734" t="n"/>
      <c r="C86" s="734" t="n"/>
      <c r="D86" s="244" t="n"/>
      <c r="E86" s="244" t="n"/>
      <c r="F86" s="244" t="n"/>
      <c r="G86" s="244" t="n"/>
      <c r="H86" s="244" t="n"/>
      <c r="I86" s="245" t="n"/>
      <c r="J86" s="243" t="n"/>
      <c r="K86" s="245" t="n"/>
    </row>
    <row r="87" ht="13.7" customHeight="1" s="566">
      <c r="A87" s="243" t="n"/>
      <c r="B87" s="734" t="n"/>
      <c r="C87" s="734" t="n"/>
      <c r="D87" s="244" t="n"/>
      <c r="E87" s="244" t="n"/>
      <c r="F87" s="244" t="n"/>
      <c r="G87" s="244" t="n"/>
      <c r="H87" s="244" t="n"/>
      <c r="I87" s="245" t="n"/>
      <c r="J87" s="243" t="n"/>
      <c r="K87" s="245" t="n"/>
    </row>
    <row r="88" ht="13.5" customHeight="1" s="566">
      <c r="A88" s="243" t="n"/>
      <c r="B88" s="47" t="n"/>
      <c r="C88" s="47" t="n"/>
      <c r="D88" s="244" t="n"/>
      <c r="E88" s="244" t="n"/>
      <c r="F88" s="244" t="n"/>
      <c r="G88" s="244" t="n"/>
      <c r="H88" s="244" t="n"/>
      <c r="I88" s="245" t="n"/>
      <c r="J88" s="243" t="n"/>
      <c r="K88" s="245" t="n"/>
    </row>
    <row r="89" ht="13.5" customHeight="1" s="566">
      <c r="A89" s="243" t="n"/>
      <c r="B89" s="47" t="n"/>
      <c r="C89" s="47" t="n"/>
      <c r="D89" s="244" t="n"/>
      <c r="E89" s="244" t="n"/>
      <c r="F89" s="244" t="n"/>
      <c r="G89" s="244" t="n"/>
      <c r="H89" s="244" t="n"/>
      <c r="I89" s="245" t="n"/>
      <c r="J89" s="243" t="n"/>
      <c r="K89" s="245" t="n"/>
    </row>
    <row r="90" ht="13.5" customHeight="1" s="566">
      <c r="A90" s="243" t="n"/>
      <c r="B90" s="47" t="n"/>
      <c r="C90" s="47" t="n"/>
      <c r="D90" s="244" t="n"/>
      <c r="E90" s="244" t="n"/>
      <c r="F90" s="244" t="n"/>
      <c r="G90" s="244" t="n"/>
      <c r="H90" s="244" t="n"/>
      <c r="I90" s="245" t="n"/>
      <c r="J90" s="243" t="n"/>
      <c r="K90" s="245" t="n"/>
    </row>
    <row r="91" ht="13.5" customHeight="1" s="566">
      <c r="A91" s="243" t="n"/>
      <c r="B91" s="47" t="n"/>
      <c r="C91" s="47" t="n"/>
      <c r="D91" s="244" t="n"/>
      <c r="E91" s="244" t="n"/>
      <c r="F91" s="244" t="n"/>
      <c r="G91" s="244" t="n"/>
      <c r="H91" s="244" t="n"/>
      <c r="I91" s="245" t="n"/>
      <c r="J91" s="243" t="n"/>
      <c r="K91" s="245" t="n"/>
    </row>
    <row r="92" ht="13.5" customHeight="1" s="566">
      <c r="A92" s="243" t="n"/>
      <c r="B92" s="47" t="n"/>
      <c r="C92" s="47" t="n"/>
      <c r="D92" s="244" t="n"/>
      <c r="E92" s="244" t="n"/>
      <c r="F92" s="244" t="n"/>
      <c r="G92" s="244" t="n"/>
      <c r="H92" s="244" t="n"/>
      <c r="I92" s="245" t="n"/>
      <c r="J92" s="243" t="n"/>
      <c r="K92" s="245" t="n"/>
    </row>
    <row r="93" ht="13.5" customHeight="1" s="566">
      <c r="A93" s="243" t="n"/>
      <c r="B93" s="47" t="n"/>
      <c r="C93" s="47" t="n"/>
      <c r="D93" s="244" t="n"/>
      <c r="E93" s="244" t="n"/>
      <c r="F93" s="244" t="n"/>
      <c r="G93" s="244" t="n"/>
      <c r="H93" s="244" t="n"/>
      <c r="I93" s="245" t="n"/>
      <c r="J93" s="243" t="n"/>
      <c r="K93" s="245" t="n"/>
    </row>
    <row r="94" ht="13.5" customHeight="1" s="566">
      <c r="A94" s="243" t="n"/>
      <c r="B94" s="47" t="n"/>
      <c r="C94" s="47" t="n"/>
      <c r="D94" s="244" t="n"/>
      <c r="E94" s="244" t="n"/>
      <c r="F94" s="244" t="n"/>
      <c r="G94" s="244" t="n"/>
      <c r="H94" s="244" t="n"/>
      <c r="I94" s="245" t="n"/>
      <c r="J94" s="243" t="n"/>
      <c r="K94" s="245" t="n"/>
    </row>
    <row r="95" ht="13.5" customHeight="1" s="566">
      <c r="A95" s="243" t="n"/>
      <c r="B95" s="47" t="n"/>
      <c r="C95" s="47" t="n"/>
      <c r="D95" s="244" t="n"/>
      <c r="E95" s="244" t="n"/>
      <c r="F95" s="244" t="n"/>
      <c r="G95" s="244" t="n"/>
      <c r="H95" s="244" t="n"/>
      <c r="I95" s="245" t="n"/>
      <c r="J95" s="243" t="n"/>
      <c r="K95" s="245" t="n"/>
    </row>
    <row r="96" ht="13.5" customHeight="1" s="566">
      <c r="A96" s="243" t="n"/>
      <c r="B96" s="47" t="n"/>
      <c r="C96" s="47" t="n"/>
      <c r="D96" s="244" t="n"/>
      <c r="E96" s="244" t="n"/>
      <c r="F96" s="244" t="n"/>
      <c r="G96" s="244" t="n"/>
      <c r="H96" s="244" t="n"/>
      <c r="I96" s="245" t="n"/>
      <c r="J96" s="243" t="n"/>
      <c r="K96" s="245" t="n"/>
    </row>
    <row r="97" ht="13.5" customHeight="1" s="566">
      <c r="A97" s="243" t="n"/>
      <c r="B97" s="47" t="n"/>
      <c r="C97" s="47" t="n"/>
      <c r="D97" s="244" t="n"/>
      <c r="E97" s="244" t="n"/>
      <c r="F97" s="244" t="n"/>
      <c r="G97" s="244" t="n"/>
      <c r="H97" s="244" t="n"/>
      <c r="I97" s="245" t="n"/>
      <c r="J97" s="243" t="n"/>
      <c r="K97" s="245" t="n"/>
    </row>
    <row r="98" ht="13.5" customHeight="1" s="566">
      <c r="A98" s="243" t="n"/>
      <c r="B98" s="47" t="n"/>
      <c r="C98" s="47" t="n"/>
      <c r="D98" s="244" t="n"/>
      <c r="E98" s="244" t="n"/>
      <c r="F98" s="244" t="n"/>
      <c r="G98" s="244" t="n"/>
      <c r="H98" s="244" t="n"/>
      <c r="I98" s="245" t="n"/>
      <c r="J98" s="243" t="n"/>
      <c r="K98" s="245" t="n"/>
    </row>
    <row r="99" ht="13.5" customHeight="1" s="566">
      <c r="A99" s="243" t="n"/>
      <c r="B99" s="47" t="n"/>
      <c r="C99" s="47" t="n"/>
      <c r="D99" s="244" t="n"/>
      <c r="E99" s="244" t="n"/>
      <c r="F99" s="244" t="n"/>
      <c r="G99" s="244" t="n"/>
      <c r="H99" s="244" t="n"/>
      <c r="I99" s="245" t="n"/>
      <c r="J99" s="243" t="n"/>
      <c r="K99" s="245" t="n"/>
    </row>
    <row r="100" ht="13.5" customHeight="1" s="566">
      <c r="A100" s="243" t="n"/>
      <c r="B100" s="47" t="n"/>
      <c r="C100" s="47" t="n"/>
      <c r="D100" s="244" t="n"/>
      <c r="E100" s="244" t="n"/>
      <c r="F100" s="244" t="n"/>
      <c r="G100" s="244" t="n"/>
      <c r="H100" s="244" t="n"/>
      <c r="I100" s="245" t="n"/>
      <c r="J100" s="243" t="n"/>
      <c r="K100" s="245" t="n"/>
    </row>
    <row r="101" ht="13.5" customHeight="1" s="566">
      <c r="A101" s="243" t="n"/>
      <c r="B101" s="47" t="n"/>
      <c r="C101" s="47" t="n"/>
      <c r="D101" s="244" t="n"/>
      <c r="E101" s="244" t="n"/>
      <c r="F101" s="244" t="n"/>
      <c r="G101" s="244" t="n"/>
      <c r="H101" s="244" t="n"/>
      <c r="I101" s="245" t="n"/>
      <c r="J101" s="243" t="n"/>
      <c r="K101" s="245" t="n"/>
    </row>
    <row r="102" ht="13.5" customHeight="1" s="566">
      <c r="A102" s="246" t="n"/>
      <c r="B102" s="52" t="n"/>
      <c r="C102" s="52" t="n"/>
      <c r="D102" s="608" t="n"/>
      <c r="E102" s="608" t="n"/>
      <c r="F102" s="608" t="n"/>
      <c r="G102" s="608" t="n"/>
      <c r="H102" s="608" t="n"/>
      <c r="I102" s="248" t="n"/>
      <c r="J102" s="246" t="n"/>
      <c r="K102" s="248" t="n"/>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K87"/>
  <sheetViews>
    <sheetView showGridLines="0" workbookViewId="0">
      <selection activeCell="A1" sqref="A1"/>
    </sheetView>
  </sheetViews>
  <sheetFormatPr baseColWidth="8" defaultColWidth="9" defaultRowHeight="12.75" customHeight="1"/>
  <cols>
    <col width="24" customWidth="1" style="1" min="1" max="1"/>
    <col width="17.6640625" customWidth="1" style="1" min="2" max="7"/>
    <col width="22.1640625" customWidth="1" style="1" min="8" max="10"/>
    <col width="26.83203125" customWidth="1" style="1" min="11" max="11"/>
    <col width="9" customWidth="1" style="1" min="12" max="12"/>
    <col width="9" customWidth="1" style="1" min="13" max="16384"/>
  </cols>
  <sheetData>
    <row r="1" ht="49.5" customHeight="1" s="566">
      <c r="A1" s="237" t="inlineStr">
        <is>
          <t>Relevant Requirement(s)/ Objective(s):</t>
        </is>
      </c>
      <c r="B1" s="249" t="inlineStr">
        <is>
          <t>3.1.22b</t>
        </is>
      </c>
      <c r="C1" s="230" t="inlineStr">
        <is>
          <t>Last Reviewed By:</t>
        </is>
      </c>
      <c r="D1" s="250" t="n"/>
      <c r="E1" s="230" t="inlineStr">
        <is>
          <t>Last Reviewed On:</t>
        </is>
      </c>
      <c r="F1" s="250" t="n"/>
      <c r="G1" s="261" t="n"/>
      <c r="H1" s="262" t="n"/>
      <c r="I1" s="262" t="n"/>
      <c r="J1" s="236" t="n"/>
      <c r="K1" s="236" t="n"/>
    </row>
    <row r="2" ht="77.25" customHeight="1" s="566">
      <c r="A2" s="237" t="inlineStr">
        <is>
          <t>Role Name/Description</t>
        </is>
      </c>
      <c r="B2" s="238" t="inlineStr">
        <is>
          <t>Authorized to Access System Remotely (Yes/No)</t>
        </is>
      </c>
      <c r="C2" s="238" t="inlineStr">
        <is>
          <t>Authorized to Post or Process Information on Publicly Accessible Systems (Yes/No)</t>
        </is>
      </c>
      <c r="D2" s="238" t="inlineStr">
        <is>
          <t>Authorized to Read FCI (Yes/No)</t>
        </is>
      </c>
      <c r="E2" s="238" t="inlineStr">
        <is>
          <t>Authorized to Create FCI (Yes/No)</t>
        </is>
      </c>
      <c r="F2" s="238" t="inlineStr">
        <is>
          <t>Authorized to Delete FCI (Yes/No)</t>
        </is>
      </c>
      <c r="G2" s="238" t="inlineStr">
        <is>
          <t>Authorized to Modify/Update FCI (Yes/No)</t>
        </is>
      </c>
      <c r="H2" s="238" t="inlineStr">
        <is>
          <t>Type(s) of CUI Users in this Role are Authorized to Read</t>
        </is>
      </c>
      <c r="I2" s="238" t="inlineStr">
        <is>
          <t>Type(s) of CUI Users in this Role are Authorized to Create</t>
        </is>
      </c>
      <c r="J2" s="238" t="inlineStr">
        <is>
          <t>Type(s) of CUI Users in this Role are Authorized to Delete</t>
        </is>
      </c>
      <c r="K2" s="239" t="inlineStr">
        <is>
          <t>Type(s) of CUI Users in this Role are Authorized to Modify/Update</t>
        </is>
      </c>
    </row>
    <row r="3" ht="14.25" customHeight="1" s="566">
      <c r="A3" s="240" t="n"/>
      <c r="B3" s="259" t="n"/>
      <c r="C3" s="265" t="n"/>
      <c r="D3" s="265" t="n"/>
      <c r="E3" s="265" t="n"/>
      <c r="F3" s="265" t="n"/>
      <c r="G3" s="265" t="n"/>
      <c r="H3" s="265" t="n"/>
      <c r="I3" s="265" t="n"/>
      <c r="J3" s="265" t="n"/>
      <c r="K3" s="242" t="n"/>
    </row>
    <row r="4" ht="13.7" customHeight="1" s="566">
      <c r="A4" s="243" t="n"/>
      <c r="B4" s="255" t="n"/>
      <c r="C4" s="255" t="n"/>
      <c r="D4" s="255" t="n"/>
      <c r="E4" s="255" t="n"/>
      <c r="F4" s="255" t="n"/>
      <c r="G4" s="255" t="n"/>
      <c r="H4" s="255" t="n"/>
      <c r="I4" s="255" t="n"/>
      <c r="J4" s="255" t="n"/>
      <c r="K4" s="245" t="n"/>
    </row>
    <row r="5" ht="13.7" customHeight="1" s="566">
      <c r="A5" s="243" t="n"/>
      <c r="B5" s="255" t="n"/>
      <c r="C5" s="255" t="n"/>
      <c r="D5" s="255" t="n"/>
      <c r="E5" s="255" t="n"/>
      <c r="F5" s="255" t="n"/>
      <c r="G5" s="255" t="n"/>
      <c r="H5" s="255" t="n"/>
      <c r="I5" s="255" t="n"/>
      <c r="J5" s="255" t="n"/>
      <c r="K5" s="245" t="n"/>
    </row>
    <row r="6" ht="13.7" customHeight="1" s="566">
      <c r="A6" s="243" t="n"/>
      <c r="B6" s="255" t="n"/>
      <c r="C6" s="255" t="n"/>
      <c r="D6" s="255" t="n"/>
      <c r="E6" s="255" t="n"/>
      <c r="F6" s="255" t="n"/>
      <c r="G6" s="255" t="n"/>
      <c r="H6" s="255" t="n"/>
      <c r="I6" s="255" t="n"/>
      <c r="J6" s="255" t="n"/>
      <c r="K6" s="245" t="n"/>
    </row>
    <row r="7" ht="13.7" customHeight="1" s="566">
      <c r="A7" s="243" t="n"/>
      <c r="B7" s="255" t="n"/>
      <c r="C7" s="255" t="n"/>
      <c r="D7" s="255" t="n"/>
      <c r="E7" s="255" t="n"/>
      <c r="F7" s="255" t="n"/>
      <c r="G7" s="255" t="n"/>
      <c r="H7" s="255" t="n"/>
      <c r="I7" s="255" t="n"/>
      <c r="J7" s="255" t="n"/>
      <c r="K7" s="245" t="n"/>
    </row>
    <row r="8" ht="13.7" customHeight="1" s="566">
      <c r="A8" s="243" t="n"/>
      <c r="B8" s="255" t="n"/>
      <c r="C8" s="255" t="n"/>
      <c r="D8" s="255" t="n"/>
      <c r="E8" s="255" t="n"/>
      <c r="F8" s="255" t="n"/>
      <c r="G8" s="255" t="n"/>
      <c r="H8" s="255" t="n"/>
      <c r="I8" s="255" t="n"/>
      <c r="J8" s="255" t="n"/>
      <c r="K8" s="245" t="n"/>
    </row>
    <row r="9" ht="13.7" customHeight="1" s="566">
      <c r="A9" s="243" t="n"/>
      <c r="B9" s="255" t="n"/>
      <c r="C9" s="255" t="n"/>
      <c r="D9" s="255" t="n"/>
      <c r="E9" s="255" t="n"/>
      <c r="F9" s="255" t="n"/>
      <c r="G9" s="255" t="n"/>
      <c r="H9" s="255" t="n"/>
      <c r="I9" s="255" t="n"/>
      <c r="J9" s="255" t="n"/>
      <c r="K9" s="245" t="n"/>
    </row>
    <row r="10" ht="13.7" customHeight="1" s="566">
      <c r="A10" s="243" t="n"/>
      <c r="B10" s="255" t="n"/>
      <c r="C10" s="255" t="n"/>
      <c r="D10" s="255" t="n"/>
      <c r="E10" s="255" t="n"/>
      <c r="F10" s="255" t="n"/>
      <c r="G10" s="255" t="n"/>
      <c r="H10" s="255" t="n"/>
      <c r="I10" s="255" t="n"/>
      <c r="J10" s="255" t="n"/>
      <c r="K10" s="245" t="n"/>
    </row>
    <row r="11" ht="13.7" customHeight="1" s="566">
      <c r="A11" s="243" t="n"/>
      <c r="B11" s="255" t="n"/>
      <c r="C11" s="255" t="n"/>
      <c r="D11" s="255" t="n"/>
      <c r="E11" s="255" t="n"/>
      <c r="F11" s="255" t="n"/>
      <c r="G11" s="255" t="n"/>
      <c r="H11" s="255" t="n"/>
      <c r="I11" s="255" t="n"/>
      <c r="J11" s="255" t="n"/>
      <c r="K11" s="245" t="n"/>
    </row>
    <row r="12" ht="13.7" customHeight="1" s="566">
      <c r="A12" s="243" t="n"/>
      <c r="B12" s="255" t="n"/>
      <c r="C12" s="255" t="n"/>
      <c r="D12" s="255" t="n"/>
      <c r="E12" s="255" t="n"/>
      <c r="F12" s="255" t="n"/>
      <c r="G12" s="255" t="n"/>
      <c r="H12" s="255" t="n"/>
      <c r="I12" s="255" t="n"/>
      <c r="J12" s="255" t="n"/>
      <c r="K12" s="245" t="n"/>
    </row>
    <row r="13" ht="13.7" customHeight="1" s="566">
      <c r="A13" s="243" t="n"/>
      <c r="B13" s="255" t="n"/>
      <c r="C13" s="255" t="n"/>
      <c r="D13" s="255" t="n"/>
      <c r="E13" s="255" t="n"/>
      <c r="F13" s="255" t="n"/>
      <c r="G13" s="255" t="n"/>
      <c r="H13" s="255" t="n"/>
      <c r="I13" s="255" t="n"/>
      <c r="J13" s="255" t="n"/>
      <c r="K13" s="245" t="n"/>
    </row>
    <row r="14" ht="13.7" customHeight="1" s="566">
      <c r="A14" s="243" t="n"/>
      <c r="B14" s="255" t="n"/>
      <c r="C14" s="255" t="n"/>
      <c r="D14" s="255" t="n"/>
      <c r="E14" s="255" t="n"/>
      <c r="F14" s="255" t="n"/>
      <c r="G14" s="255" t="n"/>
      <c r="H14" s="255" t="n"/>
      <c r="I14" s="255" t="n"/>
      <c r="J14" s="255" t="n"/>
      <c r="K14" s="245" t="n"/>
    </row>
    <row r="15" ht="13.7" customHeight="1" s="566">
      <c r="A15" s="243" t="n"/>
      <c r="B15" s="255" t="n"/>
      <c r="C15" s="255" t="n"/>
      <c r="D15" s="255" t="n"/>
      <c r="E15" s="255" t="n"/>
      <c r="F15" s="255" t="n"/>
      <c r="G15" s="255" t="n"/>
      <c r="H15" s="255" t="n"/>
      <c r="I15" s="255" t="n"/>
      <c r="J15" s="255" t="n"/>
      <c r="K15" s="245" t="n"/>
    </row>
    <row r="16" ht="13.7" customHeight="1" s="566">
      <c r="A16" s="243" t="n"/>
      <c r="B16" s="255" t="n"/>
      <c r="C16" s="255" t="n"/>
      <c r="D16" s="255" t="n"/>
      <c r="E16" s="255" t="n"/>
      <c r="F16" s="255" t="n"/>
      <c r="G16" s="255" t="n"/>
      <c r="H16" s="255" t="n"/>
      <c r="I16" s="255" t="n"/>
      <c r="J16" s="255" t="n"/>
      <c r="K16" s="245" t="n"/>
    </row>
    <row r="17" ht="13.7" customHeight="1" s="566">
      <c r="A17" s="243" t="n"/>
      <c r="B17" s="255" t="n"/>
      <c r="C17" s="255" t="n"/>
      <c r="D17" s="255" t="n"/>
      <c r="E17" s="255" t="n"/>
      <c r="F17" s="255" t="n"/>
      <c r="G17" s="255" t="n"/>
      <c r="H17" s="255" t="n"/>
      <c r="I17" s="255" t="n"/>
      <c r="J17" s="255" t="n"/>
      <c r="K17" s="245" t="n"/>
    </row>
    <row r="18" ht="13.7" customHeight="1" s="566">
      <c r="A18" s="243" t="n"/>
      <c r="B18" s="255" t="n"/>
      <c r="C18" s="255" t="n"/>
      <c r="D18" s="255" t="n"/>
      <c r="E18" s="255" t="n"/>
      <c r="F18" s="255" t="n"/>
      <c r="G18" s="255" t="n"/>
      <c r="H18" s="255" t="n"/>
      <c r="I18" s="255" t="n"/>
      <c r="J18" s="255" t="n"/>
      <c r="K18" s="245" t="n"/>
    </row>
    <row r="19" ht="13.7" customHeight="1" s="566">
      <c r="A19" s="243" t="n"/>
      <c r="B19" s="255" t="n"/>
      <c r="C19" s="255" t="n"/>
      <c r="D19" s="255" t="n"/>
      <c r="E19" s="255" t="n"/>
      <c r="F19" s="255" t="n"/>
      <c r="G19" s="255" t="n"/>
      <c r="H19" s="255" t="n"/>
      <c r="I19" s="255" t="n"/>
      <c r="J19" s="255" t="n"/>
      <c r="K19" s="245" t="n"/>
    </row>
    <row r="20" ht="13.7" customHeight="1" s="566">
      <c r="A20" s="243" t="n"/>
      <c r="B20" s="255" t="n"/>
      <c r="C20" s="255" t="n"/>
      <c r="D20" s="255" t="n"/>
      <c r="E20" s="255" t="n"/>
      <c r="F20" s="255" t="n"/>
      <c r="G20" s="255" t="n"/>
      <c r="H20" s="255" t="n"/>
      <c r="I20" s="255" t="n"/>
      <c r="J20" s="255" t="n"/>
      <c r="K20" s="245" t="n"/>
    </row>
    <row r="21" ht="13.7" customHeight="1" s="566">
      <c r="A21" s="243" t="n"/>
      <c r="B21" s="255" t="n"/>
      <c r="C21" s="255" t="n"/>
      <c r="D21" s="255" t="n"/>
      <c r="E21" s="255" t="n"/>
      <c r="F21" s="255" t="n"/>
      <c r="G21" s="255" t="n"/>
      <c r="H21" s="255" t="n"/>
      <c r="I21" s="255" t="n"/>
      <c r="J21" s="255" t="n"/>
      <c r="K21" s="245" t="n"/>
    </row>
    <row r="22" ht="13.7" customHeight="1" s="566">
      <c r="A22" s="243" t="n"/>
      <c r="B22" s="255" t="n"/>
      <c r="C22" s="255" t="n"/>
      <c r="D22" s="255" t="n"/>
      <c r="E22" s="255" t="n"/>
      <c r="F22" s="255" t="n"/>
      <c r="G22" s="255" t="n"/>
      <c r="H22" s="255" t="n"/>
      <c r="I22" s="255" t="n"/>
      <c r="J22" s="255" t="n"/>
      <c r="K22" s="245" t="n"/>
    </row>
    <row r="23" ht="13.7" customHeight="1" s="566">
      <c r="A23" s="243" t="n"/>
      <c r="B23" s="255" t="n"/>
      <c r="C23" s="255" t="n"/>
      <c r="D23" s="255" t="n"/>
      <c r="E23" s="255" t="n"/>
      <c r="F23" s="255" t="n"/>
      <c r="G23" s="255" t="n"/>
      <c r="H23" s="255" t="n"/>
      <c r="I23" s="255" t="n"/>
      <c r="J23" s="255" t="n"/>
      <c r="K23" s="245" t="n"/>
    </row>
    <row r="24" ht="13.7" customHeight="1" s="566">
      <c r="A24" s="243" t="n"/>
      <c r="B24" s="255" t="n"/>
      <c r="C24" s="255" t="n"/>
      <c r="D24" s="255" t="n"/>
      <c r="E24" s="255" t="n"/>
      <c r="F24" s="255" t="n"/>
      <c r="G24" s="255" t="n"/>
      <c r="H24" s="255" t="n"/>
      <c r="I24" s="255" t="n"/>
      <c r="J24" s="255" t="n"/>
      <c r="K24" s="245" t="n"/>
    </row>
    <row r="25" ht="13.7" customHeight="1" s="566">
      <c r="A25" s="243" t="n"/>
      <c r="B25" s="255" t="n"/>
      <c r="C25" s="255" t="n"/>
      <c r="D25" s="255" t="n"/>
      <c r="E25" s="255" t="n"/>
      <c r="F25" s="255" t="n"/>
      <c r="G25" s="255" t="n"/>
      <c r="H25" s="255" t="n"/>
      <c r="I25" s="255" t="n"/>
      <c r="J25" s="255" t="n"/>
      <c r="K25" s="245" t="n"/>
    </row>
    <row r="26" ht="13.7" customHeight="1" s="566">
      <c r="A26" s="243" t="n"/>
      <c r="B26" s="255" t="n"/>
      <c r="C26" s="255" t="n"/>
      <c r="D26" s="255" t="n"/>
      <c r="E26" s="255" t="n"/>
      <c r="F26" s="255" t="n"/>
      <c r="G26" s="255" t="n"/>
      <c r="H26" s="255" t="n"/>
      <c r="I26" s="255" t="n"/>
      <c r="J26" s="255" t="n"/>
      <c r="K26" s="245" t="n"/>
    </row>
    <row r="27" ht="13.7" customHeight="1" s="566">
      <c r="A27" s="243" t="n"/>
      <c r="B27" s="255" t="n"/>
      <c r="C27" s="255" t="n"/>
      <c r="D27" s="255" t="n"/>
      <c r="E27" s="255" t="n"/>
      <c r="F27" s="255" t="n"/>
      <c r="G27" s="255" t="n"/>
      <c r="H27" s="255" t="n"/>
      <c r="I27" s="255" t="n"/>
      <c r="J27" s="255" t="n"/>
      <c r="K27" s="245" t="n"/>
    </row>
    <row r="28" ht="13.7" customHeight="1" s="566">
      <c r="A28" s="243" t="n"/>
      <c r="B28" s="255" t="n"/>
      <c r="C28" s="255" t="n"/>
      <c r="D28" s="255" t="n"/>
      <c r="E28" s="255" t="n"/>
      <c r="F28" s="255" t="n"/>
      <c r="G28" s="255" t="n"/>
      <c r="H28" s="255" t="n"/>
      <c r="I28" s="255" t="n"/>
      <c r="J28" s="255" t="n"/>
      <c r="K28" s="245" t="n"/>
    </row>
    <row r="29" ht="13.7" customHeight="1" s="566">
      <c r="A29" s="243" t="n"/>
      <c r="B29" s="255" t="n"/>
      <c r="C29" s="255" t="n"/>
      <c r="D29" s="255" t="n"/>
      <c r="E29" s="255" t="n"/>
      <c r="F29" s="255" t="n"/>
      <c r="G29" s="255" t="n"/>
      <c r="H29" s="255" t="n"/>
      <c r="I29" s="255" t="n"/>
      <c r="J29" s="255" t="n"/>
      <c r="K29" s="245" t="n"/>
    </row>
    <row r="30" ht="13.7" customHeight="1" s="566">
      <c r="A30" s="243" t="n"/>
      <c r="B30" s="255" t="n"/>
      <c r="C30" s="255" t="n"/>
      <c r="D30" s="255" t="n"/>
      <c r="E30" s="255" t="n"/>
      <c r="F30" s="255" t="n"/>
      <c r="G30" s="255" t="n"/>
      <c r="H30" s="255" t="n"/>
      <c r="I30" s="255" t="n"/>
      <c r="J30" s="255" t="n"/>
      <c r="K30" s="245" t="n"/>
    </row>
    <row r="31" ht="13.7" customHeight="1" s="566">
      <c r="A31" s="243" t="n"/>
      <c r="B31" s="255" t="n"/>
      <c r="C31" s="255" t="n"/>
      <c r="D31" s="255" t="n"/>
      <c r="E31" s="255" t="n"/>
      <c r="F31" s="255" t="n"/>
      <c r="G31" s="255" t="n"/>
      <c r="H31" s="255" t="n"/>
      <c r="I31" s="255" t="n"/>
      <c r="J31" s="255" t="n"/>
      <c r="K31" s="245" t="n"/>
    </row>
    <row r="32" ht="13.7" customHeight="1" s="566">
      <c r="A32" s="243" t="n"/>
      <c r="B32" s="255" t="n"/>
      <c r="C32" s="255" t="n"/>
      <c r="D32" s="255" t="n"/>
      <c r="E32" s="255" t="n"/>
      <c r="F32" s="255" t="n"/>
      <c r="G32" s="255" t="n"/>
      <c r="H32" s="255" t="n"/>
      <c r="I32" s="255" t="n"/>
      <c r="J32" s="255" t="n"/>
      <c r="K32" s="245" t="n"/>
    </row>
    <row r="33" ht="13.7" customHeight="1" s="566">
      <c r="A33" s="243" t="n"/>
      <c r="B33" s="255" t="n"/>
      <c r="C33" s="255" t="n"/>
      <c r="D33" s="255" t="n"/>
      <c r="E33" s="255" t="n"/>
      <c r="F33" s="255" t="n"/>
      <c r="G33" s="255" t="n"/>
      <c r="H33" s="255" t="n"/>
      <c r="I33" s="255" t="n"/>
      <c r="J33" s="255" t="n"/>
      <c r="K33" s="245" t="n"/>
    </row>
    <row r="34" ht="13.7" customHeight="1" s="566">
      <c r="A34" s="243" t="n"/>
      <c r="B34" s="255" t="n"/>
      <c r="C34" s="255" t="n"/>
      <c r="D34" s="255" t="n"/>
      <c r="E34" s="255" t="n"/>
      <c r="F34" s="255" t="n"/>
      <c r="G34" s="255" t="n"/>
      <c r="H34" s="255" t="n"/>
      <c r="I34" s="255" t="n"/>
      <c r="J34" s="255" t="n"/>
      <c r="K34" s="245" t="n"/>
    </row>
    <row r="35" ht="13.7" customHeight="1" s="566">
      <c r="A35" s="243" t="n"/>
      <c r="B35" s="255" t="n"/>
      <c r="C35" s="255" t="n"/>
      <c r="D35" s="255" t="n"/>
      <c r="E35" s="255" t="n"/>
      <c r="F35" s="255" t="n"/>
      <c r="G35" s="255" t="n"/>
      <c r="H35" s="255" t="n"/>
      <c r="I35" s="255" t="n"/>
      <c r="J35" s="255" t="n"/>
      <c r="K35" s="245" t="n"/>
    </row>
    <row r="36" ht="13.7" customHeight="1" s="566">
      <c r="A36" s="243" t="n"/>
      <c r="B36" s="255" t="n"/>
      <c r="C36" s="255" t="n"/>
      <c r="D36" s="255" t="n"/>
      <c r="E36" s="255" t="n"/>
      <c r="F36" s="255" t="n"/>
      <c r="G36" s="255" t="n"/>
      <c r="H36" s="255" t="n"/>
      <c r="I36" s="255" t="n"/>
      <c r="J36" s="255" t="n"/>
      <c r="K36" s="245" t="n"/>
    </row>
    <row r="37" ht="13.7" customHeight="1" s="566">
      <c r="A37" s="243" t="n"/>
      <c r="B37" s="255" t="n"/>
      <c r="C37" s="255" t="n"/>
      <c r="D37" s="255" t="n"/>
      <c r="E37" s="255" t="n"/>
      <c r="F37" s="255" t="n"/>
      <c r="G37" s="255" t="n"/>
      <c r="H37" s="255" t="n"/>
      <c r="I37" s="255" t="n"/>
      <c r="J37" s="255" t="n"/>
      <c r="K37" s="245" t="n"/>
    </row>
    <row r="38" ht="13.7" customHeight="1" s="566">
      <c r="A38" s="243" t="n"/>
      <c r="B38" s="255" t="n"/>
      <c r="C38" s="255" t="n"/>
      <c r="D38" s="255" t="n"/>
      <c r="E38" s="255" t="n"/>
      <c r="F38" s="255" t="n"/>
      <c r="G38" s="255" t="n"/>
      <c r="H38" s="255" t="n"/>
      <c r="I38" s="255" t="n"/>
      <c r="J38" s="255" t="n"/>
      <c r="K38" s="245" t="n"/>
    </row>
    <row r="39" ht="13.7" customHeight="1" s="566">
      <c r="A39" s="243" t="n"/>
      <c r="B39" s="255" t="n"/>
      <c r="C39" s="255" t="n"/>
      <c r="D39" s="255" t="n"/>
      <c r="E39" s="255" t="n"/>
      <c r="F39" s="255" t="n"/>
      <c r="G39" s="255" t="n"/>
      <c r="H39" s="255" t="n"/>
      <c r="I39" s="255" t="n"/>
      <c r="J39" s="255" t="n"/>
      <c r="K39" s="245" t="n"/>
    </row>
    <row r="40" ht="13.7" customHeight="1" s="566">
      <c r="A40" s="243" t="n"/>
      <c r="B40" s="255" t="n"/>
      <c r="C40" s="255" t="n"/>
      <c r="D40" s="255" t="n"/>
      <c r="E40" s="255" t="n"/>
      <c r="F40" s="255" t="n"/>
      <c r="G40" s="255" t="n"/>
      <c r="H40" s="255" t="n"/>
      <c r="I40" s="255" t="n"/>
      <c r="J40" s="255" t="n"/>
      <c r="K40" s="245" t="n"/>
    </row>
    <row r="41" ht="13.7" customHeight="1" s="566">
      <c r="A41" s="243" t="n"/>
      <c r="B41" s="255" t="n"/>
      <c r="C41" s="255" t="n"/>
      <c r="D41" s="255" t="n"/>
      <c r="E41" s="255" t="n"/>
      <c r="F41" s="255" t="n"/>
      <c r="G41" s="255" t="n"/>
      <c r="H41" s="255" t="n"/>
      <c r="I41" s="255" t="n"/>
      <c r="J41" s="255" t="n"/>
      <c r="K41" s="245" t="n"/>
    </row>
    <row r="42" ht="13.7" customHeight="1" s="566">
      <c r="A42" s="243" t="n"/>
      <c r="B42" s="255" t="n"/>
      <c r="C42" s="255" t="n"/>
      <c r="D42" s="255" t="n"/>
      <c r="E42" s="255" t="n"/>
      <c r="F42" s="255" t="n"/>
      <c r="G42" s="255" t="n"/>
      <c r="H42" s="255" t="n"/>
      <c r="I42" s="255" t="n"/>
      <c r="J42" s="255" t="n"/>
      <c r="K42" s="245" t="n"/>
    </row>
    <row r="43" ht="13.7" customHeight="1" s="566">
      <c r="A43" s="243" t="n"/>
      <c r="B43" s="255" t="n"/>
      <c r="C43" s="255" t="n"/>
      <c r="D43" s="255" t="n"/>
      <c r="E43" s="255" t="n"/>
      <c r="F43" s="255" t="n"/>
      <c r="G43" s="255" t="n"/>
      <c r="H43" s="255" t="n"/>
      <c r="I43" s="255" t="n"/>
      <c r="J43" s="255" t="n"/>
      <c r="K43" s="245" t="n"/>
    </row>
    <row r="44" ht="13.7" customHeight="1" s="566">
      <c r="A44" s="243" t="n"/>
      <c r="B44" s="255" t="n"/>
      <c r="C44" s="255" t="n"/>
      <c r="D44" s="255" t="n"/>
      <c r="E44" s="255" t="n"/>
      <c r="F44" s="255" t="n"/>
      <c r="G44" s="255" t="n"/>
      <c r="H44" s="255" t="n"/>
      <c r="I44" s="255" t="n"/>
      <c r="J44" s="255" t="n"/>
      <c r="K44" s="245" t="n"/>
    </row>
    <row r="45" ht="13.7" customHeight="1" s="566">
      <c r="A45" s="243" t="n"/>
      <c r="B45" s="255" t="n"/>
      <c r="C45" s="255" t="n"/>
      <c r="D45" s="255" t="n"/>
      <c r="E45" s="255" t="n"/>
      <c r="F45" s="255" t="n"/>
      <c r="G45" s="255" t="n"/>
      <c r="H45" s="255" t="n"/>
      <c r="I45" s="255" t="n"/>
      <c r="J45" s="255" t="n"/>
      <c r="K45" s="245" t="n"/>
    </row>
    <row r="46" ht="13.7" customHeight="1" s="566">
      <c r="A46" s="243" t="n"/>
      <c r="B46" s="255" t="n"/>
      <c r="C46" s="255" t="n"/>
      <c r="D46" s="255" t="n"/>
      <c r="E46" s="255" t="n"/>
      <c r="F46" s="255" t="n"/>
      <c r="G46" s="255" t="n"/>
      <c r="H46" s="255" t="n"/>
      <c r="I46" s="255" t="n"/>
      <c r="J46" s="255" t="n"/>
      <c r="K46" s="245" t="n"/>
    </row>
    <row r="47" ht="13.7" customHeight="1" s="566">
      <c r="A47" s="243" t="n"/>
      <c r="B47" s="255" t="n"/>
      <c r="C47" s="255" t="n"/>
      <c r="D47" s="255" t="n"/>
      <c r="E47" s="255" t="n"/>
      <c r="F47" s="255" t="n"/>
      <c r="G47" s="255" t="n"/>
      <c r="H47" s="255" t="n"/>
      <c r="I47" s="255" t="n"/>
      <c r="J47" s="255" t="n"/>
      <c r="K47" s="245" t="n"/>
    </row>
    <row r="48" ht="13.7" customHeight="1" s="566">
      <c r="A48" s="243" t="n"/>
      <c r="B48" s="255" t="n"/>
      <c r="C48" s="255" t="n"/>
      <c r="D48" s="255" t="n"/>
      <c r="E48" s="255" t="n"/>
      <c r="F48" s="255" t="n"/>
      <c r="G48" s="255" t="n"/>
      <c r="H48" s="255" t="n"/>
      <c r="I48" s="255" t="n"/>
      <c r="J48" s="255" t="n"/>
      <c r="K48" s="245" t="n"/>
    </row>
    <row r="49" ht="13.7" customHeight="1" s="566">
      <c r="A49" s="243" t="n"/>
      <c r="B49" s="255" t="n"/>
      <c r="C49" s="255" t="n"/>
      <c r="D49" s="255" t="n"/>
      <c r="E49" s="255" t="n"/>
      <c r="F49" s="255" t="n"/>
      <c r="G49" s="255" t="n"/>
      <c r="H49" s="255" t="n"/>
      <c r="I49" s="255" t="n"/>
      <c r="J49" s="255" t="n"/>
      <c r="K49" s="245" t="n"/>
    </row>
    <row r="50" ht="13.7" customHeight="1" s="566">
      <c r="A50" s="243" t="n"/>
      <c r="B50" s="255" t="n"/>
      <c r="C50" s="255" t="n"/>
      <c r="D50" s="255" t="n"/>
      <c r="E50" s="255" t="n"/>
      <c r="F50" s="255" t="n"/>
      <c r="G50" s="255" t="n"/>
      <c r="H50" s="255" t="n"/>
      <c r="I50" s="255" t="n"/>
      <c r="J50" s="255" t="n"/>
      <c r="K50" s="245" t="n"/>
    </row>
    <row r="51" ht="13.7" customHeight="1" s="566">
      <c r="A51" s="243" t="n"/>
      <c r="B51" s="255" t="n"/>
      <c r="C51" s="255" t="n"/>
      <c r="D51" s="255" t="n"/>
      <c r="E51" s="255" t="n"/>
      <c r="F51" s="255" t="n"/>
      <c r="G51" s="255" t="n"/>
      <c r="H51" s="255" t="n"/>
      <c r="I51" s="255" t="n"/>
      <c r="J51" s="255" t="n"/>
      <c r="K51" s="245" t="n"/>
    </row>
    <row r="52" ht="13.5" customHeight="1" s="566">
      <c r="A52" s="246" t="n"/>
      <c r="B52" s="257" t="n"/>
      <c r="C52" s="257" t="n"/>
      <c r="D52" s="257" t="n"/>
      <c r="E52" s="257" t="n"/>
      <c r="F52" s="257" t="n"/>
      <c r="G52" s="257" t="n"/>
      <c r="H52" s="257" t="n"/>
      <c r="I52" s="257" t="n"/>
      <c r="J52" s="257" t="n"/>
      <c r="K52" s="248" t="n"/>
    </row>
    <row r="53" ht="14.25" customHeight="1" s="566">
      <c r="A53" s="266" t="n"/>
      <c r="B53" s="267" t="n"/>
      <c r="C53" s="267" t="n"/>
      <c r="D53" s="267" t="n"/>
      <c r="E53" s="267" t="n"/>
      <c r="F53" s="267" t="n"/>
      <c r="G53" s="267" t="n"/>
      <c r="H53" s="267" t="n"/>
      <c r="I53" s="267" t="n"/>
      <c r="J53" s="267" t="n"/>
      <c r="K53" s="266" t="n"/>
    </row>
    <row r="54" ht="13.7" customHeight="1" s="566">
      <c r="A54" s="81" t="n"/>
      <c r="B54" s="268" t="n"/>
      <c r="C54" s="268" t="n"/>
      <c r="D54" s="268" t="n"/>
      <c r="E54" s="268" t="n"/>
      <c r="F54" s="268" t="n"/>
      <c r="G54" s="268" t="n"/>
      <c r="H54" s="268" t="n"/>
      <c r="I54" s="268" t="n"/>
      <c r="J54" s="268" t="n"/>
      <c r="K54" s="81" t="n"/>
    </row>
    <row r="55" ht="13.7" customHeight="1" s="566">
      <c r="A55" s="81" t="n"/>
      <c r="B55" s="268" t="n"/>
      <c r="C55" s="268" t="n"/>
      <c r="D55" s="268" t="n"/>
      <c r="E55" s="268" t="n"/>
      <c r="F55" s="268" t="n"/>
      <c r="G55" s="268" t="n"/>
      <c r="H55" s="268" t="n"/>
      <c r="I55" s="268" t="n"/>
      <c r="J55" s="268" t="n"/>
      <c r="K55" s="81" t="n"/>
    </row>
    <row r="56" ht="13.7" customHeight="1" s="566">
      <c r="A56" s="81" t="n"/>
      <c r="B56" s="268" t="n"/>
      <c r="C56" s="268" t="n"/>
      <c r="D56" s="268" t="n"/>
      <c r="E56" s="268" t="n"/>
      <c r="F56" s="268" t="n"/>
      <c r="G56" s="268" t="n"/>
      <c r="H56" s="268" t="n"/>
      <c r="I56" s="268" t="n"/>
      <c r="J56" s="268" t="n"/>
      <c r="K56" s="81" t="n"/>
    </row>
    <row r="57" ht="13.7" customHeight="1" s="566">
      <c r="A57" s="81" t="n"/>
      <c r="B57" s="268" t="n"/>
      <c r="C57" s="268" t="n"/>
      <c r="D57" s="268" t="n"/>
      <c r="E57" s="268" t="n"/>
      <c r="F57" s="268" t="n"/>
      <c r="G57" s="268" t="n"/>
      <c r="H57" s="268" t="n"/>
      <c r="I57" s="268" t="n"/>
      <c r="J57" s="268" t="n"/>
      <c r="K57" s="81" t="n"/>
    </row>
    <row r="58" ht="13.7" customHeight="1" s="566">
      <c r="A58" s="81" t="n"/>
      <c r="B58" s="268" t="n"/>
      <c r="C58" s="268" t="n"/>
      <c r="D58" s="268" t="n"/>
      <c r="E58" s="268" t="n"/>
      <c r="F58" s="268" t="n"/>
      <c r="G58" s="268" t="n"/>
      <c r="H58" s="268" t="n"/>
      <c r="I58" s="268" t="n"/>
      <c r="J58" s="268" t="n"/>
      <c r="K58" s="81" t="n"/>
    </row>
    <row r="59" ht="13.7" customHeight="1" s="566">
      <c r="A59" s="81" t="n"/>
      <c r="B59" s="268" t="n"/>
      <c r="C59" s="268" t="n"/>
      <c r="D59" s="268" t="n"/>
      <c r="E59" s="268" t="n"/>
      <c r="F59" s="268" t="n"/>
      <c r="G59" s="268" t="n"/>
      <c r="H59" s="268" t="n"/>
      <c r="I59" s="268" t="n"/>
      <c r="J59" s="268" t="n"/>
      <c r="K59" s="81" t="n"/>
    </row>
    <row r="60" ht="13.7" customHeight="1" s="566">
      <c r="A60" s="81" t="n"/>
      <c r="B60" s="268" t="n"/>
      <c r="C60" s="268" t="n"/>
      <c r="D60" s="268" t="n"/>
      <c r="E60" s="268" t="n"/>
      <c r="F60" s="268" t="n"/>
      <c r="G60" s="268" t="n"/>
      <c r="H60" s="268" t="n"/>
      <c r="I60" s="268" t="n"/>
      <c r="J60" s="268" t="n"/>
      <c r="K60" s="81" t="n"/>
    </row>
    <row r="61" ht="13.7" customHeight="1" s="566">
      <c r="A61" s="81" t="n"/>
      <c r="B61" s="268" t="n"/>
      <c r="C61" s="268" t="n"/>
      <c r="D61" s="268" t="n"/>
      <c r="E61" s="268" t="n"/>
      <c r="F61" s="268" t="n"/>
      <c r="G61" s="268" t="n"/>
      <c r="H61" s="268" t="n"/>
      <c r="I61" s="268" t="n"/>
      <c r="J61" s="268" t="n"/>
      <c r="K61" s="81" t="n"/>
    </row>
    <row r="62" ht="13.7" customHeight="1" s="566">
      <c r="A62" s="81" t="n"/>
      <c r="B62" s="268" t="n"/>
      <c r="C62" s="268" t="n"/>
      <c r="D62" s="268" t="n"/>
      <c r="E62" s="268" t="n"/>
      <c r="F62" s="268" t="n"/>
      <c r="G62" s="268" t="n"/>
      <c r="H62" s="268" t="n"/>
      <c r="I62" s="268" t="n"/>
      <c r="J62" s="268" t="n"/>
      <c r="K62" s="81" t="n"/>
    </row>
    <row r="63" ht="13.7" customHeight="1" s="566">
      <c r="A63" s="81" t="n"/>
      <c r="B63" s="268" t="n"/>
      <c r="C63" s="268" t="n"/>
      <c r="D63" s="268" t="n"/>
      <c r="E63" s="268" t="n"/>
      <c r="F63" s="268" t="n"/>
      <c r="G63" s="268" t="n"/>
      <c r="H63" s="268" t="n"/>
      <c r="I63" s="268" t="n"/>
      <c r="J63" s="268" t="n"/>
      <c r="K63" s="81" t="n"/>
    </row>
    <row r="64" ht="13.7" customHeight="1" s="566">
      <c r="A64" s="81" t="n"/>
      <c r="B64" s="268" t="n"/>
      <c r="C64" s="268" t="n"/>
      <c r="D64" s="268" t="n"/>
      <c r="E64" s="268" t="n"/>
      <c r="F64" s="268" t="n"/>
      <c r="G64" s="268" t="n"/>
      <c r="H64" s="268" t="n"/>
      <c r="I64" s="268" t="n"/>
      <c r="J64" s="268" t="n"/>
      <c r="K64" s="81" t="n"/>
    </row>
    <row r="65" ht="13.7" customHeight="1" s="566">
      <c r="A65" s="81" t="n"/>
      <c r="B65" s="268" t="n"/>
      <c r="C65" s="268" t="n"/>
      <c r="D65" s="268" t="n"/>
      <c r="E65" s="268" t="n"/>
      <c r="F65" s="268" t="n"/>
      <c r="G65" s="268" t="n"/>
      <c r="H65" s="268" t="n"/>
      <c r="I65" s="268" t="n"/>
      <c r="J65" s="268" t="n"/>
      <c r="K65" s="81" t="n"/>
    </row>
    <row r="66" ht="13.7" customHeight="1" s="566">
      <c r="A66" s="81" t="n"/>
      <c r="B66" s="268" t="n"/>
      <c r="C66" s="268" t="n"/>
      <c r="D66" s="268" t="n"/>
      <c r="E66" s="268" t="n"/>
      <c r="F66" s="268" t="n"/>
      <c r="G66" s="268" t="n"/>
      <c r="H66" s="268" t="n"/>
      <c r="I66" s="268" t="n"/>
      <c r="J66" s="268" t="n"/>
      <c r="K66" s="81" t="n"/>
    </row>
    <row r="67" ht="13.7" customHeight="1" s="566">
      <c r="A67" s="81" t="n"/>
      <c r="B67" s="268" t="n"/>
      <c r="C67" s="268" t="n"/>
      <c r="D67" s="268" t="n"/>
      <c r="E67" s="268" t="n"/>
      <c r="F67" s="268" t="n"/>
      <c r="G67" s="268" t="n"/>
      <c r="H67" s="268" t="n"/>
      <c r="I67" s="268" t="n"/>
      <c r="J67" s="268" t="n"/>
      <c r="K67" s="81" t="n"/>
    </row>
    <row r="68" ht="13.7" customHeight="1" s="566">
      <c r="A68" s="81" t="n"/>
      <c r="B68" s="268" t="n"/>
      <c r="C68" s="268" t="n"/>
      <c r="D68" s="268" t="n"/>
      <c r="E68" s="268" t="n"/>
      <c r="F68" s="268" t="n"/>
      <c r="G68" s="268" t="n"/>
      <c r="H68" s="268" t="n"/>
      <c r="I68" s="268" t="n"/>
      <c r="J68" s="268" t="n"/>
      <c r="K68" s="81" t="n"/>
    </row>
    <row r="69" ht="13.7" customHeight="1" s="566">
      <c r="A69" s="81" t="n"/>
      <c r="B69" s="268" t="n"/>
      <c r="C69" s="268" t="n"/>
      <c r="D69" s="268" t="n"/>
      <c r="E69" s="268" t="n"/>
      <c r="F69" s="268" t="n"/>
      <c r="G69" s="268" t="n"/>
      <c r="H69" s="268" t="n"/>
      <c r="I69" s="268" t="n"/>
      <c r="J69" s="268" t="n"/>
      <c r="K69" s="81" t="n"/>
    </row>
    <row r="70" ht="13.7" customHeight="1" s="566">
      <c r="A70" s="81" t="n"/>
      <c r="B70" s="268" t="n"/>
      <c r="C70" s="268" t="n"/>
      <c r="D70" s="268" t="n"/>
      <c r="E70" s="268" t="n"/>
      <c r="F70" s="268" t="n"/>
      <c r="G70" s="268" t="n"/>
      <c r="H70" s="268" t="n"/>
      <c r="I70" s="268" t="n"/>
      <c r="J70" s="268" t="n"/>
      <c r="K70" s="81" t="n"/>
    </row>
    <row r="71" ht="13.7" customHeight="1" s="566">
      <c r="A71" s="81" t="n"/>
      <c r="B71" s="268" t="n"/>
      <c r="C71" s="268" t="n"/>
      <c r="D71" s="268" t="n"/>
      <c r="E71" s="268" t="n"/>
      <c r="F71" s="268" t="n"/>
      <c r="G71" s="268" t="n"/>
      <c r="H71" s="268" t="n"/>
      <c r="I71" s="268" t="n"/>
      <c r="J71" s="268" t="n"/>
      <c r="K71" s="81" t="n"/>
    </row>
    <row r="72" ht="13.7" customHeight="1" s="566">
      <c r="A72" s="81" t="n"/>
      <c r="B72" s="268" t="n"/>
      <c r="C72" s="268" t="n"/>
      <c r="D72" s="268" t="n"/>
      <c r="E72" s="268" t="n"/>
      <c r="F72" s="268" t="n"/>
      <c r="G72" s="268" t="n"/>
      <c r="H72" s="268" t="n"/>
      <c r="I72" s="268" t="n"/>
      <c r="J72" s="268" t="n"/>
      <c r="K72" s="81" t="n"/>
    </row>
    <row r="73" ht="13.7" customHeight="1" s="566">
      <c r="A73" s="81" t="n"/>
      <c r="B73" s="268" t="n"/>
      <c r="C73" s="268" t="n"/>
      <c r="D73" s="268" t="n"/>
      <c r="E73" s="268" t="n"/>
      <c r="F73" s="268" t="n"/>
      <c r="G73" s="268" t="n"/>
      <c r="H73" s="268" t="n"/>
      <c r="I73" s="268" t="n"/>
      <c r="J73" s="268" t="n"/>
      <c r="K73" s="81" t="n"/>
    </row>
    <row r="74" ht="13.7" customHeight="1" s="566">
      <c r="A74" s="81" t="n"/>
      <c r="B74" s="268" t="n"/>
      <c r="C74" s="268" t="n"/>
      <c r="D74" s="268" t="n"/>
      <c r="E74" s="268" t="n"/>
      <c r="F74" s="268" t="n"/>
      <c r="G74" s="268" t="n"/>
      <c r="H74" s="268" t="n"/>
      <c r="I74" s="268" t="n"/>
      <c r="J74" s="268" t="n"/>
      <c r="K74" s="81" t="n"/>
    </row>
    <row r="75" ht="13.7" customHeight="1" s="566">
      <c r="A75" s="81" t="n"/>
      <c r="B75" s="268" t="n"/>
      <c r="C75" s="268" t="n"/>
      <c r="D75" s="268" t="n"/>
      <c r="E75" s="268" t="n"/>
      <c r="F75" s="268" t="n"/>
      <c r="G75" s="268" t="n"/>
      <c r="H75" s="268" t="n"/>
      <c r="I75" s="268" t="n"/>
      <c r="J75" s="268" t="n"/>
      <c r="K75" s="81" t="n"/>
    </row>
    <row r="76" ht="13.7" customHeight="1" s="566">
      <c r="A76" s="81" t="n"/>
      <c r="B76" s="268" t="n"/>
      <c r="C76" s="268" t="n"/>
      <c r="D76" s="268" t="n"/>
      <c r="E76" s="268" t="n"/>
      <c r="F76" s="268" t="n"/>
      <c r="G76" s="268" t="n"/>
      <c r="H76" s="268" t="n"/>
      <c r="I76" s="268" t="n"/>
      <c r="J76" s="268" t="n"/>
      <c r="K76" s="81" t="n"/>
    </row>
    <row r="77" ht="13.7" customHeight="1" s="566">
      <c r="A77" s="81" t="n"/>
      <c r="B77" s="268" t="n"/>
      <c r="C77" s="268" t="n"/>
      <c r="D77" s="268" t="n"/>
      <c r="E77" s="268" t="n"/>
      <c r="F77" s="268" t="n"/>
      <c r="G77" s="268" t="n"/>
      <c r="H77" s="268" t="n"/>
      <c r="I77" s="268" t="n"/>
      <c r="J77" s="268" t="n"/>
      <c r="K77" s="81" t="n"/>
    </row>
    <row r="78" ht="13.7" customHeight="1" s="566">
      <c r="A78" s="81" t="n"/>
      <c r="B78" s="268" t="n"/>
      <c r="C78" s="268" t="n"/>
      <c r="D78" s="268" t="n"/>
      <c r="E78" s="268" t="n"/>
      <c r="F78" s="268" t="n"/>
      <c r="G78" s="268" t="n"/>
      <c r="H78" s="268" t="n"/>
      <c r="I78" s="268" t="n"/>
      <c r="J78" s="268" t="n"/>
      <c r="K78" s="81" t="n"/>
    </row>
    <row r="79" ht="13.7" customHeight="1" s="566">
      <c r="A79" s="81" t="n"/>
      <c r="B79" s="268" t="n"/>
      <c r="C79" s="268" t="n"/>
      <c r="D79" s="268" t="n"/>
      <c r="E79" s="268" t="n"/>
      <c r="F79" s="268" t="n"/>
      <c r="G79" s="268" t="n"/>
      <c r="H79" s="268" t="n"/>
      <c r="I79" s="268" t="n"/>
      <c r="J79" s="268" t="n"/>
      <c r="K79" s="81" t="n"/>
    </row>
    <row r="80" ht="13.7" customHeight="1" s="566">
      <c r="A80" s="81" t="n"/>
      <c r="B80" s="268" t="n"/>
      <c r="C80" s="268" t="n"/>
      <c r="D80" s="268" t="n"/>
      <c r="E80" s="268" t="n"/>
      <c r="F80" s="268" t="n"/>
      <c r="G80" s="268" t="n"/>
      <c r="H80" s="268" t="n"/>
      <c r="I80" s="268" t="n"/>
      <c r="J80" s="268" t="n"/>
      <c r="K80" s="81" t="n"/>
    </row>
    <row r="81" ht="13.7" customHeight="1" s="566">
      <c r="A81" s="81" t="n"/>
      <c r="B81" s="268" t="n"/>
      <c r="C81" s="268" t="n"/>
      <c r="D81" s="268" t="n"/>
      <c r="E81" s="268" t="n"/>
      <c r="F81" s="268" t="n"/>
      <c r="G81" s="268" t="n"/>
      <c r="H81" s="268" t="n"/>
      <c r="I81" s="268" t="n"/>
      <c r="J81" s="268" t="n"/>
      <c r="K81" s="81" t="n"/>
    </row>
    <row r="82" ht="13.7" customHeight="1" s="566">
      <c r="A82" s="81" t="n"/>
      <c r="B82" s="268" t="n"/>
      <c r="C82" s="268" t="n"/>
      <c r="D82" s="268" t="n"/>
      <c r="E82" s="268" t="n"/>
      <c r="F82" s="268" t="n"/>
      <c r="G82" s="268" t="n"/>
      <c r="H82" s="268" t="n"/>
      <c r="I82" s="268" t="n"/>
      <c r="J82" s="268" t="n"/>
      <c r="K82" s="81" t="n"/>
    </row>
    <row r="83" ht="13.7" customHeight="1" s="566">
      <c r="A83" s="81" t="n"/>
      <c r="B83" s="268" t="n"/>
      <c r="C83" s="268" t="n"/>
      <c r="D83" s="268" t="n"/>
      <c r="E83" s="268" t="n"/>
      <c r="F83" s="268" t="n"/>
      <c r="G83" s="268" t="n"/>
      <c r="H83" s="268" t="n"/>
      <c r="I83" s="268" t="n"/>
      <c r="J83" s="268" t="n"/>
      <c r="K83" s="81" t="n"/>
    </row>
    <row r="84" ht="13.7" customHeight="1" s="566">
      <c r="A84" s="81" t="n"/>
      <c r="B84" s="268" t="n"/>
      <c r="C84" s="268" t="n"/>
      <c r="D84" s="268" t="n"/>
      <c r="E84" s="268" t="n"/>
      <c r="F84" s="268" t="n"/>
      <c r="G84" s="268" t="n"/>
      <c r="H84" s="268" t="n"/>
      <c r="I84" s="268" t="n"/>
      <c r="J84" s="268" t="n"/>
      <c r="K84" s="81" t="n"/>
    </row>
    <row r="85" ht="13.7" customHeight="1" s="566">
      <c r="A85" s="81" t="n"/>
      <c r="B85" s="268" t="n"/>
      <c r="C85" s="268" t="n"/>
      <c r="D85" s="268" t="n"/>
      <c r="E85" s="268" t="n"/>
      <c r="F85" s="268" t="n"/>
      <c r="G85" s="268" t="n"/>
      <c r="H85" s="268" t="n"/>
      <c r="I85" s="268" t="n"/>
      <c r="J85" s="268" t="n"/>
      <c r="K85" s="81" t="n"/>
    </row>
    <row r="86" ht="13.7" customHeight="1" s="566">
      <c r="A86" s="81" t="n"/>
      <c r="B86" s="268" t="n"/>
      <c r="C86" s="268" t="n"/>
      <c r="D86" s="268" t="n"/>
      <c r="E86" s="268" t="n"/>
      <c r="F86" s="268" t="n"/>
      <c r="G86" s="268" t="n"/>
      <c r="H86" s="268" t="n"/>
      <c r="I86" s="268" t="n"/>
      <c r="J86" s="268" t="n"/>
      <c r="K86" s="81" t="n"/>
    </row>
    <row r="87" ht="13.7" customHeight="1" s="566">
      <c r="A87" s="81" t="n"/>
      <c r="B87" s="268" t="n"/>
      <c r="C87" s="268" t="n"/>
      <c r="D87" s="268" t="n"/>
      <c r="E87" s="268" t="n"/>
      <c r="F87" s="268" t="n"/>
      <c r="G87" s="268" t="n"/>
      <c r="H87" s="268" t="n"/>
      <c r="I87" s="268" t="n"/>
      <c r="J87" s="268" t="n"/>
      <c r="K87" s="81" t="n"/>
    </row>
  </sheetData>
  <dataValidations count="2">
    <dataValidation sqref="B3:B52" showDropDown="0" showInputMessage="1" showErrorMessage="1" allowBlank="1" type="list">
      <formula1>"No,Yes"</formula1>
    </dataValidation>
    <dataValidation sqref="C3:G52" showDropDown="0" showInputMessage="1" showErrorMessage="1" allowBlank="1" type="list">
      <formula1>"Yes,No"</formula1>
    </dataValidation>
  </dataValidations>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L40"/>
  <sheetViews>
    <sheetView showGridLines="0" workbookViewId="0">
      <selection activeCell="A1" sqref="A1"/>
    </sheetView>
  </sheetViews>
  <sheetFormatPr baseColWidth="8" defaultColWidth="9" defaultRowHeight="12.75" customHeight="1"/>
  <cols>
    <col width="13.33203125" customWidth="1" style="1" min="1" max="1"/>
    <col width="14.6640625" customWidth="1" style="1" min="2" max="2"/>
    <col width="12.33203125" customWidth="1" style="1" min="3" max="3"/>
    <col width="15" customWidth="1" style="1" min="4" max="4"/>
    <col width="9" customWidth="1" style="1" min="5" max="5"/>
    <col width="13.6640625" customWidth="1" style="1" min="6" max="6"/>
    <col width="16.6640625" customWidth="1" style="1" min="7" max="7"/>
    <col width="18.6640625" customWidth="1" style="1" min="8" max="9"/>
    <col width="21.1640625" customWidth="1" style="1" min="10" max="10"/>
    <col width="16.1640625" customWidth="1" style="1" min="11" max="11"/>
    <col width="9" customWidth="1" style="1" min="12" max="13"/>
    <col width="9" customWidth="1" style="1" min="14" max="16384"/>
  </cols>
  <sheetData>
    <row r="1" ht="51.75" customHeight="1" s="566">
      <c r="A1" s="237" t="inlineStr">
        <is>
          <t>Visitor First Name</t>
        </is>
      </c>
      <c r="B1" s="238" t="inlineStr">
        <is>
          <t>Visitor Last Name</t>
        </is>
      </c>
      <c r="C1" s="238" t="inlineStr">
        <is>
          <t>Visitor Organization</t>
        </is>
      </c>
      <c r="D1" s="238" t="inlineStr">
        <is>
          <t>Role</t>
        </is>
      </c>
      <c r="E1" s="238" t="inlineStr">
        <is>
          <t>Mobile Phone</t>
        </is>
      </c>
      <c r="F1" s="238" t="inlineStr">
        <is>
          <t>Purpose of Visit(s)</t>
        </is>
      </c>
      <c r="G1" s="238" t="inlineStr">
        <is>
          <t>Visit Authorized By</t>
        </is>
      </c>
      <c r="H1" s="238" t="inlineStr">
        <is>
          <t>Authorization Begins</t>
        </is>
      </c>
      <c r="I1" s="238" t="inlineStr">
        <is>
          <t>Authorization Ends</t>
        </is>
      </c>
      <c r="J1" s="238" t="inlineStr">
        <is>
          <t>Information Categories Individual is Authorized to View/Access</t>
        </is>
      </c>
      <c r="K1" s="238" t="inlineStr">
        <is>
          <t>Area(s) Invididual is Authorized to Visit</t>
        </is>
      </c>
      <c r="L1" s="239" t="inlineStr">
        <is>
          <t>Escort Required</t>
        </is>
      </c>
    </row>
    <row r="2" ht="22.5" customHeight="1" s="566">
      <c r="A2" s="240" t="n"/>
      <c r="B2" s="606" t="n"/>
      <c r="C2" s="606" t="n"/>
      <c r="D2" s="606" t="n"/>
      <c r="E2" s="606" t="n"/>
      <c r="F2" s="606" t="n"/>
      <c r="G2" s="606" t="n"/>
      <c r="H2" s="606" t="n"/>
      <c r="I2" s="606" t="n"/>
      <c r="J2" s="606" t="n"/>
      <c r="K2" s="606" t="n"/>
      <c r="L2" s="242" t="n"/>
    </row>
    <row r="3" ht="22.5" customHeight="1" s="566">
      <c r="A3" s="243" t="n"/>
      <c r="B3" s="244" t="n"/>
      <c r="C3" s="244" t="n"/>
      <c r="D3" s="244" t="n"/>
      <c r="E3" s="244" t="n"/>
      <c r="F3" s="244" t="n"/>
      <c r="G3" s="244" t="n"/>
      <c r="H3" s="244" t="n"/>
      <c r="I3" s="244" t="n"/>
      <c r="J3" s="244" t="n"/>
      <c r="K3" s="244" t="n"/>
      <c r="L3" s="245" t="n"/>
    </row>
    <row r="4" ht="22.5" customHeight="1" s="566">
      <c r="A4" s="243" t="n"/>
      <c r="B4" s="244" t="n"/>
      <c r="C4" s="244" t="n"/>
      <c r="D4" s="244" t="n"/>
      <c r="E4" s="244" t="n"/>
      <c r="F4" s="244" t="n"/>
      <c r="G4" s="244" t="n"/>
      <c r="H4" s="244" t="n"/>
      <c r="I4" s="244" t="n"/>
      <c r="J4" s="244" t="n"/>
      <c r="K4" s="244" t="n"/>
      <c r="L4" s="245" t="n"/>
    </row>
    <row r="5" ht="22.5" customHeight="1" s="566">
      <c r="A5" s="243" t="n"/>
      <c r="B5" s="244" t="n"/>
      <c r="C5" s="244" t="n"/>
      <c r="D5" s="244" t="n"/>
      <c r="E5" s="244" t="n"/>
      <c r="F5" s="244" t="n"/>
      <c r="G5" s="244" t="n"/>
      <c r="H5" s="244" t="n"/>
      <c r="I5" s="244" t="n"/>
      <c r="J5" s="244" t="n"/>
      <c r="K5" s="244" t="n"/>
      <c r="L5" s="245" t="n"/>
    </row>
    <row r="6" ht="22.5" customHeight="1" s="566">
      <c r="A6" s="243" t="n"/>
      <c r="B6" s="244" t="n"/>
      <c r="C6" s="244" t="n"/>
      <c r="D6" s="244" t="n"/>
      <c r="E6" s="244" t="n"/>
      <c r="F6" s="244" t="n"/>
      <c r="G6" s="244" t="n"/>
      <c r="H6" s="244" t="n"/>
      <c r="I6" s="244" t="n"/>
      <c r="J6" s="244" t="n"/>
      <c r="K6" s="244" t="n"/>
      <c r="L6" s="245" t="n"/>
    </row>
    <row r="7" ht="22.5" customHeight="1" s="566">
      <c r="A7" s="243" t="n"/>
      <c r="B7" s="244" t="n"/>
      <c r="C7" s="244" t="n"/>
      <c r="D7" s="244" t="n"/>
      <c r="E7" s="244" t="n"/>
      <c r="F7" s="244" t="n"/>
      <c r="G7" s="244" t="n"/>
      <c r="H7" s="244" t="n"/>
      <c r="I7" s="244" t="n"/>
      <c r="J7" s="244" t="n"/>
      <c r="K7" s="244" t="n"/>
      <c r="L7" s="245" t="n"/>
    </row>
    <row r="8" ht="22.5" customHeight="1" s="566">
      <c r="A8" s="243" t="n"/>
      <c r="B8" s="244" t="n"/>
      <c r="C8" s="244" t="n"/>
      <c r="D8" s="244" t="n"/>
      <c r="E8" s="244" t="n"/>
      <c r="F8" s="244" t="n"/>
      <c r="G8" s="244" t="n"/>
      <c r="H8" s="244" t="n"/>
      <c r="I8" s="244" t="n"/>
      <c r="J8" s="244" t="n"/>
      <c r="K8" s="244" t="n"/>
      <c r="L8" s="245" t="n"/>
    </row>
    <row r="9" ht="22.5" customHeight="1" s="566">
      <c r="A9" s="243" t="n"/>
      <c r="B9" s="244" t="n"/>
      <c r="C9" s="244" t="n"/>
      <c r="D9" s="244" t="n"/>
      <c r="E9" s="244" t="n"/>
      <c r="F9" s="244" t="n"/>
      <c r="G9" s="244" t="n"/>
      <c r="H9" s="244" t="n"/>
      <c r="I9" s="244" t="n"/>
      <c r="J9" s="244" t="n"/>
      <c r="K9" s="244" t="n"/>
      <c r="L9" s="245" t="n"/>
    </row>
    <row r="10" ht="22.5" customHeight="1" s="566">
      <c r="A10" s="243" t="n"/>
      <c r="B10" s="244" t="n"/>
      <c r="C10" s="244" t="n"/>
      <c r="D10" s="244" t="n"/>
      <c r="E10" s="244" t="n"/>
      <c r="F10" s="244" t="n"/>
      <c r="G10" s="244" t="n"/>
      <c r="H10" s="244" t="n"/>
      <c r="I10" s="244" t="n"/>
      <c r="J10" s="244" t="n"/>
      <c r="K10" s="244" t="n"/>
      <c r="L10" s="245" t="n"/>
    </row>
    <row r="11" ht="22.5" customHeight="1" s="566">
      <c r="A11" s="243" t="n"/>
      <c r="B11" s="244" t="n"/>
      <c r="C11" s="244" t="n"/>
      <c r="D11" s="244" t="n"/>
      <c r="E11" s="244" t="n"/>
      <c r="F11" s="244" t="n"/>
      <c r="G11" s="244" t="n"/>
      <c r="H11" s="244" t="n"/>
      <c r="I11" s="244" t="n"/>
      <c r="J11" s="244" t="n"/>
      <c r="K11" s="244" t="n"/>
      <c r="L11" s="245" t="n"/>
    </row>
    <row r="12" ht="22.5" customHeight="1" s="566">
      <c r="A12" s="243" t="n"/>
      <c r="B12" s="244" t="n"/>
      <c r="C12" s="244" t="n"/>
      <c r="D12" s="244" t="n"/>
      <c r="E12" s="244" t="n"/>
      <c r="F12" s="244" t="n"/>
      <c r="G12" s="244" t="n"/>
      <c r="H12" s="244" t="n"/>
      <c r="I12" s="244" t="n"/>
      <c r="J12" s="244" t="n"/>
      <c r="K12" s="244" t="n"/>
      <c r="L12" s="245" t="n"/>
    </row>
    <row r="13" ht="22.5" customHeight="1" s="566">
      <c r="A13" s="243" t="n"/>
      <c r="B13" s="244" t="n"/>
      <c r="C13" s="244" t="n"/>
      <c r="D13" s="244" t="n"/>
      <c r="E13" s="244" t="n"/>
      <c r="F13" s="244" t="n"/>
      <c r="G13" s="244" t="n"/>
      <c r="H13" s="244" t="n"/>
      <c r="I13" s="244" t="n"/>
      <c r="J13" s="244" t="n"/>
      <c r="K13" s="244" t="n"/>
      <c r="L13" s="245" t="n"/>
    </row>
    <row r="14" ht="22.5" customHeight="1" s="566">
      <c r="A14" s="243" t="n"/>
      <c r="B14" s="244" t="n"/>
      <c r="C14" s="244" t="n"/>
      <c r="D14" s="244" t="n"/>
      <c r="E14" s="244" t="n"/>
      <c r="F14" s="244" t="n"/>
      <c r="G14" s="244" t="n"/>
      <c r="H14" s="244" t="n"/>
      <c r="I14" s="244" t="n"/>
      <c r="J14" s="244" t="n"/>
      <c r="K14" s="244" t="n"/>
      <c r="L14" s="245" t="n"/>
    </row>
    <row r="15" ht="22.5" customHeight="1" s="566">
      <c r="A15" s="243" t="n"/>
      <c r="B15" s="244" t="n"/>
      <c r="C15" s="244" t="n"/>
      <c r="D15" s="244" t="n"/>
      <c r="E15" s="244" t="n"/>
      <c r="F15" s="244" t="n"/>
      <c r="G15" s="244" t="n"/>
      <c r="H15" s="244" t="n"/>
      <c r="I15" s="244" t="n"/>
      <c r="J15" s="244" t="n"/>
      <c r="K15" s="244" t="n"/>
      <c r="L15" s="245" t="n"/>
    </row>
    <row r="16" ht="22.5" customHeight="1" s="566">
      <c r="A16" s="243" t="n"/>
      <c r="B16" s="244" t="n"/>
      <c r="C16" s="244" t="n"/>
      <c r="D16" s="244" t="n"/>
      <c r="E16" s="244" t="n"/>
      <c r="F16" s="244" t="n"/>
      <c r="G16" s="244" t="n"/>
      <c r="H16" s="244" t="n"/>
      <c r="I16" s="244" t="n"/>
      <c r="J16" s="244" t="n"/>
      <c r="K16" s="244" t="n"/>
      <c r="L16" s="245" t="n"/>
    </row>
    <row r="17" ht="22.5" customHeight="1" s="566">
      <c r="A17" s="243" t="n"/>
      <c r="B17" s="244" t="n"/>
      <c r="C17" s="244" t="n"/>
      <c r="D17" s="244" t="n"/>
      <c r="E17" s="244" t="n"/>
      <c r="F17" s="244" t="n"/>
      <c r="G17" s="244" t="n"/>
      <c r="H17" s="244" t="n"/>
      <c r="I17" s="244" t="n"/>
      <c r="J17" s="244" t="n"/>
      <c r="K17" s="244" t="n"/>
      <c r="L17" s="245" t="n"/>
    </row>
    <row r="18" ht="22.5" customHeight="1" s="566">
      <c r="A18" s="243" t="n"/>
      <c r="B18" s="244" t="n"/>
      <c r="C18" s="244" t="n"/>
      <c r="D18" s="244" t="n"/>
      <c r="E18" s="244" t="n"/>
      <c r="F18" s="244" t="n"/>
      <c r="G18" s="244" t="n"/>
      <c r="H18" s="244" t="n"/>
      <c r="I18" s="244" t="n"/>
      <c r="J18" s="244" t="n"/>
      <c r="K18" s="244" t="n"/>
      <c r="L18" s="245" t="n"/>
    </row>
    <row r="19" ht="22.5" customHeight="1" s="566">
      <c r="A19" s="243" t="n"/>
      <c r="B19" s="244" t="n"/>
      <c r="C19" s="244" t="n"/>
      <c r="D19" s="244" t="n"/>
      <c r="E19" s="244" t="n"/>
      <c r="F19" s="244" t="n"/>
      <c r="G19" s="244" t="n"/>
      <c r="H19" s="244" t="n"/>
      <c r="I19" s="244" t="n"/>
      <c r="J19" s="244" t="n"/>
      <c r="K19" s="244" t="n"/>
      <c r="L19" s="245" t="n"/>
    </row>
    <row r="20" ht="22.5" customHeight="1" s="566">
      <c r="A20" s="243" t="n"/>
      <c r="B20" s="244" t="n"/>
      <c r="C20" s="244" t="n"/>
      <c r="D20" s="244" t="n"/>
      <c r="E20" s="244" t="n"/>
      <c r="F20" s="244" t="n"/>
      <c r="G20" s="244" t="n"/>
      <c r="H20" s="244" t="n"/>
      <c r="I20" s="244" t="n"/>
      <c r="J20" s="244" t="n"/>
      <c r="K20" s="244" t="n"/>
      <c r="L20" s="245" t="n"/>
    </row>
    <row r="21" ht="22.5" customHeight="1" s="566">
      <c r="A21" s="246" t="n"/>
      <c r="B21" s="608" t="n"/>
      <c r="C21" s="608" t="n"/>
      <c r="D21" s="608" t="n"/>
      <c r="E21" s="608" t="n"/>
      <c r="F21" s="608" t="n"/>
      <c r="G21" s="608" t="n"/>
      <c r="H21" s="608" t="n"/>
      <c r="I21" s="608" t="n"/>
      <c r="J21" s="608" t="n"/>
      <c r="K21" s="608" t="n"/>
      <c r="L21" s="248" t="n"/>
    </row>
    <row r="22" ht="22.5" customHeight="1" s="566">
      <c r="A22" s="266" t="n"/>
      <c r="B22" s="266" t="n"/>
      <c r="C22" s="266" t="n"/>
      <c r="D22" s="266" t="n"/>
      <c r="E22" s="266" t="n"/>
      <c r="F22" s="266" t="n"/>
      <c r="G22" s="266" t="n"/>
      <c r="H22" s="266" t="n"/>
      <c r="I22" s="266" t="n"/>
      <c r="J22" s="266" t="n"/>
      <c r="K22" s="266" t="n"/>
      <c r="L22" s="266" t="n"/>
    </row>
    <row r="23" ht="22.5" customHeight="1" s="566">
      <c r="A23" s="81" t="n"/>
      <c r="B23" s="81" t="n"/>
      <c r="C23" s="81" t="n"/>
      <c r="D23" s="81" t="n"/>
      <c r="E23" s="81" t="n"/>
      <c r="F23" s="81" t="n"/>
      <c r="G23" s="81" t="n"/>
      <c r="H23" s="81" t="n"/>
      <c r="I23" s="81" t="n"/>
      <c r="J23" s="81" t="n"/>
      <c r="K23" s="81" t="n"/>
      <c r="L23" s="81" t="n"/>
    </row>
    <row r="24" ht="22.5" customHeight="1" s="566">
      <c r="A24" s="81" t="n"/>
      <c r="B24" s="81" t="n"/>
      <c r="C24" s="81" t="n"/>
      <c r="D24" s="81" t="n"/>
      <c r="E24" s="81" t="n"/>
      <c r="F24" s="81" t="n"/>
      <c r="G24" s="81" t="n"/>
      <c r="H24" s="81" t="n"/>
      <c r="I24" s="81" t="n"/>
      <c r="J24" s="81" t="n"/>
      <c r="K24" s="81" t="n"/>
      <c r="L24" s="81" t="n"/>
    </row>
    <row r="25" ht="22.5" customHeight="1" s="566">
      <c r="A25" s="81" t="n"/>
      <c r="B25" s="81" t="n"/>
      <c r="C25" s="81" t="n"/>
      <c r="D25" s="81" t="n"/>
      <c r="E25" s="81" t="n"/>
      <c r="F25" s="81" t="n"/>
      <c r="G25" s="81" t="n"/>
      <c r="H25" s="81" t="n"/>
      <c r="I25" s="81" t="n"/>
      <c r="J25" s="81" t="n"/>
      <c r="K25" s="81" t="n"/>
      <c r="L25" s="81" t="n"/>
    </row>
    <row r="26" ht="22.5" customHeight="1" s="566">
      <c r="A26" s="81" t="n"/>
      <c r="B26" s="81" t="n"/>
      <c r="C26" s="81" t="n"/>
      <c r="D26" s="81" t="n"/>
      <c r="E26" s="81" t="n"/>
      <c r="F26" s="81" t="n"/>
      <c r="G26" s="81" t="n"/>
      <c r="H26" s="81" t="n"/>
      <c r="I26" s="81" t="n"/>
      <c r="J26" s="81" t="n"/>
      <c r="K26" s="81" t="n"/>
      <c r="L26" s="81" t="n"/>
    </row>
    <row r="27" ht="22.5" customHeight="1" s="566">
      <c r="A27" s="81" t="n"/>
      <c r="B27" s="81" t="n"/>
      <c r="C27" s="81" t="n"/>
      <c r="D27" s="81" t="n"/>
      <c r="E27" s="81" t="n"/>
      <c r="F27" s="81" t="n"/>
      <c r="G27" s="81" t="n"/>
      <c r="H27" s="81" t="n"/>
      <c r="I27" s="81" t="n"/>
      <c r="J27" s="81" t="n"/>
      <c r="K27" s="81" t="n"/>
      <c r="L27" s="81" t="n"/>
    </row>
    <row r="28" ht="22.5" customHeight="1" s="566">
      <c r="A28" s="81" t="n"/>
      <c r="B28" s="81" t="n"/>
      <c r="C28" s="81" t="n"/>
      <c r="D28" s="81" t="n"/>
      <c r="E28" s="81" t="n"/>
      <c r="F28" s="81" t="n"/>
      <c r="G28" s="81" t="n"/>
      <c r="H28" s="81" t="n"/>
      <c r="I28" s="81" t="n"/>
      <c r="J28" s="81" t="n"/>
      <c r="K28" s="81" t="n"/>
      <c r="L28" s="81" t="n"/>
    </row>
    <row r="29" ht="22.5" customHeight="1" s="566">
      <c r="A29" s="81" t="n"/>
      <c r="B29" s="81" t="n"/>
      <c r="C29" s="81" t="n"/>
      <c r="D29" s="81" t="n"/>
      <c r="E29" s="81" t="n"/>
      <c r="F29" s="81" t="n"/>
      <c r="G29" s="81" t="n"/>
      <c r="H29" s="81" t="n"/>
      <c r="I29" s="81" t="n"/>
      <c r="J29" s="81" t="n"/>
      <c r="K29" s="81" t="n"/>
      <c r="L29" s="81" t="n"/>
    </row>
    <row r="30" ht="22.5" customHeight="1" s="566">
      <c r="A30" s="81" t="n"/>
      <c r="B30" s="81" t="n"/>
      <c r="C30" s="81" t="n"/>
      <c r="D30" s="81" t="n"/>
      <c r="E30" s="81" t="n"/>
      <c r="F30" s="81" t="n"/>
      <c r="G30" s="81" t="n"/>
      <c r="H30" s="81" t="n"/>
      <c r="I30" s="81" t="n"/>
      <c r="J30" s="81" t="n"/>
      <c r="K30" s="81" t="n"/>
      <c r="L30" s="81" t="n"/>
    </row>
    <row r="31" ht="22.5" customHeight="1" s="566">
      <c r="A31" s="81" t="n"/>
      <c r="B31" s="81" t="n"/>
      <c r="C31" s="81" t="n"/>
      <c r="D31" s="81" t="n"/>
      <c r="E31" s="81" t="n"/>
      <c r="F31" s="81" t="n"/>
      <c r="G31" s="81" t="n"/>
      <c r="H31" s="81" t="n"/>
      <c r="I31" s="81" t="n"/>
      <c r="J31" s="81" t="n"/>
      <c r="K31" s="81" t="n"/>
      <c r="L31" s="81" t="n"/>
    </row>
    <row r="32" ht="22.5" customHeight="1" s="566">
      <c r="A32" s="81" t="n"/>
      <c r="B32" s="81" t="n"/>
      <c r="C32" s="81" t="n"/>
      <c r="D32" s="81" t="n"/>
      <c r="E32" s="81" t="n"/>
      <c r="F32" s="81" t="n"/>
      <c r="G32" s="81" t="n"/>
      <c r="H32" s="81" t="n"/>
      <c r="I32" s="81" t="n"/>
      <c r="J32" s="81" t="n"/>
      <c r="K32" s="81" t="n"/>
      <c r="L32" s="81" t="n"/>
    </row>
    <row r="33" ht="22.5" customHeight="1" s="566">
      <c r="A33" s="81" t="n"/>
      <c r="B33" s="81" t="n"/>
      <c r="C33" s="81" t="n"/>
      <c r="D33" s="81" t="n"/>
      <c r="E33" s="81" t="n"/>
      <c r="F33" s="81" t="n"/>
      <c r="G33" s="81" t="n"/>
      <c r="H33" s="81" t="n"/>
      <c r="I33" s="81" t="n"/>
      <c r="J33" s="81" t="n"/>
      <c r="K33" s="81" t="n"/>
      <c r="L33" s="81" t="n"/>
    </row>
    <row r="34" ht="22.5" customHeight="1" s="566">
      <c r="A34" s="81" t="n"/>
      <c r="B34" s="81" t="n"/>
      <c r="C34" s="81" t="n"/>
      <c r="D34" s="81" t="n"/>
      <c r="E34" s="81" t="n"/>
      <c r="F34" s="81" t="n"/>
      <c r="G34" s="81" t="n"/>
      <c r="H34" s="81" t="n"/>
      <c r="I34" s="81" t="n"/>
      <c r="J34" s="81" t="n"/>
      <c r="K34" s="81" t="n"/>
      <c r="L34" s="81" t="n"/>
    </row>
    <row r="35" ht="22.5" customHeight="1" s="566">
      <c r="A35" s="81" t="n"/>
      <c r="B35" s="81" t="n"/>
      <c r="C35" s="81" t="n"/>
      <c r="D35" s="81" t="n"/>
      <c r="E35" s="81" t="n"/>
      <c r="F35" s="81" t="n"/>
      <c r="G35" s="81" t="n"/>
      <c r="H35" s="81" t="n"/>
      <c r="I35" s="81" t="n"/>
      <c r="J35" s="81" t="n"/>
      <c r="K35" s="81" t="n"/>
      <c r="L35" s="81" t="n"/>
    </row>
    <row r="36" ht="22.5" customHeight="1" s="566">
      <c r="A36" s="81" t="n"/>
      <c r="B36" s="81" t="n"/>
      <c r="C36" s="81" t="n"/>
      <c r="D36" s="81" t="n"/>
      <c r="E36" s="81" t="n"/>
      <c r="F36" s="81" t="n"/>
      <c r="G36" s="81" t="n"/>
      <c r="H36" s="81" t="n"/>
      <c r="I36" s="81" t="n"/>
      <c r="J36" s="81" t="n"/>
      <c r="K36" s="81" t="n"/>
      <c r="L36" s="81" t="n"/>
    </row>
    <row r="37" ht="13.5" customHeight="1" s="566">
      <c r="A37" s="81" t="n"/>
      <c r="B37" s="81" t="n"/>
      <c r="C37" s="81" t="n"/>
      <c r="D37" s="81" t="n"/>
      <c r="E37" s="81" t="n"/>
      <c r="F37" s="81" t="n"/>
      <c r="G37" s="81" t="n"/>
      <c r="H37" s="81" t="n"/>
      <c r="I37" s="81" t="n"/>
      <c r="J37" s="81" t="n"/>
      <c r="K37" s="81" t="n"/>
      <c r="L37" s="81" t="n"/>
    </row>
    <row r="38" ht="13.5" customHeight="1" s="566">
      <c r="A38" s="81" t="n"/>
      <c r="B38" s="81" t="n"/>
      <c r="C38" s="81" t="n"/>
      <c r="D38" s="81" t="n"/>
      <c r="E38" s="81" t="n"/>
      <c r="F38" s="81" t="n"/>
      <c r="G38" s="81" t="n"/>
      <c r="H38" s="81" t="n"/>
      <c r="I38" s="81" t="n"/>
      <c r="J38" s="81" t="n"/>
      <c r="K38" s="81" t="n"/>
      <c r="L38" s="81" t="n"/>
    </row>
    <row r="39" ht="13.5" customHeight="1" s="566">
      <c r="A39" s="81" t="n"/>
      <c r="B39" s="81" t="n"/>
      <c r="C39" s="81" t="n"/>
      <c r="D39" s="81" t="n"/>
      <c r="E39" s="81" t="n"/>
      <c r="F39" s="81" t="n"/>
      <c r="G39" s="81" t="n"/>
      <c r="H39" s="81" t="n"/>
      <c r="I39" s="81" t="n"/>
      <c r="J39" s="81" t="n"/>
      <c r="K39" s="81" t="n"/>
      <c r="L39" s="81" t="n"/>
    </row>
    <row r="40" ht="13.5" customHeight="1" s="566">
      <c r="A40" s="81" t="n"/>
      <c r="B40" s="81" t="n"/>
      <c r="C40" s="81" t="n"/>
      <c r="D40" s="81" t="n"/>
      <c r="E40" s="81" t="n"/>
      <c r="F40" s="81" t="n"/>
      <c r="G40" s="81" t="n"/>
      <c r="H40" s="81" t="n"/>
      <c r="I40" s="81" t="n"/>
      <c r="J40" s="81" t="n"/>
      <c r="K40" s="81" t="n"/>
      <c r="L40" s="81" t="n"/>
    </row>
  </sheetData>
  <pageMargins left="0.25" right="0.25" top="0.75" bottom="0.75" header="0.3" footer="0.3"/>
  <pageSetup orientation="landscape"/>
  <headerFooter>
    <oddHeader/>
    <oddFooter>&amp;C&amp;"Helvetica Neue,Regular"&amp;12 &amp;K000000&amp;P</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I21"/>
  <sheetViews>
    <sheetView showGridLines="0" workbookViewId="0">
      <selection activeCell="A1" sqref="A1"/>
    </sheetView>
  </sheetViews>
  <sheetFormatPr baseColWidth="8" defaultColWidth="9" defaultRowHeight="12.75" customHeight="1"/>
  <cols>
    <col width="14.1640625" customWidth="1" style="1" min="1" max="9"/>
    <col width="9" customWidth="1" style="1" min="10" max="10"/>
    <col width="9" customWidth="1" style="1" min="11" max="16384"/>
  </cols>
  <sheetData>
    <row r="1" ht="25.5" customHeight="1" s="566">
      <c r="A1" s="269" t="inlineStr">
        <is>
          <t>Visitor First Name</t>
        </is>
      </c>
      <c r="B1" s="270" t="inlineStr">
        <is>
          <t>Visitor Last Name</t>
        </is>
      </c>
      <c r="C1" s="270" t="inlineStr">
        <is>
          <t>Arrival Date</t>
        </is>
      </c>
      <c r="D1" s="270" t="inlineStr">
        <is>
          <t>Arrival Time</t>
        </is>
      </c>
      <c r="E1" s="270" t="inlineStr">
        <is>
          <t>Previously Authorized?</t>
        </is>
      </c>
      <c r="F1" s="270" t="inlineStr">
        <is>
          <t>Authorized By</t>
        </is>
      </c>
      <c r="G1" s="270" t="inlineStr">
        <is>
          <t>Escort Name</t>
        </is>
      </c>
      <c r="H1" s="270" t="inlineStr">
        <is>
          <t>Departure Date</t>
        </is>
      </c>
      <c r="I1" s="271" t="inlineStr">
        <is>
          <t>Departure Time</t>
        </is>
      </c>
    </row>
    <row r="2" ht="21.75" customHeight="1" s="566">
      <c r="A2" s="243" t="n"/>
      <c r="B2" s="244" t="n"/>
      <c r="C2" s="244" t="n"/>
      <c r="D2" s="244" t="n"/>
      <c r="E2" s="244" t="n"/>
      <c r="F2" s="244" t="n"/>
      <c r="G2" s="244" t="n"/>
      <c r="H2" s="244" t="n"/>
      <c r="I2" s="245" t="n"/>
    </row>
    <row r="3" ht="21.75" customHeight="1" s="566">
      <c r="A3" s="243" t="n"/>
      <c r="B3" s="244" t="n"/>
      <c r="C3" s="244" t="n"/>
      <c r="D3" s="244" t="n"/>
      <c r="E3" s="244" t="n"/>
      <c r="F3" s="244" t="n"/>
      <c r="G3" s="244" t="n"/>
      <c r="H3" s="244" t="n"/>
      <c r="I3" s="245" t="n"/>
    </row>
    <row r="4" ht="21.75" customHeight="1" s="566">
      <c r="A4" s="243" t="n"/>
      <c r="B4" s="244" t="n"/>
      <c r="C4" s="244" t="n"/>
      <c r="D4" s="244" t="n"/>
      <c r="E4" s="244" t="n"/>
      <c r="F4" s="244" t="n"/>
      <c r="G4" s="244" t="n"/>
      <c r="H4" s="244" t="n"/>
      <c r="I4" s="245" t="n"/>
    </row>
    <row r="5" ht="21.75" customHeight="1" s="566">
      <c r="A5" s="243" t="n"/>
      <c r="B5" s="244" t="n"/>
      <c r="C5" s="244" t="n"/>
      <c r="D5" s="244" t="n"/>
      <c r="E5" s="244" t="n"/>
      <c r="F5" s="244" t="n"/>
      <c r="G5" s="244" t="n"/>
      <c r="H5" s="244" t="n"/>
      <c r="I5" s="245" t="n"/>
    </row>
    <row r="6" ht="21.75" customHeight="1" s="566">
      <c r="A6" s="243" t="n"/>
      <c r="B6" s="244" t="n"/>
      <c r="C6" s="244" t="n"/>
      <c r="D6" s="244" t="n"/>
      <c r="E6" s="244" t="n"/>
      <c r="F6" s="244" t="n"/>
      <c r="G6" s="244" t="n"/>
      <c r="H6" s="244" t="n"/>
      <c r="I6" s="245" t="n"/>
    </row>
    <row r="7" ht="21.75" customHeight="1" s="566">
      <c r="A7" s="243" t="n"/>
      <c r="B7" s="244" t="n"/>
      <c r="C7" s="244" t="n"/>
      <c r="D7" s="244" t="n"/>
      <c r="E7" s="244" t="n"/>
      <c r="F7" s="244" t="n"/>
      <c r="G7" s="244" t="n"/>
      <c r="H7" s="244" t="n"/>
      <c r="I7" s="245" t="n"/>
    </row>
    <row r="8" ht="21.75" customHeight="1" s="566">
      <c r="A8" s="243" t="n"/>
      <c r="B8" s="244" t="n"/>
      <c r="C8" s="244" t="n"/>
      <c r="D8" s="244" t="n"/>
      <c r="E8" s="244" t="n"/>
      <c r="F8" s="244" t="n"/>
      <c r="G8" s="244" t="n"/>
      <c r="H8" s="244" t="n"/>
      <c r="I8" s="245" t="n"/>
    </row>
    <row r="9" ht="21.75" customHeight="1" s="566">
      <c r="A9" s="243" t="n"/>
      <c r="B9" s="244" t="n"/>
      <c r="C9" s="244" t="n"/>
      <c r="D9" s="244" t="n"/>
      <c r="E9" s="244" t="n"/>
      <c r="F9" s="244" t="n"/>
      <c r="G9" s="244" t="n"/>
      <c r="H9" s="244" t="n"/>
      <c r="I9" s="245" t="n"/>
    </row>
    <row r="10" ht="21.75" customHeight="1" s="566">
      <c r="A10" s="243" t="n"/>
      <c r="B10" s="244" t="n"/>
      <c r="C10" s="244" t="n"/>
      <c r="D10" s="244" t="n"/>
      <c r="E10" s="244" t="n"/>
      <c r="F10" s="244" t="n"/>
      <c r="G10" s="244" t="n"/>
      <c r="H10" s="244" t="n"/>
      <c r="I10" s="245" t="n"/>
    </row>
    <row r="11" ht="21.75" customHeight="1" s="566">
      <c r="A11" s="243" t="n"/>
      <c r="B11" s="244" t="n"/>
      <c r="C11" s="244" t="n"/>
      <c r="D11" s="244" t="n"/>
      <c r="E11" s="244" t="n"/>
      <c r="F11" s="244" t="n"/>
      <c r="G11" s="244" t="n"/>
      <c r="H11" s="244" t="n"/>
      <c r="I11" s="245" t="n"/>
    </row>
    <row r="12" ht="21.75" customHeight="1" s="566">
      <c r="A12" s="243" t="n"/>
      <c r="B12" s="244" t="n"/>
      <c r="C12" s="244" t="n"/>
      <c r="D12" s="244" t="n"/>
      <c r="E12" s="244" t="n"/>
      <c r="F12" s="244" t="n"/>
      <c r="G12" s="244" t="n"/>
      <c r="H12" s="244" t="n"/>
      <c r="I12" s="245" t="n"/>
    </row>
    <row r="13" ht="21.75" customHeight="1" s="566">
      <c r="A13" s="243" t="n"/>
      <c r="B13" s="244" t="n"/>
      <c r="C13" s="244" t="n"/>
      <c r="D13" s="244" t="n"/>
      <c r="E13" s="244" t="n"/>
      <c r="F13" s="244" t="n"/>
      <c r="G13" s="244" t="n"/>
      <c r="H13" s="244" t="n"/>
      <c r="I13" s="245" t="n"/>
    </row>
    <row r="14" ht="21.75" customHeight="1" s="566">
      <c r="A14" s="243" t="n"/>
      <c r="B14" s="244" t="n"/>
      <c r="C14" s="244" t="n"/>
      <c r="D14" s="244" t="n"/>
      <c r="E14" s="244" t="n"/>
      <c r="F14" s="244" t="n"/>
      <c r="G14" s="244" t="n"/>
      <c r="H14" s="244" t="n"/>
      <c r="I14" s="245" t="n"/>
    </row>
    <row r="15" ht="21.75" customHeight="1" s="566">
      <c r="A15" s="243" t="n"/>
      <c r="B15" s="244" t="n"/>
      <c r="C15" s="244" t="n"/>
      <c r="D15" s="244" t="n"/>
      <c r="E15" s="244" t="n"/>
      <c r="F15" s="244" t="n"/>
      <c r="G15" s="244" t="n"/>
      <c r="H15" s="244" t="n"/>
      <c r="I15" s="245" t="n"/>
    </row>
    <row r="16" ht="21.75" customHeight="1" s="566">
      <c r="A16" s="243" t="n"/>
      <c r="B16" s="244" t="n"/>
      <c r="C16" s="244" t="n"/>
      <c r="D16" s="244" t="n"/>
      <c r="E16" s="244" t="n"/>
      <c r="F16" s="244" t="n"/>
      <c r="G16" s="244" t="n"/>
      <c r="H16" s="244" t="n"/>
      <c r="I16" s="245" t="n"/>
    </row>
    <row r="17" ht="21.75" customHeight="1" s="566">
      <c r="A17" s="243" t="n"/>
      <c r="B17" s="244" t="n"/>
      <c r="C17" s="244" t="n"/>
      <c r="D17" s="244" t="n"/>
      <c r="E17" s="244" t="n"/>
      <c r="F17" s="244" t="n"/>
      <c r="G17" s="244" t="n"/>
      <c r="H17" s="244" t="n"/>
      <c r="I17" s="245" t="n"/>
    </row>
    <row r="18" ht="21.75" customHeight="1" s="566">
      <c r="A18" s="243" t="n"/>
      <c r="B18" s="244" t="n"/>
      <c r="C18" s="244" t="n"/>
      <c r="D18" s="244" t="n"/>
      <c r="E18" s="244" t="n"/>
      <c r="F18" s="244" t="n"/>
      <c r="G18" s="244" t="n"/>
      <c r="H18" s="244" t="n"/>
      <c r="I18" s="245" t="n"/>
    </row>
    <row r="19" ht="21.75" customHeight="1" s="566">
      <c r="A19" s="243" t="n"/>
      <c r="B19" s="244" t="n"/>
      <c r="C19" s="244" t="n"/>
      <c r="D19" s="244" t="n"/>
      <c r="E19" s="244" t="n"/>
      <c r="F19" s="244" t="n"/>
      <c r="G19" s="244" t="n"/>
      <c r="H19" s="244" t="n"/>
      <c r="I19" s="245" t="n"/>
    </row>
    <row r="20" ht="21.75" customHeight="1" s="566">
      <c r="A20" s="243" t="n"/>
      <c r="B20" s="244" t="n"/>
      <c r="C20" s="244" t="n"/>
      <c r="D20" s="244" t="n"/>
      <c r="E20" s="244" t="n"/>
      <c r="F20" s="244" t="n"/>
      <c r="G20" s="244" t="n"/>
      <c r="H20" s="244" t="n"/>
      <c r="I20" s="245" t="n"/>
    </row>
    <row r="21" ht="21.75" customHeight="1" s="566">
      <c r="A21" s="246" t="n"/>
      <c r="B21" s="608" t="n"/>
      <c r="C21" s="608" t="n"/>
      <c r="D21" s="608" t="n"/>
      <c r="E21" s="608" t="n"/>
      <c r="F21" s="608" t="n"/>
      <c r="G21" s="608" t="n"/>
      <c r="H21" s="608" t="n"/>
      <c r="I21" s="248" t="n"/>
    </row>
  </sheetData>
  <pageMargins left="0.7" right="0.7" top="0.75" bottom="0.75" header="0.3" footer="0.3"/>
  <pageSetup orientation="landscape"/>
  <headerFooter>
    <oddHeader/>
    <oddFooter>&amp;C&amp;"Helvetica Neue,Regular"&amp;12 &amp;K000000&amp;P</oddFooter>
    <evenHeader/>
    <evenFooter/>
    <firstHeader/>
    <firstFooter/>
  </headerFooter>
</worksheet>
</file>

<file path=xl/worksheets/sheet13.xml><?xml version="1.0" encoding="utf-8"?>
<worksheet xmlns="http://schemas.openxmlformats.org/spreadsheetml/2006/main">
  <sheetPr>
    <outlinePr summaryBelow="1" summaryRight="1"/>
    <pageSetUpPr/>
  </sheetPr>
  <dimension ref="A1:L41"/>
  <sheetViews>
    <sheetView showGridLines="0" topLeftCell="K1" workbookViewId="0">
      <selection activeCell="A1" sqref="A1"/>
    </sheetView>
  </sheetViews>
  <sheetFormatPr baseColWidth="8" defaultColWidth="9.1640625" defaultRowHeight="15" customHeight="1"/>
  <cols>
    <col width="20.6640625" customWidth="1" style="1" min="1" max="1"/>
    <col width="14.83203125" customWidth="1" style="1" min="2" max="2"/>
    <col width="19.6640625" customWidth="1" style="1" min="3" max="3"/>
    <col width="16.1640625" customWidth="1" style="1" min="4" max="5"/>
    <col width="22.6640625" customWidth="1" style="1" min="6" max="6"/>
    <col width="25.33203125" customWidth="1" style="1" min="7" max="7"/>
    <col width="21.1640625" customWidth="1" style="1" min="8" max="9"/>
    <col width="24.83203125" customWidth="1" style="1" min="10" max="10"/>
    <col width="21.1640625" customWidth="1" style="1" min="11" max="11"/>
    <col width="9.1640625" customWidth="1" style="1" min="12" max="13"/>
    <col width="9.1640625" customWidth="1" style="1" min="14" max="16384"/>
  </cols>
  <sheetData>
    <row r="1" ht="15.75" customHeight="1" s="566">
      <c r="A1" s="272" t="inlineStr">
        <is>
          <t>Organization Name:</t>
        </is>
      </c>
      <c r="B1" s="761" t="n"/>
      <c r="C1" s="887" t="n"/>
      <c r="D1" s="887" t="n"/>
      <c r="E1" s="887" t="n"/>
      <c r="F1" s="902" t="n"/>
      <c r="G1" s="272" t="inlineStr">
        <is>
          <t>Inventory Date</t>
        </is>
      </c>
      <c r="H1" s="273" t="n"/>
      <c r="I1" s="272" t="inlineStr">
        <is>
          <t>Inventoried By</t>
        </is>
      </c>
      <c r="J1" s="759" t="n"/>
      <c r="K1" s="902" t="n"/>
      <c r="L1" s="274" t="n"/>
    </row>
    <row r="2" ht="21.6" customHeight="1" s="566">
      <c r="A2" s="757" t="inlineStr">
        <is>
          <t>System Name/ Description</t>
        </is>
      </c>
      <c r="B2" s="755" t="inlineStr">
        <is>
          <t>Accessible by the Public?</t>
        </is>
      </c>
      <c r="C2" s="764" t="inlineStr">
        <is>
          <t>Potential Business Impact</t>
        </is>
      </c>
      <c r="D2" s="900" t="n"/>
      <c r="E2" s="889" t="n"/>
      <c r="F2" s="757" t="inlineStr">
        <is>
          <t>Physical Machine(s)/ Cloud Service Provider</t>
        </is>
      </c>
      <c r="G2" s="767" t="inlineStr">
        <is>
          <t>Virtual Machine(s)/ Capabilities</t>
        </is>
      </c>
      <c r="H2" s="767" t="inlineStr">
        <is>
          <t>Datacenter/Office</t>
        </is>
      </c>
      <c r="I2" s="755" t="inlineStr">
        <is>
          <t>Subnet/VLAN</t>
        </is>
      </c>
      <c r="J2" s="757" t="inlineStr">
        <is>
          <t>Responsible Technical Point(s) of Contact (Role/Person)</t>
        </is>
      </c>
      <c r="K2" s="755" t="inlineStr">
        <is>
          <t>Accountable System Owner (Role)</t>
        </is>
      </c>
      <c r="L2" s="274" t="n"/>
    </row>
    <row r="3" ht="35.25" customHeight="1" s="566">
      <c r="A3" s="891" t="n"/>
      <c r="B3" s="903" t="n"/>
      <c r="C3" s="275" t="inlineStr">
        <is>
          <t>Confidentiality</t>
        </is>
      </c>
      <c r="D3" s="276" t="inlineStr">
        <is>
          <t>Integrity</t>
        </is>
      </c>
      <c r="E3" s="277" t="inlineStr">
        <is>
          <t>Availability</t>
        </is>
      </c>
      <c r="F3" s="891" t="n"/>
      <c r="G3" s="894" t="n"/>
      <c r="H3" s="894" t="n"/>
      <c r="I3" s="903" t="n"/>
      <c r="J3" s="891" t="n"/>
      <c r="K3" s="903" t="n"/>
      <c r="L3" s="278" t="n"/>
    </row>
    <row r="4" ht="14.1" customHeight="1" s="566">
      <c r="A4" s="279" t="n"/>
      <c r="B4" s="127" t="n"/>
      <c r="C4" s="279" t="n"/>
      <c r="D4" s="280" t="n"/>
      <c r="E4" s="127" t="n"/>
      <c r="F4" s="279" t="n"/>
      <c r="G4" s="280" t="n"/>
      <c r="H4" s="280" t="n"/>
      <c r="I4" s="127" t="n"/>
      <c r="J4" s="279" t="n"/>
      <c r="K4" s="127" t="n"/>
      <c r="L4" s="274" t="n"/>
    </row>
    <row r="5" ht="13.5" customHeight="1" s="566">
      <c r="A5" s="281" t="n"/>
      <c r="B5" s="282" t="n"/>
      <c r="C5" s="281" t="n"/>
      <c r="D5" s="283" t="n"/>
      <c r="E5" s="282" t="n"/>
      <c r="F5" s="281" t="n"/>
      <c r="G5" s="283" t="n"/>
      <c r="H5" s="283" t="n"/>
      <c r="I5" s="282" t="n"/>
      <c r="J5" s="281" t="n"/>
      <c r="K5" s="282" t="n"/>
      <c r="L5" s="274" t="n"/>
    </row>
    <row r="6" ht="13.5" customHeight="1" s="566">
      <c r="A6" s="281" t="n"/>
      <c r="B6" s="282" t="n"/>
      <c r="C6" s="281" t="n"/>
      <c r="D6" s="283" t="n"/>
      <c r="E6" s="282" t="n"/>
      <c r="F6" s="281" t="n"/>
      <c r="G6" s="283" t="n"/>
      <c r="H6" s="283" t="n"/>
      <c r="I6" s="282" t="n"/>
      <c r="J6" s="281" t="n"/>
      <c r="K6" s="282" t="n"/>
      <c r="L6" s="274" t="n"/>
    </row>
    <row r="7" ht="13.5" customHeight="1" s="566">
      <c r="A7" s="281" t="n"/>
      <c r="B7" s="282" t="n"/>
      <c r="C7" s="281" t="n"/>
      <c r="D7" s="283" t="n"/>
      <c r="E7" s="282" t="n"/>
      <c r="F7" s="281" t="n"/>
      <c r="G7" s="283" t="n"/>
      <c r="H7" s="283" t="n"/>
      <c r="I7" s="282" t="n"/>
      <c r="J7" s="281" t="n"/>
      <c r="K7" s="282" t="n"/>
      <c r="L7" s="274" t="n"/>
    </row>
    <row r="8" ht="13.5" customHeight="1" s="566">
      <c r="A8" s="281" t="n"/>
      <c r="B8" s="282" t="n"/>
      <c r="C8" s="281" t="n"/>
      <c r="D8" s="283" t="n"/>
      <c r="E8" s="282" t="n"/>
      <c r="F8" s="281" t="n"/>
      <c r="G8" s="283" t="n"/>
      <c r="H8" s="283" t="n"/>
      <c r="I8" s="282" t="n"/>
      <c r="J8" s="281" t="n"/>
      <c r="K8" s="282" t="n"/>
      <c r="L8" s="274" t="n"/>
    </row>
    <row r="9" ht="13.5" customHeight="1" s="566">
      <c r="A9" s="281" t="n"/>
      <c r="B9" s="282" t="n"/>
      <c r="C9" s="281" t="n"/>
      <c r="D9" s="283" t="n"/>
      <c r="E9" s="282" t="n"/>
      <c r="F9" s="281" t="n"/>
      <c r="G9" s="283" t="n"/>
      <c r="H9" s="283" t="n"/>
      <c r="I9" s="282" t="n"/>
      <c r="J9" s="281" t="n"/>
      <c r="K9" s="282" t="n"/>
      <c r="L9" s="274" t="n"/>
    </row>
    <row r="10" ht="16.5" customHeight="1" s="566">
      <c r="A10" s="281" t="n"/>
      <c r="B10" s="282" t="n"/>
      <c r="C10" s="281" t="n"/>
      <c r="D10" s="283" t="n"/>
      <c r="E10" s="282" t="n"/>
      <c r="F10" s="281" t="n"/>
      <c r="G10" s="283" t="n"/>
      <c r="H10" s="283" t="n"/>
      <c r="I10" s="282" t="n"/>
      <c r="J10" s="281" t="n"/>
      <c r="K10" s="282" t="n"/>
      <c r="L10" s="274" t="n"/>
    </row>
    <row r="11" ht="15" customHeight="1" s="566">
      <c r="A11" s="281" t="n"/>
      <c r="B11" s="282" t="n"/>
      <c r="C11" s="281" t="n"/>
      <c r="D11" s="283" t="n"/>
      <c r="E11" s="282" t="n"/>
      <c r="F11" s="281" t="n"/>
      <c r="G11" s="283" t="n"/>
      <c r="H11" s="283" t="n"/>
      <c r="I11" s="282" t="n"/>
      <c r="J11" s="281" t="n"/>
      <c r="K11" s="282" t="n"/>
      <c r="L11" s="274" t="n"/>
    </row>
    <row r="12" ht="15" customHeight="1" s="566">
      <c r="A12" s="281" t="n"/>
      <c r="B12" s="282" t="n"/>
      <c r="C12" s="281" t="n"/>
      <c r="D12" s="283" t="n"/>
      <c r="E12" s="282" t="n"/>
      <c r="F12" s="281" t="n"/>
      <c r="G12" s="283" t="n"/>
      <c r="H12" s="283" t="n"/>
      <c r="I12" s="282" t="n"/>
      <c r="J12" s="281" t="n"/>
      <c r="K12" s="282" t="n"/>
      <c r="L12" s="274" t="n"/>
    </row>
    <row r="13" ht="16.5" customHeight="1" s="566">
      <c r="A13" s="281" t="n"/>
      <c r="B13" s="282" t="n"/>
      <c r="C13" s="281" t="n"/>
      <c r="D13" s="283" t="n"/>
      <c r="E13" s="282" t="n"/>
      <c r="F13" s="281" t="n"/>
      <c r="G13" s="283" t="n"/>
      <c r="H13" s="283" t="n"/>
      <c r="I13" s="282" t="n"/>
      <c r="J13" s="281" t="n"/>
      <c r="K13" s="282" t="n"/>
      <c r="L13" s="274" t="n"/>
    </row>
    <row r="14" ht="15" customHeight="1" s="566">
      <c r="A14" s="281" t="n"/>
      <c r="B14" s="282" t="n"/>
      <c r="C14" s="281" t="n"/>
      <c r="D14" s="283" t="n"/>
      <c r="E14" s="282" t="n"/>
      <c r="F14" s="281" t="n"/>
      <c r="G14" s="283" t="n"/>
      <c r="H14" s="283" t="n"/>
      <c r="I14" s="282" t="n"/>
      <c r="J14" s="281" t="n"/>
      <c r="K14" s="282" t="n"/>
      <c r="L14" s="274" t="n"/>
    </row>
    <row r="15" ht="15" customHeight="1" s="566">
      <c r="A15" s="281" t="n"/>
      <c r="B15" s="282" t="n"/>
      <c r="C15" s="281" t="n"/>
      <c r="D15" s="283" t="n"/>
      <c r="E15" s="282" t="n"/>
      <c r="F15" s="281" t="n"/>
      <c r="G15" s="283" t="n"/>
      <c r="H15" s="283" t="n"/>
      <c r="I15" s="282" t="n"/>
      <c r="J15" s="281" t="n"/>
      <c r="K15" s="282" t="n"/>
      <c r="L15" s="274" t="n"/>
    </row>
    <row r="16" ht="13.5" customHeight="1" s="566">
      <c r="A16" s="281" t="n"/>
      <c r="B16" s="282" t="n"/>
      <c r="C16" s="281" t="n"/>
      <c r="D16" s="283" t="n"/>
      <c r="E16" s="282" t="n"/>
      <c r="F16" s="281" t="n"/>
      <c r="G16" s="283" t="n"/>
      <c r="H16" s="283" t="n"/>
      <c r="I16" s="282" t="n"/>
      <c r="J16" s="281" t="n"/>
      <c r="K16" s="282" t="n"/>
      <c r="L16" s="274" t="n"/>
    </row>
    <row r="17" ht="13.5" customHeight="1" s="566">
      <c r="A17" s="281" t="n"/>
      <c r="B17" s="282" t="n"/>
      <c r="C17" s="281" t="n"/>
      <c r="D17" s="283" t="n"/>
      <c r="E17" s="282" t="n"/>
      <c r="F17" s="281" t="n"/>
      <c r="G17" s="283" t="n"/>
      <c r="H17" s="283" t="n"/>
      <c r="I17" s="282" t="n"/>
      <c r="J17" s="281" t="n"/>
      <c r="K17" s="282" t="n"/>
      <c r="L17" s="274" t="n"/>
    </row>
    <row r="18" ht="13.5" customHeight="1" s="566">
      <c r="A18" s="281" t="n"/>
      <c r="B18" s="282" t="n"/>
      <c r="C18" s="281" t="n"/>
      <c r="D18" s="283" t="n"/>
      <c r="E18" s="282" t="n"/>
      <c r="F18" s="281" t="n"/>
      <c r="G18" s="283" t="n"/>
      <c r="H18" s="283" t="n"/>
      <c r="I18" s="282" t="n"/>
      <c r="J18" s="281" t="n"/>
      <c r="K18" s="282" t="n"/>
      <c r="L18" s="274" t="n"/>
    </row>
    <row r="19" ht="13.5" customHeight="1" s="566">
      <c r="A19" s="281" t="n"/>
      <c r="B19" s="282" t="n"/>
      <c r="C19" s="281" t="n"/>
      <c r="D19" s="283" t="n"/>
      <c r="E19" s="282" t="n"/>
      <c r="F19" s="281" t="n"/>
      <c r="G19" s="283" t="n"/>
      <c r="H19" s="283" t="n"/>
      <c r="I19" s="282" t="n"/>
      <c r="J19" s="281" t="n"/>
      <c r="K19" s="282" t="n"/>
      <c r="L19" s="274" t="n"/>
    </row>
    <row r="20" ht="13.5" customHeight="1" s="566">
      <c r="A20" s="281" t="n"/>
      <c r="B20" s="282" t="n"/>
      <c r="C20" s="281" t="n"/>
      <c r="D20" s="283" t="n"/>
      <c r="E20" s="282" t="n"/>
      <c r="F20" s="281" t="n"/>
      <c r="G20" s="283" t="n"/>
      <c r="H20" s="283" t="n"/>
      <c r="I20" s="282" t="n"/>
      <c r="J20" s="281" t="n"/>
      <c r="K20" s="282" t="n"/>
      <c r="L20" s="274" t="n"/>
    </row>
    <row r="21" ht="13.5" customHeight="1" s="566">
      <c r="A21" s="281" t="n"/>
      <c r="B21" s="282" t="n"/>
      <c r="C21" s="281" t="n"/>
      <c r="D21" s="283" t="n"/>
      <c r="E21" s="282" t="n"/>
      <c r="F21" s="281" t="n"/>
      <c r="G21" s="283" t="n"/>
      <c r="H21" s="283" t="n"/>
      <c r="I21" s="282" t="n"/>
      <c r="J21" s="281" t="n"/>
      <c r="K21" s="282" t="n"/>
      <c r="L21" s="274" t="n"/>
    </row>
    <row r="22" ht="13.5" customHeight="1" s="566">
      <c r="A22" s="281" t="n"/>
      <c r="B22" s="282" t="n"/>
      <c r="C22" s="281" t="n"/>
      <c r="D22" s="283" t="n"/>
      <c r="E22" s="282" t="n"/>
      <c r="F22" s="281" t="n"/>
      <c r="G22" s="283" t="n"/>
      <c r="H22" s="283" t="n"/>
      <c r="I22" s="282" t="n"/>
      <c r="J22" s="281" t="n"/>
      <c r="K22" s="282" t="n"/>
      <c r="L22" s="274" t="n"/>
    </row>
    <row r="23" ht="13.5" customHeight="1" s="566">
      <c r="A23" s="281" t="n"/>
      <c r="B23" s="282" t="n"/>
      <c r="C23" s="281" t="n"/>
      <c r="D23" s="283" t="n"/>
      <c r="E23" s="282" t="n"/>
      <c r="F23" s="281" t="n"/>
      <c r="G23" s="283" t="n"/>
      <c r="H23" s="283" t="n"/>
      <c r="I23" s="282" t="n"/>
      <c r="J23" s="281" t="n"/>
      <c r="K23" s="282" t="n"/>
      <c r="L23" s="274" t="n"/>
    </row>
    <row r="24" ht="13.5" customHeight="1" s="566">
      <c r="A24" s="281" t="n"/>
      <c r="B24" s="282" t="n"/>
      <c r="C24" s="281" t="n"/>
      <c r="D24" s="283" t="n"/>
      <c r="E24" s="282" t="n"/>
      <c r="F24" s="281" t="n"/>
      <c r="G24" s="283" t="n"/>
      <c r="H24" s="283" t="n"/>
      <c r="I24" s="282" t="n"/>
      <c r="J24" s="281" t="n"/>
      <c r="K24" s="282" t="n"/>
      <c r="L24" s="274" t="n"/>
    </row>
    <row r="25" ht="13.5" customHeight="1" s="566">
      <c r="A25" s="281" t="n"/>
      <c r="B25" s="282" t="n"/>
      <c r="C25" s="281" t="n"/>
      <c r="D25" s="283" t="n"/>
      <c r="E25" s="282" t="n"/>
      <c r="F25" s="281" t="n"/>
      <c r="G25" s="283" t="n"/>
      <c r="H25" s="283" t="n"/>
      <c r="I25" s="282" t="n"/>
      <c r="J25" s="281" t="n"/>
      <c r="K25" s="282" t="n"/>
      <c r="L25" s="274" t="n"/>
    </row>
    <row r="26" ht="13.5" customHeight="1" s="566">
      <c r="A26" s="281" t="n"/>
      <c r="B26" s="282" t="n"/>
      <c r="C26" s="281" t="n"/>
      <c r="D26" s="283" t="n"/>
      <c r="E26" s="282" t="n"/>
      <c r="F26" s="281" t="n"/>
      <c r="G26" s="283" t="n"/>
      <c r="H26" s="283" t="n"/>
      <c r="I26" s="282" t="n"/>
      <c r="J26" s="281" t="n"/>
      <c r="K26" s="282" t="n"/>
      <c r="L26" s="274" t="n"/>
    </row>
    <row r="27" ht="13.5" customHeight="1" s="566">
      <c r="A27" s="281" t="n"/>
      <c r="B27" s="282" t="n"/>
      <c r="C27" s="281" t="n"/>
      <c r="D27" s="283" t="n"/>
      <c r="E27" s="282" t="n"/>
      <c r="F27" s="281" t="n"/>
      <c r="G27" s="283" t="n"/>
      <c r="H27" s="283" t="n"/>
      <c r="I27" s="282" t="n"/>
      <c r="J27" s="281" t="n"/>
      <c r="K27" s="282" t="n"/>
      <c r="L27" s="274" t="n"/>
    </row>
    <row r="28" ht="13.5" customHeight="1" s="566">
      <c r="A28" s="281" t="n"/>
      <c r="B28" s="282" t="n"/>
      <c r="C28" s="281" t="n"/>
      <c r="D28" s="283" t="n"/>
      <c r="E28" s="282" t="n"/>
      <c r="F28" s="281" t="n"/>
      <c r="G28" s="283" t="n"/>
      <c r="H28" s="283" t="n"/>
      <c r="I28" s="282" t="n"/>
      <c r="J28" s="281" t="n"/>
      <c r="K28" s="282" t="n"/>
      <c r="L28" s="274" t="n"/>
    </row>
    <row r="29" ht="13.5" customHeight="1" s="566">
      <c r="A29" s="281" t="n"/>
      <c r="B29" s="282" t="n"/>
      <c r="C29" s="281" t="n"/>
      <c r="D29" s="283" t="n"/>
      <c r="E29" s="282" t="n"/>
      <c r="F29" s="281" t="n"/>
      <c r="G29" s="283" t="n"/>
      <c r="H29" s="283" t="n"/>
      <c r="I29" s="282" t="n"/>
      <c r="J29" s="281" t="n"/>
      <c r="K29" s="282" t="n"/>
      <c r="L29" s="274" t="n"/>
    </row>
    <row r="30" ht="13.5" customHeight="1" s="566">
      <c r="A30" s="281" t="n"/>
      <c r="B30" s="282" t="n"/>
      <c r="C30" s="281" t="n"/>
      <c r="D30" s="283" t="n"/>
      <c r="E30" s="282" t="n"/>
      <c r="F30" s="281" t="n"/>
      <c r="G30" s="283" t="n"/>
      <c r="H30" s="283" t="n"/>
      <c r="I30" s="282" t="n"/>
      <c r="J30" s="281" t="n"/>
      <c r="K30" s="282" t="n"/>
      <c r="L30" s="274" t="n"/>
    </row>
    <row r="31" ht="13.5" customHeight="1" s="566">
      <c r="A31" s="281" t="n"/>
      <c r="B31" s="282" t="n"/>
      <c r="C31" s="281" t="n"/>
      <c r="D31" s="283" t="n"/>
      <c r="E31" s="282" t="n"/>
      <c r="F31" s="281" t="n"/>
      <c r="G31" s="283" t="n"/>
      <c r="H31" s="283" t="n"/>
      <c r="I31" s="282" t="n"/>
      <c r="J31" s="281" t="n"/>
      <c r="K31" s="282" t="n"/>
      <c r="L31" s="274" t="n"/>
    </row>
    <row r="32" ht="13.5" customHeight="1" s="566">
      <c r="A32" s="281" t="n"/>
      <c r="B32" s="282" t="n"/>
      <c r="C32" s="281" t="n"/>
      <c r="D32" s="283" t="n"/>
      <c r="E32" s="282" t="n"/>
      <c r="F32" s="281" t="n"/>
      <c r="G32" s="283" t="n"/>
      <c r="H32" s="283" t="n"/>
      <c r="I32" s="282" t="n"/>
      <c r="J32" s="281" t="n"/>
      <c r="K32" s="282" t="n"/>
      <c r="L32" s="274" t="n"/>
    </row>
    <row r="33" ht="13.5" customHeight="1" s="566">
      <c r="A33" s="281" t="n"/>
      <c r="B33" s="282" t="n"/>
      <c r="C33" s="281" t="n"/>
      <c r="D33" s="283" t="n"/>
      <c r="E33" s="282" t="n"/>
      <c r="F33" s="281" t="n"/>
      <c r="G33" s="283" t="n"/>
      <c r="H33" s="283" t="n"/>
      <c r="I33" s="282" t="n"/>
      <c r="J33" s="281" t="n"/>
      <c r="K33" s="282" t="n"/>
      <c r="L33" s="274" t="n"/>
    </row>
    <row r="34" ht="13.5" customHeight="1" s="566">
      <c r="A34" s="281" t="n"/>
      <c r="B34" s="282" t="n"/>
      <c r="C34" s="281" t="n"/>
      <c r="D34" s="283" t="n"/>
      <c r="E34" s="282" t="n"/>
      <c r="F34" s="281" t="n"/>
      <c r="G34" s="283" t="n"/>
      <c r="H34" s="283" t="n"/>
      <c r="I34" s="282" t="n"/>
      <c r="J34" s="281" t="n"/>
      <c r="K34" s="282" t="n"/>
      <c r="L34" s="274" t="n"/>
    </row>
    <row r="35" ht="13.5" customHeight="1" s="566">
      <c r="A35" s="281" t="n"/>
      <c r="B35" s="282" t="n"/>
      <c r="C35" s="281" t="n"/>
      <c r="D35" s="283" t="n"/>
      <c r="E35" s="282" t="n"/>
      <c r="F35" s="281" t="n"/>
      <c r="G35" s="283" t="n"/>
      <c r="H35" s="283" t="n"/>
      <c r="I35" s="282" t="n"/>
      <c r="J35" s="281" t="n"/>
      <c r="K35" s="282" t="n"/>
      <c r="L35" s="274" t="n"/>
    </row>
    <row r="36" ht="13.5" customHeight="1" s="566">
      <c r="A36" s="281" t="n"/>
      <c r="B36" s="282" t="n"/>
      <c r="C36" s="281" t="n"/>
      <c r="D36" s="283" t="n"/>
      <c r="E36" s="282" t="n"/>
      <c r="F36" s="281" t="n"/>
      <c r="G36" s="283" t="n"/>
      <c r="H36" s="283" t="n"/>
      <c r="I36" s="282" t="n"/>
      <c r="J36" s="281" t="n"/>
      <c r="K36" s="282" t="n"/>
      <c r="L36" s="274" t="n"/>
    </row>
    <row r="37" ht="13.5" customHeight="1" s="566">
      <c r="A37" s="281" t="n"/>
      <c r="B37" s="282" t="n"/>
      <c r="C37" s="281" t="n"/>
      <c r="D37" s="283" t="n"/>
      <c r="E37" s="282" t="n"/>
      <c r="F37" s="281" t="n"/>
      <c r="G37" s="283" t="n"/>
      <c r="H37" s="283" t="n"/>
      <c r="I37" s="282" t="n"/>
      <c r="J37" s="281" t="n"/>
      <c r="K37" s="282" t="n"/>
      <c r="L37" s="274" t="n"/>
    </row>
    <row r="38" ht="13.5" customHeight="1" s="566">
      <c r="A38" s="281" t="n"/>
      <c r="B38" s="282" t="n"/>
      <c r="C38" s="281" t="n"/>
      <c r="D38" s="283" t="n"/>
      <c r="E38" s="282" t="n"/>
      <c r="F38" s="281" t="n"/>
      <c r="G38" s="283" t="n"/>
      <c r="H38" s="283" t="n"/>
      <c r="I38" s="282" t="n"/>
      <c r="J38" s="281" t="n"/>
      <c r="K38" s="282" t="n"/>
      <c r="L38" s="274" t="n"/>
    </row>
    <row r="39" ht="13.5" customHeight="1" s="566">
      <c r="A39" s="281" t="n"/>
      <c r="B39" s="282" t="n"/>
      <c r="C39" s="281" t="n"/>
      <c r="D39" s="283" t="n"/>
      <c r="E39" s="282" t="n"/>
      <c r="F39" s="281" t="n"/>
      <c r="G39" s="283" t="n"/>
      <c r="H39" s="283" t="n"/>
      <c r="I39" s="282" t="n"/>
      <c r="J39" s="281" t="n"/>
      <c r="K39" s="282" t="n"/>
      <c r="L39" s="274" t="n"/>
    </row>
    <row r="40" ht="13.5" customHeight="1" s="566">
      <c r="A40" s="281" t="n"/>
      <c r="B40" s="282" t="n"/>
      <c r="C40" s="281" t="n"/>
      <c r="D40" s="283" t="n"/>
      <c r="E40" s="282" t="n"/>
      <c r="F40" s="281" t="n"/>
      <c r="G40" s="283" t="n"/>
      <c r="H40" s="283" t="n"/>
      <c r="I40" s="282" t="n"/>
      <c r="J40" s="281" t="n"/>
      <c r="K40" s="282" t="n"/>
      <c r="L40" s="274" t="n"/>
    </row>
    <row r="41" ht="15.75" customHeight="1" s="566">
      <c r="A41" s="284" t="n"/>
      <c r="B41" s="285" t="n"/>
      <c r="C41" s="284" t="n"/>
      <c r="D41" s="286" t="n"/>
      <c r="E41" s="285" t="n"/>
      <c r="F41" s="284" t="n"/>
      <c r="G41" s="286" t="n"/>
      <c r="H41" s="286" t="n"/>
      <c r="I41" s="285" t="n"/>
      <c r="J41" s="284" t="n"/>
      <c r="K41" s="285" t="n"/>
      <c r="L41" s="274" t="n"/>
    </row>
  </sheetData>
  <mergeCells count="11">
    <mergeCell ref="C2:E2"/>
    <mergeCell ref="I2:I3"/>
    <mergeCell ref="J1:K1"/>
    <mergeCell ref="K2:K3"/>
    <mergeCell ref="A2:A3"/>
    <mergeCell ref="B1:F1"/>
    <mergeCell ref="B2:B3"/>
    <mergeCell ref="F2:F3"/>
    <mergeCell ref="J2:J3"/>
    <mergeCell ref="H2:H3"/>
    <mergeCell ref="G2:G3"/>
  </mergeCells>
  <dataValidations count="1">
    <dataValidation sqref="C4:E41" showDropDown="0" showInputMessage="1" showErrorMessage="1" allowBlank="1" type="list">
      <formula1>"High,Medium,Low"</formula1>
    </dataValidation>
  </dataValidations>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14.xml><?xml version="1.0" encoding="utf-8"?>
<worksheet xmlns="http://schemas.openxmlformats.org/spreadsheetml/2006/main">
  <sheetPr>
    <outlinePr summaryBelow="1" summaryRight="1"/>
    <pageSetUpPr/>
  </sheetPr>
  <dimension ref="A1:AA50"/>
  <sheetViews>
    <sheetView showGridLines="0" workbookViewId="0">
      <selection activeCell="A1" sqref="A1"/>
    </sheetView>
  </sheetViews>
  <sheetFormatPr baseColWidth="8" defaultColWidth="9" defaultRowHeight="12.75" customHeight="1"/>
  <cols>
    <col width="17.83203125" customWidth="1" style="1" min="1" max="2"/>
    <col width="20.83203125" customWidth="1" style="1" min="3" max="3"/>
    <col width="15.6640625" customWidth="1" style="1" min="4" max="4"/>
    <col width="11.6640625" customWidth="1" style="1" min="5" max="5"/>
    <col width="9" customWidth="1" style="1" min="6" max="6"/>
    <col width="15.6640625" customWidth="1" style="1" min="7" max="7"/>
    <col width="22.6640625" customWidth="1" style="1" min="8" max="8"/>
    <col width="30.6640625" customWidth="1" style="1" min="9" max="9"/>
    <col width="15.1640625" customWidth="1" style="1" min="10" max="10"/>
    <col width="22.33203125" customWidth="1" style="1" min="11" max="11"/>
    <col width="16.6640625" customWidth="1" style="1" min="12" max="12"/>
    <col width="12" customWidth="1" style="1" min="13" max="13"/>
    <col width="12.6640625" customWidth="1" style="1" min="14" max="15"/>
    <col width="24" customWidth="1" style="1" min="16" max="16"/>
    <col width="13.33203125" customWidth="1" style="1" min="17" max="17"/>
    <col width="17.1640625" customWidth="1" style="1" min="18" max="18"/>
    <col width="31" customWidth="1" style="1" min="19" max="20"/>
    <col width="30.6640625" customWidth="1" style="1" min="21" max="21"/>
    <col width="16.6640625" customWidth="1" style="1" min="22" max="22"/>
    <col width="27.83203125" customWidth="1" style="1" min="23" max="23"/>
    <col width="15.6640625" customWidth="1" style="1" min="24" max="24"/>
    <col width="29.6640625" customWidth="1" style="1" min="25" max="25"/>
    <col width="27.1640625" customWidth="1" style="1" min="26" max="26"/>
    <col width="9" customWidth="1" style="1" min="27" max="28"/>
    <col width="9" customWidth="1" style="1" min="29" max="16384"/>
  </cols>
  <sheetData>
    <row r="1" ht="88.5" customHeight="1" s="566">
      <c r="A1" s="237" t="inlineStr">
        <is>
          <t>Relevant Requirement(s)/ Objective(s):</t>
        </is>
      </c>
      <c r="B1" s="287" t="inlineStr">
        <is>
          <t>3.1.1c, 3.1.16a, 3.1.14a, 3.1.13a, 3.1.18a, 3.1.19a, 3.1.19b, 3.5.1c, 3.10.1a, 3.13.5a, 3.13.12a, 3.14.2a</t>
        </is>
      </c>
      <c r="C1" s="230" t="inlineStr">
        <is>
          <t>Last Reviewed By:</t>
        </is>
      </c>
      <c r="D1" s="250" t="n"/>
      <c r="E1" s="230" t="inlineStr">
        <is>
          <t>Last Reviewed On:</t>
        </is>
      </c>
      <c r="F1" s="250" t="n"/>
      <c r="G1" s="234" t="n"/>
      <c r="H1" s="235" t="n"/>
      <c r="I1" s="235" t="n"/>
      <c r="J1" s="236" t="n"/>
      <c r="K1" s="236" t="n"/>
      <c r="L1" s="236" t="n"/>
      <c r="M1" s="236" t="n"/>
      <c r="N1" s="236" t="n"/>
      <c r="O1" s="236" t="n"/>
      <c r="P1" s="236" t="n"/>
      <c r="Q1" s="236" t="n"/>
      <c r="R1" s="236" t="n"/>
      <c r="S1" s="236" t="n"/>
      <c r="T1" s="236" t="n"/>
      <c r="U1" s="236" t="n"/>
      <c r="V1" s="236" t="n"/>
      <c r="W1" s="236" t="n"/>
      <c r="X1" s="236" t="n"/>
      <c r="Y1" s="236" t="n"/>
      <c r="Z1" s="236" t="n"/>
      <c r="AA1" s="81" t="n"/>
    </row>
    <row r="2" ht="77.25" customHeight="1" s="566">
      <c r="A2" s="237" t="inlineStr">
        <is>
          <t>Asset Name/ID</t>
        </is>
      </c>
      <c r="B2" s="238" t="inlineStr">
        <is>
          <t>Of Which System(s)/ Subsystem(s) is this a Part (if any)?</t>
        </is>
      </c>
      <c r="C2" s="238" t="inlineStr">
        <is>
          <t>Hardware Make/OEM</t>
        </is>
      </c>
      <c r="D2" s="238" t="inlineStr">
        <is>
          <t>Mobile Device  (Yes/No)</t>
        </is>
      </c>
      <c r="E2" s="238" t="inlineStr">
        <is>
          <t>Model</t>
        </is>
      </c>
      <c r="F2" s="238" t="inlineStr">
        <is>
          <t>Version</t>
        </is>
      </c>
      <c r="G2" s="238" t="inlineStr">
        <is>
          <t>BIOS Version</t>
        </is>
      </c>
      <c r="H2" s="238" t="inlineStr">
        <is>
          <t>Operating System</t>
        </is>
      </c>
      <c r="I2" s="238" t="inlineStr">
        <is>
          <t>Operating System Version</t>
        </is>
      </c>
      <c r="J2" s="238" t="inlineStr">
        <is>
          <t>Includes Wireless Access Point  (Yes/No)</t>
        </is>
      </c>
      <c r="K2" s="238" t="inlineStr">
        <is>
          <t>Name and Version of Encryption Module Used to Secure Wireless Access (Include link to FIPS 140 Validation)</t>
        </is>
      </c>
      <c r="L2" s="238" t="inlineStr">
        <is>
          <t>Provides Managed Remote Access to System (Yes/No)</t>
        </is>
      </c>
      <c r="M2" s="238" t="inlineStr">
        <is>
          <t>Publicly Accessible? (Yes/No)</t>
        </is>
      </c>
      <c r="N2" s="238" t="inlineStr">
        <is>
          <t>Collaborative Computing Device? (Yes/No)</t>
        </is>
      </c>
      <c r="O2" s="238" t="inlineStr">
        <is>
          <t>Authorized to Connect Remotely (Yes/No)</t>
        </is>
      </c>
      <c r="P2" s="238" t="inlineStr">
        <is>
          <t>Name and Version of Encryption Module used to Secure Remote Access Sessions (Include link to FIPS 140 Validation)</t>
        </is>
      </c>
      <c r="Q2" s="238" t="inlineStr">
        <is>
          <t>Malicious Code Protection Required (Yes/No)</t>
        </is>
      </c>
      <c r="R2" s="238" t="inlineStr">
        <is>
          <t>End of Life/End of Support Date</t>
        </is>
      </c>
      <c r="S2" s="238" t="inlineStr">
        <is>
          <t>Accountable person/role</t>
        </is>
      </c>
      <c r="T2" s="238" t="inlineStr">
        <is>
          <t>Physical Location(s) from which Hardware Operates</t>
        </is>
      </c>
      <c r="U2" s="238" t="inlineStr">
        <is>
          <t>Role(s) Permitted Physical Access</t>
        </is>
      </c>
      <c r="V2" s="238" t="inlineStr">
        <is>
          <t>Stores, Transmits, or Processes FCI (Yes/No)</t>
        </is>
      </c>
      <c r="W2" s="238" t="inlineStr">
        <is>
          <t>CUI Type(s) Stored, Processed, or Transmitted</t>
        </is>
      </c>
      <c r="X2" s="238" t="inlineStr">
        <is>
          <t>Is Data Stored on the Device Encrypted by Default?  (Yes/No)</t>
        </is>
      </c>
      <c r="Y2" s="238" t="inlineStr">
        <is>
          <t>Name and Version Number of Encryption Module used to Secure Data Stored on the Device (Include link to FIPS 140 Validation)</t>
        </is>
      </c>
      <c r="Z2" s="239" t="inlineStr">
        <is>
          <t>Asset Category*</t>
        </is>
      </c>
      <c r="AA2" s="253" t="n"/>
    </row>
    <row r="3" ht="15" customHeight="1" s="566">
      <c r="A3" s="258" t="n"/>
      <c r="B3" s="259" t="n"/>
      <c r="C3" s="259" t="n"/>
      <c r="D3" s="259" t="n"/>
      <c r="E3" s="259" t="n"/>
      <c r="F3" s="259" t="n"/>
      <c r="G3" s="259" t="n"/>
      <c r="H3" s="259" t="n"/>
      <c r="I3" s="259" t="n"/>
      <c r="J3" s="259" t="n"/>
      <c r="K3" s="259" t="n"/>
      <c r="L3" s="259" t="n"/>
      <c r="M3" s="606" t="n"/>
      <c r="N3" s="606" t="n"/>
      <c r="O3" s="606" t="n"/>
      <c r="P3" s="259" t="n"/>
      <c r="Q3" s="606" t="n"/>
      <c r="R3" s="606" t="n"/>
      <c r="S3" s="259" t="n"/>
      <c r="T3" s="259" t="n"/>
      <c r="U3" s="259" t="n"/>
      <c r="V3" s="606" t="n"/>
      <c r="W3" s="606" t="n"/>
      <c r="X3" s="606" t="n"/>
      <c r="Y3" s="606" t="n"/>
      <c r="Z3" s="242" t="n"/>
      <c r="AA3" s="288" t="inlineStr">
        <is>
          <t>*See CMMC Scoping Guide for Asset Category Descriptions</t>
        </is>
      </c>
    </row>
    <row r="4" ht="15" customHeight="1" s="566">
      <c r="A4" s="254" t="n"/>
      <c r="B4" s="255" t="n"/>
      <c r="C4" s="255" t="n"/>
      <c r="D4" s="255" t="n"/>
      <c r="E4" s="255" t="n"/>
      <c r="F4" s="255" t="n"/>
      <c r="G4" s="255" t="n"/>
      <c r="H4" s="255" t="n"/>
      <c r="I4" s="255" t="n"/>
      <c r="J4" s="255" t="n"/>
      <c r="K4" s="255" t="n"/>
      <c r="L4" s="255" t="n"/>
      <c r="M4" s="244" t="n"/>
      <c r="N4" s="244" t="n"/>
      <c r="O4" s="244" t="n"/>
      <c r="P4" s="255" t="n"/>
      <c r="Q4" s="244" t="n"/>
      <c r="R4" s="244" t="n"/>
      <c r="S4" s="255" t="n"/>
      <c r="T4" s="255" t="n"/>
      <c r="U4" s="255" t="n"/>
      <c r="V4" s="244" t="n"/>
      <c r="W4" s="244" t="n"/>
      <c r="X4" s="244" t="n"/>
      <c r="Y4" s="244" t="n"/>
      <c r="Z4" s="245" t="n"/>
      <c r="AA4" s="288" t="inlineStr">
        <is>
          <t>OUSD A&amp;S - Cybersecurity Maturity Model Certification (CMMC) (osd.mil)</t>
        </is>
      </c>
    </row>
    <row r="5" ht="13.7" customHeight="1" s="566">
      <c r="A5" s="254" t="n"/>
      <c r="B5" s="255" t="n"/>
      <c r="C5" s="255" t="n"/>
      <c r="D5" s="255" t="n"/>
      <c r="E5" s="255" t="n"/>
      <c r="F5" s="255" t="n"/>
      <c r="G5" s="255" t="n"/>
      <c r="H5" s="255" t="n"/>
      <c r="I5" s="255" t="n"/>
      <c r="J5" s="255" t="n"/>
      <c r="K5" s="255" t="n"/>
      <c r="L5" s="255" t="n"/>
      <c r="M5" s="244" t="n"/>
      <c r="N5" s="244" t="n"/>
      <c r="O5" s="244" t="n"/>
      <c r="P5" s="255" t="n"/>
      <c r="Q5" s="244" t="n"/>
      <c r="R5" s="244" t="n"/>
      <c r="S5" s="255" t="n"/>
      <c r="T5" s="255" t="n"/>
      <c r="U5" s="255" t="n"/>
      <c r="V5" s="244" t="n"/>
      <c r="W5" s="244" t="n"/>
      <c r="X5" s="244" t="n"/>
      <c r="Y5" s="244" t="n"/>
      <c r="Z5" s="245" t="n"/>
      <c r="AA5" s="253" t="n"/>
    </row>
    <row r="6" ht="13.7" customHeight="1" s="566">
      <c r="A6" s="254" t="n"/>
      <c r="B6" s="255" t="n"/>
      <c r="C6" s="255" t="n"/>
      <c r="D6" s="255" t="n"/>
      <c r="E6" s="255" t="n"/>
      <c r="F6" s="255" t="n"/>
      <c r="G6" s="255" t="n"/>
      <c r="H6" s="255" t="n"/>
      <c r="I6" s="255" t="n"/>
      <c r="J6" s="255" t="n"/>
      <c r="K6" s="255" t="n"/>
      <c r="L6" s="255" t="n"/>
      <c r="M6" s="244" t="n"/>
      <c r="N6" s="244" t="n"/>
      <c r="O6" s="244" t="n"/>
      <c r="P6" s="255" t="n"/>
      <c r="Q6" s="244" t="n"/>
      <c r="R6" s="244" t="n"/>
      <c r="S6" s="255" t="n"/>
      <c r="T6" s="255" t="n"/>
      <c r="U6" s="255" t="n"/>
      <c r="V6" s="244" t="n"/>
      <c r="W6" s="244" t="n"/>
      <c r="X6" s="244" t="n"/>
      <c r="Y6" s="244" t="n"/>
      <c r="Z6" s="245" t="n"/>
      <c r="AA6" s="253" t="n"/>
    </row>
    <row r="7" ht="13.7" customHeight="1" s="566">
      <c r="A7" s="254" t="n"/>
      <c r="B7" s="255" t="n"/>
      <c r="C7" s="255" t="n"/>
      <c r="D7" s="255" t="n"/>
      <c r="E7" s="255" t="n"/>
      <c r="F7" s="255" t="n"/>
      <c r="G7" s="255" t="n"/>
      <c r="H7" s="255" t="n"/>
      <c r="I7" s="255" t="n"/>
      <c r="J7" s="255" t="n"/>
      <c r="K7" s="255" t="n"/>
      <c r="L7" s="255" t="n"/>
      <c r="M7" s="244" t="n"/>
      <c r="N7" s="244" t="n"/>
      <c r="O7" s="244" t="n"/>
      <c r="P7" s="255" t="n"/>
      <c r="Q7" s="244" t="n"/>
      <c r="R7" s="244" t="n"/>
      <c r="S7" s="255" t="n"/>
      <c r="T7" s="255" t="n"/>
      <c r="U7" s="255" t="n"/>
      <c r="V7" s="244" t="n"/>
      <c r="W7" s="244" t="n"/>
      <c r="X7" s="244" t="n"/>
      <c r="Y7" s="244" t="n"/>
      <c r="Z7" s="245" t="n"/>
      <c r="AA7" s="253" t="n"/>
    </row>
    <row r="8" ht="13.7" customHeight="1" s="566">
      <c r="A8" s="254" t="n"/>
      <c r="B8" s="255" t="n"/>
      <c r="C8" s="255" t="n"/>
      <c r="D8" s="255" t="n"/>
      <c r="E8" s="255" t="n"/>
      <c r="F8" s="255" t="n"/>
      <c r="G8" s="255" t="n"/>
      <c r="H8" s="255" t="n"/>
      <c r="I8" s="255" t="n"/>
      <c r="J8" s="255" t="n"/>
      <c r="K8" s="255" t="n"/>
      <c r="L8" s="255" t="n"/>
      <c r="M8" s="244" t="n"/>
      <c r="N8" s="244" t="n"/>
      <c r="O8" s="244" t="n"/>
      <c r="P8" s="255" t="n"/>
      <c r="Q8" s="244" t="n"/>
      <c r="R8" s="244" t="n"/>
      <c r="S8" s="255" t="n"/>
      <c r="T8" s="255" t="n"/>
      <c r="U8" s="255" t="n"/>
      <c r="V8" s="244" t="n"/>
      <c r="W8" s="244" t="n"/>
      <c r="X8" s="244" t="n"/>
      <c r="Y8" s="244" t="n"/>
      <c r="Z8" s="245" t="n"/>
      <c r="AA8" s="253" t="n"/>
    </row>
    <row r="9" ht="13.7" customHeight="1" s="566">
      <c r="A9" s="254" t="n"/>
      <c r="B9" s="255" t="n"/>
      <c r="C9" s="255" t="n"/>
      <c r="D9" s="255" t="n"/>
      <c r="E9" s="255" t="n"/>
      <c r="F9" s="255" t="n"/>
      <c r="G9" s="255" t="n"/>
      <c r="H9" s="255" t="n"/>
      <c r="I9" s="255" t="n"/>
      <c r="J9" s="255" t="n"/>
      <c r="K9" s="255" t="n"/>
      <c r="L9" s="255" t="n"/>
      <c r="M9" s="244" t="n"/>
      <c r="N9" s="244" t="n"/>
      <c r="O9" s="244" t="n"/>
      <c r="P9" s="255" t="n"/>
      <c r="Q9" s="244" t="n"/>
      <c r="R9" s="244" t="n"/>
      <c r="S9" s="255" t="n"/>
      <c r="T9" s="255" t="n"/>
      <c r="U9" s="255" t="n"/>
      <c r="V9" s="244" t="n"/>
      <c r="W9" s="244" t="n"/>
      <c r="X9" s="244" t="n"/>
      <c r="Y9" s="244" t="n"/>
      <c r="Z9" s="245" t="n"/>
      <c r="AA9" s="253" t="n"/>
    </row>
    <row r="10" ht="13.7" customHeight="1" s="566">
      <c r="A10" s="254" t="n"/>
      <c r="B10" s="255" t="n"/>
      <c r="C10" s="255" t="n"/>
      <c r="D10" s="255" t="n"/>
      <c r="E10" s="255" t="n"/>
      <c r="F10" s="255" t="n"/>
      <c r="G10" s="255" t="n"/>
      <c r="H10" s="255" t="n"/>
      <c r="I10" s="255" t="n"/>
      <c r="J10" s="255" t="n"/>
      <c r="K10" s="255" t="n"/>
      <c r="L10" s="255" t="n"/>
      <c r="M10" s="244" t="n"/>
      <c r="N10" s="244" t="n"/>
      <c r="O10" s="244" t="n"/>
      <c r="P10" s="255" t="n"/>
      <c r="Q10" s="244" t="n"/>
      <c r="R10" s="244" t="n"/>
      <c r="S10" s="255" t="n"/>
      <c r="T10" s="255" t="n"/>
      <c r="U10" s="255" t="n"/>
      <c r="V10" s="244" t="n"/>
      <c r="W10" s="244" t="n"/>
      <c r="X10" s="244" t="n"/>
      <c r="Y10" s="244" t="n"/>
      <c r="Z10" s="245" t="n"/>
      <c r="AA10" s="253" t="n"/>
    </row>
    <row r="11" ht="13.7" customHeight="1" s="566">
      <c r="A11" s="254" t="n"/>
      <c r="B11" s="255" t="n"/>
      <c r="C11" s="255" t="n"/>
      <c r="D11" s="255" t="n"/>
      <c r="E11" s="255" t="n"/>
      <c r="F11" s="255" t="n"/>
      <c r="G11" s="255" t="n"/>
      <c r="H11" s="255" t="n"/>
      <c r="I11" s="255" t="n"/>
      <c r="J11" s="255" t="n"/>
      <c r="K11" s="255" t="n"/>
      <c r="L11" s="255" t="n"/>
      <c r="M11" s="244" t="n"/>
      <c r="N11" s="244" t="n"/>
      <c r="O11" s="244" t="n"/>
      <c r="P11" s="255" t="n"/>
      <c r="Q11" s="244" t="n"/>
      <c r="R11" s="244" t="n"/>
      <c r="S11" s="255" t="n"/>
      <c r="T11" s="255" t="n"/>
      <c r="U11" s="255" t="n"/>
      <c r="V11" s="244" t="n"/>
      <c r="W11" s="244" t="n"/>
      <c r="X11" s="244" t="n"/>
      <c r="Y11" s="244" t="n"/>
      <c r="Z11" s="245" t="n"/>
      <c r="AA11" s="253" t="n"/>
    </row>
    <row r="12" ht="13.7" customHeight="1" s="566">
      <c r="A12" s="254" t="n"/>
      <c r="B12" s="255" t="n"/>
      <c r="C12" s="255" t="n"/>
      <c r="D12" s="255" t="n"/>
      <c r="E12" s="255" t="n"/>
      <c r="F12" s="255" t="n"/>
      <c r="G12" s="255" t="n"/>
      <c r="H12" s="255" t="n"/>
      <c r="I12" s="255" t="n"/>
      <c r="J12" s="255" t="n"/>
      <c r="K12" s="255" t="n"/>
      <c r="L12" s="255" t="n"/>
      <c r="M12" s="244" t="n"/>
      <c r="N12" s="244" t="n"/>
      <c r="O12" s="244" t="n"/>
      <c r="P12" s="255" t="n"/>
      <c r="Q12" s="244" t="n"/>
      <c r="R12" s="244" t="n"/>
      <c r="S12" s="255" t="n"/>
      <c r="T12" s="255" t="n"/>
      <c r="U12" s="255" t="n"/>
      <c r="V12" s="244" t="n"/>
      <c r="W12" s="244" t="n"/>
      <c r="X12" s="244" t="n"/>
      <c r="Y12" s="244" t="n"/>
      <c r="Z12" s="245" t="n"/>
      <c r="AA12" s="253" t="n"/>
    </row>
    <row r="13" ht="13.7" customHeight="1" s="566">
      <c r="A13" s="254" t="n"/>
      <c r="B13" s="255" t="n"/>
      <c r="C13" s="255" t="n"/>
      <c r="D13" s="255" t="n"/>
      <c r="E13" s="255" t="n"/>
      <c r="F13" s="255" t="n"/>
      <c r="G13" s="255" t="n"/>
      <c r="H13" s="255" t="n"/>
      <c r="I13" s="255" t="n"/>
      <c r="J13" s="255" t="n"/>
      <c r="K13" s="255" t="n"/>
      <c r="L13" s="255" t="n"/>
      <c r="M13" s="244" t="n"/>
      <c r="N13" s="244" t="n"/>
      <c r="O13" s="244" t="n"/>
      <c r="P13" s="255" t="n"/>
      <c r="Q13" s="244" t="n"/>
      <c r="R13" s="244" t="n"/>
      <c r="S13" s="255" t="n"/>
      <c r="T13" s="255" t="n"/>
      <c r="U13" s="255" t="n"/>
      <c r="V13" s="244" t="n"/>
      <c r="W13" s="244" t="n"/>
      <c r="X13" s="244" t="n"/>
      <c r="Y13" s="244" t="n"/>
      <c r="Z13" s="245" t="n"/>
      <c r="AA13" s="253" t="n"/>
    </row>
    <row r="14" ht="13.7" customHeight="1" s="566">
      <c r="A14" s="254" t="n"/>
      <c r="B14" s="255" t="n"/>
      <c r="C14" s="255" t="n"/>
      <c r="D14" s="255" t="n"/>
      <c r="E14" s="255" t="n"/>
      <c r="F14" s="255" t="n"/>
      <c r="G14" s="255" t="n"/>
      <c r="H14" s="255" t="n"/>
      <c r="I14" s="255" t="n"/>
      <c r="J14" s="255" t="n"/>
      <c r="K14" s="255" t="n"/>
      <c r="L14" s="255" t="n"/>
      <c r="M14" s="244" t="n"/>
      <c r="N14" s="244" t="n"/>
      <c r="O14" s="244" t="n"/>
      <c r="P14" s="255" t="n"/>
      <c r="Q14" s="244" t="n"/>
      <c r="R14" s="244" t="n"/>
      <c r="S14" s="255" t="n"/>
      <c r="T14" s="255" t="n"/>
      <c r="U14" s="255" t="n"/>
      <c r="V14" s="244" t="n"/>
      <c r="W14" s="244" t="n"/>
      <c r="X14" s="244" t="n"/>
      <c r="Y14" s="244" t="n"/>
      <c r="Z14" s="245" t="n"/>
      <c r="AA14" s="253" t="n"/>
    </row>
    <row r="15" ht="13.7" customHeight="1" s="566">
      <c r="A15" s="254" t="n"/>
      <c r="B15" s="255" t="n"/>
      <c r="C15" s="255" t="n"/>
      <c r="D15" s="255" t="n"/>
      <c r="E15" s="255" t="n"/>
      <c r="F15" s="255" t="n"/>
      <c r="G15" s="255" t="n"/>
      <c r="H15" s="255" t="n"/>
      <c r="I15" s="255" t="n"/>
      <c r="J15" s="255" t="n"/>
      <c r="K15" s="255" t="n"/>
      <c r="L15" s="255" t="n"/>
      <c r="M15" s="244" t="n"/>
      <c r="N15" s="244" t="n"/>
      <c r="O15" s="244" t="n"/>
      <c r="P15" s="255" t="n"/>
      <c r="Q15" s="244" t="n"/>
      <c r="R15" s="244" t="n"/>
      <c r="S15" s="255" t="n"/>
      <c r="T15" s="255" t="n"/>
      <c r="U15" s="255" t="n"/>
      <c r="V15" s="244" t="n"/>
      <c r="W15" s="244" t="n"/>
      <c r="X15" s="244" t="n"/>
      <c r="Y15" s="244" t="n"/>
      <c r="Z15" s="245" t="n"/>
      <c r="AA15" s="253" t="n"/>
    </row>
    <row r="16" ht="13.7" customHeight="1" s="566">
      <c r="A16" s="254" t="n"/>
      <c r="B16" s="255" t="n"/>
      <c r="C16" s="255" t="n"/>
      <c r="D16" s="255" t="n"/>
      <c r="E16" s="255" t="n"/>
      <c r="F16" s="255" t="n"/>
      <c r="G16" s="255" t="n"/>
      <c r="H16" s="255" t="n"/>
      <c r="I16" s="255" t="n"/>
      <c r="J16" s="255" t="n"/>
      <c r="K16" s="255" t="n"/>
      <c r="L16" s="255" t="n"/>
      <c r="M16" s="244" t="n"/>
      <c r="N16" s="244" t="n"/>
      <c r="O16" s="244" t="n"/>
      <c r="P16" s="255" t="n"/>
      <c r="Q16" s="244" t="n"/>
      <c r="R16" s="244" t="n"/>
      <c r="S16" s="255" t="n"/>
      <c r="T16" s="255" t="n"/>
      <c r="U16" s="255" t="n"/>
      <c r="V16" s="244" t="n"/>
      <c r="W16" s="244" t="n"/>
      <c r="X16" s="244" t="n"/>
      <c r="Y16" s="244" t="n"/>
      <c r="Z16" s="245" t="n"/>
      <c r="AA16" s="253" t="n"/>
    </row>
    <row r="17" ht="13.7" customHeight="1" s="566">
      <c r="A17" s="254" t="n"/>
      <c r="B17" s="255" t="n"/>
      <c r="C17" s="255" t="n"/>
      <c r="D17" s="255" t="n"/>
      <c r="E17" s="255" t="n"/>
      <c r="F17" s="255" t="n"/>
      <c r="G17" s="255" t="n"/>
      <c r="H17" s="255" t="n"/>
      <c r="I17" s="255" t="n"/>
      <c r="J17" s="255" t="n"/>
      <c r="K17" s="255" t="n"/>
      <c r="L17" s="255" t="n"/>
      <c r="M17" s="244" t="n"/>
      <c r="N17" s="244" t="n"/>
      <c r="O17" s="244" t="n"/>
      <c r="P17" s="255" t="n"/>
      <c r="Q17" s="244" t="n"/>
      <c r="R17" s="244" t="n"/>
      <c r="S17" s="255" t="n"/>
      <c r="T17" s="255" t="n"/>
      <c r="U17" s="255" t="n"/>
      <c r="V17" s="244" t="n"/>
      <c r="W17" s="244" t="n"/>
      <c r="X17" s="244" t="n"/>
      <c r="Y17" s="244" t="n"/>
      <c r="Z17" s="245" t="n"/>
      <c r="AA17" s="253" t="n"/>
    </row>
    <row r="18" ht="13.7" customHeight="1" s="566">
      <c r="A18" s="254" t="n"/>
      <c r="B18" s="255" t="n"/>
      <c r="C18" s="255" t="n"/>
      <c r="D18" s="255" t="n"/>
      <c r="E18" s="255" t="n"/>
      <c r="F18" s="255" t="n"/>
      <c r="G18" s="255" t="n"/>
      <c r="H18" s="255" t="n"/>
      <c r="I18" s="255" t="n"/>
      <c r="J18" s="255" t="n"/>
      <c r="K18" s="255" t="n"/>
      <c r="L18" s="255" t="n"/>
      <c r="M18" s="244" t="n"/>
      <c r="N18" s="244" t="n"/>
      <c r="O18" s="244" t="n"/>
      <c r="P18" s="255" t="n"/>
      <c r="Q18" s="244" t="n"/>
      <c r="R18" s="244" t="n"/>
      <c r="S18" s="255" t="n"/>
      <c r="T18" s="255" t="n"/>
      <c r="U18" s="255" t="n"/>
      <c r="V18" s="244" t="n"/>
      <c r="W18" s="244" t="n"/>
      <c r="X18" s="244" t="n"/>
      <c r="Y18" s="244" t="n"/>
      <c r="Z18" s="245" t="n"/>
      <c r="AA18" s="253" t="n"/>
    </row>
    <row r="19" ht="13.7" customHeight="1" s="566">
      <c r="A19" s="254" t="n"/>
      <c r="B19" s="255" t="n"/>
      <c r="C19" s="255" t="n"/>
      <c r="D19" s="255" t="n"/>
      <c r="E19" s="255" t="n"/>
      <c r="F19" s="255" t="n"/>
      <c r="G19" s="255" t="n"/>
      <c r="H19" s="255" t="n"/>
      <c r="I19" s="255" t="n"/>
      <c r="J19" s="255" t="n"/>
      <c r="K19" s="255" t="n"/>
      <c r="L19" s="255" t="n"/>
      <c r="M19" s="244" t="n"/>
      <c r="N19" s="244" t="n"/>
      <c r="O19" s="244" t="n"/>
      <c r="P19" s="255" t="n"/>
      <c r="Q19" s="244" t="n"/>
      <c r="R19" s="244" t="n"/>
      <c r="S19" s="255" t="n"/>
      <c r="T19" s="255" t="n"/>
      <c r="U19" s="255" t="n"/>
      <c r="V19" s="244" t="n"/>
      <c r="W19" s="244" t="n"/>
      <c r="X19" s="244" t="n"/>
      <c r="Y19" s="244" t="n"/>
      <c r="Z19" s="245" t="n"/>
      <c r="AA19" s="253" t="n"/>
    </row>
    <row r="20" ht="13.7" customHeight="1" s="566">
      <c r="A20" s="254" t="n"/>
      <c r="B20" s="255" t="n"/>
      <c r="C20" s="255" t="n"/>
      <c r="D20" s="255" t="n"/>
      <c r="E20" s="255" t="n"/>
      <c r="F20" s="255" t="n"/>
      <c r="G20" s="255" t="n"/>
      <c r="H20" s="255" t="n"/>
      <c r="I20" s="255" t="n"/>
      <c r="J20" s="255" t="n"/>
      <c r="K20" s="255" t="n"/>
      <c r="L20" s="255" t="n"/>
      <c r="M20" s="244" t="n"/>
      <c r="N20" s="244" t="n"/>
      <c r="O20" s="244" t="n"/>
      <c r="P20" s="255" t="n"/>
      <c r="Q20" s="244" t="n"/>
      <c r="R20" s="244" t="n"/>
      <c r="S20" s="255" t="n"/>
      <c r="T20" s="255" t="n"/>
      <c r="U20" s="255" t="n"/>
      <c r="V20" s="244" t="n"/>
      <c r="W20" s="244" t="n"/>
      <c r="X20" s="244" t="n"/>
      <c r="Y20" s="244" t="n"/>
      <c r="Z20" s="245" t="n"/>
      <c r="AA20" s="253" t="n"/>
    </row>
    <row r="21" ht="13.7" customHeight="1" s="566">
      <c r="A21" s="254" t="n"/>
      <c r="B21" s="255" t="n"/>
      <c r="C21" s="255" t="n"/>
      <c r="D21" s="255" t="n"/>
      <c r="E21" s="255" t="n"/>
      <c r="F21" s="255" t="n"/>
      <c r="G21" s="255" t="n"/>
      <c r="H21" s="255" t="n"/>
      <c r="I21" s="255" t="n"/>
      <c r="J21" s="255" t="n"/>
      <c r="K21" s="255" t="n"/>
      <c r="L21" s="255" t="n"/>
      <c r="M21" s="244" t="n"/>
      <c r="N21" s="244" t="n"/>
      <c r="O21" s="244" t="n"/>
      <c r="P21" s="255" t="n"/>
      <c r="Q21" s="244" t="n"/>
      <c r="R21" s="244" t="n"/>
      <c r="S21" s="255" t="n"/>
      <c r="T21" s="255" t="n"/>
      <c r="U21" s="255" t="n"/>
      <c r="V21" s="244" t="n"/>
      <c r="W21" s="244" t="n"/>
      <c r="X21" s="244" t="n"/>
      <c r="Y21" s="244" t="n"/>
      <c r="Z21" s="245" t="n"/>
      <c r="AA21" s="253" t="n"/>
    </row>
    <row r="22" ht="13.7" customHeight="1" s="566">
      <c r="A22" s="254" t="n"/>
      <c r="B22" s="255" t="n"/>
      <c r="C22" s="255" t="n"/>
      <c r="D22" s="255" t="n"/>
      <c r="E22" s="255" t="n"/>
      <c r="F22" s="255" t="n"/>
      <c r="G22" s="255" t="n"/>
      <c r="H22" s="255" t="n"/>
      <c r="I22" s="255" t="n"/>
      <c r="J22" s="255" t="n"/>
      <c r="K22" s="255" t="n"/>
      <c r="L22" s="255" t="n"/>
      <c r="M22" s="244" t="n"/>
      <c r="N22" s="244" t="n"/>
      <c r="O22" s="244" t="n"/>
      <c r="P22" s="255" t="n"/>
      <c r="Q22" s="244" t="n"/>
      <c r="R22" s="244" t="n"/>
      <c r="S22" s="255" t="n"/>
      <c r="T22" s="255" t="n"/>
      <c r="U22" s="255" t="n"/>
      <c r="V22" s="244" t="n"/>
      <c r="W22" s="244" t="n"/>
      <c r="X22" s="244" t="n"/>
      <c r="Y22" s="244" t="n"/>
      <c r="Z22" s="245" t="n"/>
      <c r="AA22" s="253" t="n"/>
    </row>
    <row r="23" ht="13.7" customHeight="1" s="566">
      <c r="A23" s="254" t="n"/>
      <c r="B23" s="255" t="n"/>
      <c r="C23" s="255" t="n"/>
      <c r="D23" s="255" t="n"/>
      <c r="E23" s="255" t="n"/>
      <c r="F23" s="255" t="n"/>
      <c r="G23" s="255" t="n"/>
      <c r="H23" s="255" t="n"/>
      <c r="I23" s="255" t="n"/>
      <c r="J23" s="255" t="n"/>
      <c r="K23" s="255" t="n"/>
      <c r="L23" s="255" t="n"/>
      <c r="M23" s="244" t="n"/>
      <c r="N23" s="244" t="n"/>
      <c r="O23" s="244" t="n"/>
      <c r="P23" s="255" t="n"/>
      <c r="Q23" s="244" t="n"/>
      <c r="R23" s="244" t="n"/>
      <c r="S23" s="255" t="n"/>
      <c r="T23" s="255" t="n"/>
      <c r="U23" s="255" t="n"/>
      <c r="V23" s="244" t="n"/>
      <c r="W23" s="244" t="n"/>
      <c r="X23" s="244" t="n"/>
      <c r="Y23" s="244" t="n"/>
      <c r="Z23" s="245" t="n"/>
      <c r="AA23" s="253" t="n"/>
    </row>
    <row r="24" ht="13.7" customHeight="1" s="566">
      <c r="A24" s="254" t="n"/>
      <c r="B24" s="255" t="n"/>
      <c r="C24" s="255" t="n"/>
      <c r="D24" s="255" t="n"/>
      <c r="E24" s="255" t="n"/>
      <c r="F24" s="255" t="n"/>
      <c r="G24" s="255" t="n"/>
      <c r="H24" s="255" t="n"/>
      <c r="I24" s="255" t="n"/>
      <c r="J24" s="255" t="n"/>
      <c r="K24" s="255" t="n"/>
      <c r="L24" s="255" t="n"/>
      <c r="M24" s="244" t="n"/>
      <c r="N24" s="244" t="n"/>
      <c r="O24" s="244" t="n"/>
      <c r="P24" s="255" t="n"/>
      <c r="Q24" s="244" t="n"/>
      <c r="R24" s="244" t="n"/>
      <c r="S24" s="255" t="n"/>
      <c r="T24" s="255" t="n"/>
      <c r="U24" s="255" t="n"/>
      <c r="V24" s="244" t="n"/>
      <c r="W24" s="244" t="n"/>
      <c r="X24" s="244" t="n"/>
      <c r="Y24" s="244" t="n"/>
      <c r="Z24" s="245" t="n"/>
      <c r="AA24" s="253" t="n"/>
    </row>
    <row r="25" ht="13.7" customHeight="1" s="566">
      <c r="A25" s="254" t="n"/>
      <c r="B25" s="255" t="n"/>
      <c r="C25" s="255" t="n"/>
      <c r="D25" s="255" t="n"/>
      <c r="E25" s="255" t="n"/>
      <c r="F25" s="255" t="n"/>
      <c r="G25" s="255" t="n"/>
      <c r="H25" s="255" t="n"/>
      <c r="I25" s="255" t="n"/>
      <c r="J25" s="255" t="n"/>
      <c r="K25" s="255" t="n"/>
      <c r="L25" s="255" t="n"/>
      <c r="M25" s="244" t="n"/>
      <c r="N25" s="244" t="n"/>
      <c r="O25" s="244" t="n"/>
      <c r="P25" s="255" t="n"/>
      <c r="Q25" s="244" t="n"/>
      <c r="R25" s="244" t="n"/>
      <c r="S25" s="255" t="n"/>
      <c r="T25" s="255" t="n"/>
      <c r="U25" s="255" t="n"/>
      <c r="V25" s="244" t="n"/>
      <c r="W25" s="244" t="n"/>
      <c r="X25" s="244" t="n"/>
      <c r="Y25" s="244" t="n"/>
      <c r="Z25" s="245" t="n"/>
      <c r="AA25" s="253" t="n"/>
    </row>
    <row r="26" ht="13.7" customHeight="1" s="566">
      <c r="A26" s="254" t="n"/>
      <c r="B26" s="255" t="n"/>
      <c r="C26" s="255" t="n"/>
      <c r="D26" s="255" t="n"/>
      <c r="E26" s="255" t="n"/>
      <c r="F26" s="255" t="n"/>
      <c r="G26" s="255" t="n"/>
      <c r="H26" s="255" t="n"/>
      <c r="I26" s="255" t="n"/>
      <c r="J26" s="255" t="n"/>
      <c r="K26" s="255" t="n"/>
      <c r="L26" s="255" t="n"/>
      <c r="M26" s="244" t="n"/>
      <c r="N26" s="244" t="n"/>
      <c r="O26" s="244" t="n"/>
      <c r="P26" s="255" t="n"/>
      <c r="Q26" s="244" t="n"/>
      <c r="R26" s="244" t="n"/>
      <c r="S26" s="255" t="n"/>
      <c r="T26" s="255" t="n"/>
      <c r="U26" s="255" t="n"/>
      <c r="V26" s="244" t="n"/>
      <c r="W26" s="244" t="n"/>
      <c r="X26" s="244" t="n"/>
      <c r="Y26" s="244" t="n"/>
      <c r="Z26" s="245" t="n"/>
      <c r="AA26" s="253" t="n"/>
    </row>
    <row r="27" ht="13.7" customHeight="1" s="566">
      <c r="A27" s="254" t="n"/>
      <c r="B27" s="255" t="n"/>
      <c r="C27" s="255" t="n"/>
      <c r="D27" s="255" t="n"/>
      <c r="E27" s="255" t="n"/>
      <c r="F27" s="255" t="n"/>
      <c r="G27" s="255" t="n"/>
      <c r="H27" s="255" t="n"/>
      <c r="I27" s="255" t="n"/>
      <c r="J27" s="255" t="n"/>
      <c r="K27" s="255" t="n"/>
      <c r="L27" s="255" t="n"/>
      <c r="M27" s="244" t="n"/>
      <c r="N27" s="244" t="n"/>
      <c r="O27" s="244" t="n"/>
      <c r="P27" s="255" t="n"/>
      <c r="Q27" s="244" t="n"/>
      <c r="R27" s="244" t="n"/>
      <c r="S27" s="255" t="n"/>
      <c r="T27" s="255" t="n"/>
      <c r="U27" s="255" t="n"/>
      <c r="V27" s="244" t="n"/>
      <c r="W27" s="244" t="n"/>
      <c r="X27" s="244" t="n"/>
      <c r="Y27" s="244" t="n"/>
      <c r="Z27" s="245" t="n"/>
      <c r="AA27" s="253" t="n"/>
    </row>
    <row r="28" ht="13.7" customHeight="1" s="566">
      <c r="A28" s="254" t="n"/>
      <c r="B28" s="255" t="n"/>
      <c r="C28" s="255" t="n"/>
      <c r="D28" s="255" t="n"/>
      <c r="E28" s="255" t="n"/>
      <c r="F28" s="255" t="n"/>
      <c r="G28" s="255" t="n"/>
      <c r="H28" s="255" t="n"/>
      <c r="I28" s="255" t="n"/>
      <c r="J28" s="255" t="n"/>
      <c r="K28" s="255" t="n"/>
      <c r="L28" s="255" t="n"/>
      <c r="M28" s="244" t="n"/>
      <c r="N28" s="244" t="n"/>
      <c r="O28" s="244" t="n"/>
      <c r="P28" s="255" t="n"/>
      <c r="Q28" s="244" t="n"/>
      <c r="R28" s="244" t="n"/>
      <c r="S28" s="255" t="n"/>
      <c r="T28" s="255" t="n"/>
      <c r="U28" s="255" t="n"/>
      <c r="V28" s="244" t="n"/>
      <c r="W28" s="244" t="n"/>
      <c r="X28" s="244" t="n"/>
      <c r="Y28" s="244" t="n"/>
      <c r="Z28" s="245" t="n"/>
      <c r="AA28" s="253" t="n"/>
    </row>
    <row r="29" ht="13.7" customHeight="1" s="566">
      <c r="A29" s="254" t="n"/>
      <c r="B29" s="255" t="n"/>
      <c r="C29" s="255" t="n"/>
      <c r="D29" s="255" t="n"/>
      <c r="E29" s="255" t="n"/>
      <c r="F29" s="255" t="n"/>
      <c r="G29" s="255" t="n"/>
      <c r="H29" s="255" t="n"/>
      <c r="I29" s="255" t="n"/>
      <c r="J29" s="255" t="n"/>
      <c r="K29" s="255" t="n"/>
      <c r="L29" s="255" t="n"/>
      <c r="M29" s="244" t="n"/>
      <c r="N29" s="244" t="n"/>
      <c r="O29" s="244" t="n"/>
      <c r="P29" s="255" t="n"/>
      <c r="Q29" s="244" t="n"/>
      <c r="R29" s="244" t="n"/>
      <c r="S29" s="255" t="n"/>
      <c r="T29" s="255" t="n"/>
      <c r="U29" s="255" t="n"/>
      <c r="V29" s="244" t="n"/>
      <c r="W29" s="244" t="n"/>
      <c r="X29" s="244" t="n"/>
      <c r="Y29" s="244" t="n"/>
      <c r="Z29" s="245" t="n"/>
      <c r="AA29" s="253" t="n"/>
    </row>
    <row r="30" ht="13.7" customHeight="1" s="566">
      <c r="A30" s="254" t="n"/>
      <c r="B30" s="255" t="n"/>
      <c r="C30" s="255" t="n"/>
      <c r="D30" s="255" t="n"/>
      <c r="E30" s="255" t="n"/>
      <c r="F30" s="255" t="n"/>
      <c r="G30" s="255" t="n"/>
      <c r="H30" s="255" t="n"/>
      <c r="I30" s="255" t="n"/>
      <c r="J30" s="255" t="n"/>
      <c r="K30" s="255" t="n"/>
      <c r="L30" s="255" t="n"/>
      <c r="M30" s="244" t="n"/>
      <c r="N30" s="244" t="n"/>
      <c r="O30" s="244" t="n"/>
      <c r="P30" s="255" t="n"/>
      <c r="Q30" s="244" t="n"/>
      <c r="R30" s="244" t="n"/>
      <c r="S30" s="255" t="n"/>
      <c r="T30" s="255" t="n"/>
      <c r="U30" s="255" t="n"/>
      <c r="V30" s="244" t="n"/>
      <c r="W30" s="244" t="n"/>
      <c r="X30" s="244" t="n"/>
      <c r="Y30" s="244" t="n"/>
      <c r="Z30" s="245" t="n"/>
      <c r="AA30" s="253" t="n"/>
    </row>
    <row r="31" ht="13.7" customHeight="1" s="566">
      <c r="A31" s="254" t="n"/>
      <c r="B31" s="255" t="n"/>
      <c r="C31" s="255" t="n"/>
      <c r="D31" s="255" t="n"/>
      <c r="E31" s="255" t="n"/>
      <c r="F31" s="255" t="n"/>
      <c r="G31" s="255" t="n"/>
      <c r="H31" s="255" t="n"/>
      <c r="I31" s="255" t="n"/>
      <c r="J31" s="255" t="n"/>
      <c r="K31" s="255" t="n"/>
      <c r="L31" s="255" t="n"/>
      <c r="M31" s="244" t="n"/>
      <c r="N31" s="244" t="n"/>
      <c r="O31" s="244" t="n"/>
      <c r="P31" s="255" t="n"/>
      <c r="Q31" s="244" t="n"/>
      <c r="R31" s="244" t="n"/>
      <c r="S31" s="255" t="n"/>
      <c r="T31" s="255" t="n"/>
      <c r="U31" s="255" t="n"/>
      <c r="V31" s="244" t="n"/>
      <c r="W31" s="244" t="n"/>
      <c r="X31" s="244" t="n"/>
      <c r="Y31" s="244" t="n"/>
      <c r="Z31" s="245" t="n"/>
      <c r="AA31" s="253" t="n"/>
    </row>
    <row r="32" ht="13.7" customHeight="1" s="566">
      <c r="A32" s="254" t="n"/>
      <c r="B32" s="255" t="n"/>
      <c r="C32" s="255" t="n"/>
      <c r="D32" s="255" t="n"/>
      <c r="E32" s="255" t="n"/>
      <c r="F32" s="255" t="n"/>
      <c r="G32" s="255" t="n"/>
      <c r="H32" s="255" t="n"/>
      <c r="I32" s="255" t="n"/>
      <c r="J32" s="255" t="n"/>
      <c r="K32" s="255" t="n"/>
      <c r="L32" s="255" t="n"/>
      <c r="M32" s="244" t="n"/>
      <c r="N32" s="244" t="n"/>
      <c r="O32" s="244" t="n"/>
      <c r="P32" s="255" t="n"/>
      <c r="Q32" s="244" t="n"/>
      <c r="R32" s="244" t="n"/>
      <c r="S32" s="255" t="n"/>
      <c r="T32" s="255" t="n"/>
      <c r="U32" s="255" t="n"/>
      <c r="V32" s="244" t="n"/>
      <c r="W32" s="244" t="n"/>
      <c r="X32" s="244" t="n"/>
      <c r="Y32" s="244" t="n"/>
      <c r="Z32" s="245" t="n"/>
      <c r="AA32" s="253" t="n"/>
    </row>
    <row r="33" ht="13.7" customHeight="1" s="566">
      <c r="A33" s="254" t="n"/>
      <c r="B33" s="255" t="n"/>
      <c r="C33" s="255" t="n"/>
      <c r="D33" s="255" t="n"/>
      <c r="E33" s="255" t="n"/>
      <c r="F33" s="255" t="n"/>
      <c r="G33" s="255" t="n"/>
      <c r="H33" s="255" t="n"/>
      <c r="I33" s="255" t="n"/>
      <c r="J33" s="255" t="n"/>
      <c r="K33" s="255" t="n"/>
      <c r="L33" s="255" t="n"/>
      <c r="M33" s="244" t="n"/>
      <c r="N33" s="244" t="n"/>
      <c r="O33" s="244" t="n"/>
      <c r="P33" s="255" t="n"/>
      <c r="Q33" s="244" t="n"/>
      <c r="R33" s="244" t="n"/>
      <c r="S33" s="255" t="n"/>
      <c r="T33" s="255" t="n"/>
      <c r="U33" s="255" t="n"/>
      <c r="V33" s="244" t="n"/>
      <c r="W33" s="244" t="n"/>
      <c r="X33" s="244" t="n"/>
      <c r="Y33" s="244" t="n"/>
      <c r="Z33" s="245" t="n"/>
      <c r="AA33" s="253" t="n"/>
    </row>
    <row r="34" ht="13.7" customHeight="1" s="566">
      <c r="A34" s="254" t="n"/>
      <c r="B34" s="255" t="n"/>
      <c r="C34" s="255" t="n"/>
      <c r="D34" s="255" t="n"/>
      <c r="E34" s="255" t="n"/>
      <c r="F34" s="255" t="n"/>
      <c r="G34" s="255" t="n"/>
      <c r="H34" s="255" t="n"/>
      <c r="I34" s="255" t="n"/>
      <c r="J34" s="255" t="n"/>
      <c r="K34" s="255" t="n"/>
      <c r="L34" s="255" t="n"/>
      <c r="M34" s="244" t="n"/>
      <c r="N34" s="244" t="n"/>
      <c r="O34" s="244" t="n"/>
      <c r="P34" s="255" t="n"/>
      <c r="Q34" s="244" t="n"/>
      <c r="R34" s="244" t="n"/>
      <c r="S34" s="255" t="n"/>
      <c r="T34" s="255" t="n"/>
      <c r="U34" s="255" t="n"/>
      <c r="V34" s="244" t="n"/>
      <c r="W34" s="244" t="n"/>
      <c r="X34" s="244" t="n"/>
      <c r="Y34" s="244" t="n"/>
      <c r="Z34" s="245" t="n"/>
      <c r="AA34" s="253" t="n"/>
    </row>
    <row r="35" ht="13.7" customHeight="1" s="566">
      <c r="A35" s="254" t="n"/>
      <c r="B35" s="255" t="n"/>
      <c r="C35" s="255" t="n"/>
      <c r="D35" s="255" t="n"/>
      <c r="E35" s="255" t="n"/>
      <c r="F35" s="255" t="n"/>
      <c r="G35" s="255" t="n"/>
      <c r="H35" s="255" t="n"/>
      <c r="I35" s="255" t="n"/>
      <c r="J35" s="255" t="n"/>
      <c r="K35" s="255" t="n"/>
      <c r="L35" s="255" t="n"/>
      <c r="M35" s="244" t="n"/>
      <c r="N35" s="244" t="n"/>
      <c r="O35" s="244" t="n"/>
      <c r="P35" s="255" t="n"/>
      <c r="Q35" s="244" t="n"/>
      <c r="R35" s="244" t="n"/>
      <c r="S35" s="255" t="n"/>
      <c r="T35" s="255" t="n"/>
      <c r="U35" s="255" t="n"/>
      <c r="V35" s="244" t="n"/>
      <c r="W35" s="244" t="n"/>
      <c r="X35" s="244" t="n"/>
      <c r="Y35" s="244" t="n"/>
      <c r="Z35" s="245" t="n"/>
      <c r="AA35" s="253" t="n"/>
    </row>
    <row r="36" ht="13.7" customHeight="1" s="566">
      <c r="A36" s="254" t="n"/>
      <c r="B36" s="255" t="n"/>
      <c r="C36" s="255" t="n"/>
      <c r="D36" s="255" t="n"/>
      <c r="E36" s="255" t="n"/>
      <c r="F36" s="255" t="n"/>
      <c r="G36" s="255" t="n"/>
      <c r="H36" s="255" t="n"/>
      <c r="I36" s="255" t="n"/>
      <c r="J36" s="255" t="n"/>
      <c r="K36" s="255" t="n"/>
      <c r="L36" s="255" t="n"/>
      <c r="M36" s="244" t="n"/>
      <c r="N36" s="244" t="n"/>
      <c r="O36" s="244" t="n"/>
      <c r="P36" s="255" t="n"/>
      <c r="Q36" s="244" t="n"/>
      <c r="R36" s="244" t="n"/>
      <c r="S36" s="255" t="n"/>
      <c r="T36" s="255" t="n"/>
      <c r="U36" s="255" t="n"/>
      <c r="V36" s="244" t="n"/>
      <c r="W36" s="244" t="n"/>
      <c r="X36" s="244" t="n"/>
      <c r="Y36" s="244" t="n"/>
      <c r="Z36" s="245" t="n"/>
      <c r="AA36" s="253" t="n"/>
    </row>
    <row r="37" ht="13.7" customHeight="1" s="566">
      <c r="A37" s="254" t="n"/>
      <c r="B37" s="255" t="n"/>
      <c r="C37" s="255" t="n"/>
      <c r="D37" s="255" t="n"/>
      <c r="E37" s="255" t="n"/>
      <c r="F37" s="255" t="n"/>
      <c r="G37" s="255" t="n"/>
      <c r="H37" s="255" t="n"/>
      <c r="I37" s="255" t="n"/>
      <c r="J37" s="255" t="n"/>
      <c r="K37" s="255" t="n"/>
      <c r="L37" s="255" t="n"/>
      <c r="M37" s="244" t="n"/>
      <c r="N37" s="244" t="n"/>
      <c r="O37" s="244" t="n"/>
      <c r="P37" s="255" t="n"/>
      <c r="Q37" s="244" t="n"/>
      <c r="R37" s="244" t="n"/>
      <c r="S37" s="255" t="n"/>
      <c r="T37" s="255" t="n"/>
      <c r="U37" s="255" t="n"/>
      <c r="V37" s="244" t="n"/>
      <c r="W37" s="244" t="n"/>
      <c r="X37" s="244" t="n"/>
      <c r="Y37" s="244" t="n"/>
      <c r="Z37" s="245" t="n"/>
      <c r="AA37" s="253" t="n"/>
    </row>
    <row r="38" ht="13.7" customHeight="1" s="566">
      <c r="A38" s="254" t="n"/>
      <c r="B38" s="255" t="n"/>
      <c r="C38" s="255" t="n"/>
      <c r="D38" s="255" t="n"/>
      <c r="E38" s="255" t="n"/>
      <c r="F38" s="255" t="n"/>
      <c r="G38" s="255" t="n"/>
      <c r="H38" s="255" t="n"/>
      <c r="I38" s="255" t="n"/>
      <c r="J38" s="255" t="n"/>
      <c r="K38" s="255" t="n"/>
      <c r="L38" s="255" t="n"/>
      <c r="M38" s="244" t="n"/>
      <c r="N38" s="244" t="n"/>
      <c r="O38" s="244" t="n"/>
      <c r="P38" s="255" t="n"/>
      <c r="Q38" s="244" t="n"/>
      <c r="R38" s="244" t="n"/>
      <c r="S38" s="255" t="n"/>
      <c r="T38" s="255" t="n"/>
      <c r="U38" s="255" t="n"/>
      <c r="V38" s="244" t="n"/>
      <c r="W38" s="244" t="n"/>
      <c r="X38" s="244" t="n"/>
      <c r="Y38" s="244" t="n"/>
      <c r="Z38" s="245" t="n"/>
      <c r="AA38" s="253" t="n"/>
    </row>
    <row r="39" ht="13.7" customHeight="1" s="566">
      <c r="A39" s="254" t="n"/>
      <c r="B39" s="255" t="n"/>
      <c r="C39" s="255" t="n"/>
      <c r="D39" s="255" t="n"/>
      <c r="E39" s="255" t="n"/>
      <c r="F39" s="255" t="n"/>
      <c r="G39" s="255" t="n"/>
      <c r="H39" s="255" t="n"/>
      <c r="I39" s="255" t="n"/>
      <c r="J39" s="255" t="n"/>
      <c r="K39" s="255" t="n"/>
      <c r="L39" s="255" t="n"/>
      <c r="M39" s="244" t="n"/>
      <c r="N39" s="244" t="n"/>
      <c r="O39" s="244" t="n"/>
      <c r="P39" s="255" t="n"/>
      <c r="Q39" s="244" t="n"/>
      <c r="R39" s="244" t="n"/>
      <c r="S39" s="255" t="n"/>
      <c r="T39" s="255" t="n"/>
      <c r="U39" s="255" t="n"/>
      <c r="V39" s="244" t="n"/>
      <c r="W39" s="244" t="n"/>
      <c r="X39" s="244" t="n"/>
      <c r="Y39" s="244" t="n"/>
      <c r="Z39" s="245" t="n"/>
      <c r="AA39" s="253" t="n"/>
    </row>
    <row r="40" ht="13.7" customHeight="1" s="566">
      <c r="A40" s="254" t="n"/>
      <c r="B40" s="255" t="n"/>
      <c r="C40" s="255" t="n"/>
      <c r="D40" s="255" t="n"/>
      <c r="E40" s="255" t="n"/>
      <c r="F40" s="255" t="n"/>
      <c r="G40" s="255" t="n"/>
      <c r="H40" s="255" t="n"/>
      <c r="I40" s="255" t="n"/>
      <c r="J40" s="255" t="n"/>
      <c r="K40" s="255" t="n"/>
      <c r="L40" s="255" t="n"/>
      <c r="M40" s="244" t="n"/>
      <c r="N40" s="244" t="n"/>
      <c r="O40" s="244" t="n"/>
      <c r="P40" s="255" t="n"/>
      <c r="Q40" s="244" t="n"/>
      <c r="R40" s="244" t="n"/>
      <c r="S40" s="255" t="n"/>
      <c r="T40" s="255" t="n"/>
      <c r="U40" s="255" t="n"/>
      <c r="V40" s="244" t="n"/>
      <c r="W40" s="244" t="n"/>
      <c r="X40" s="244" t="n"/>
      <c r="Y40" s="244" t="n"/>
      <c r="Z40" s="245" t="n"/>
      <c r="AA40" s="253" t="n"/>
    </row>
    <row r="41" ht="13.7" customHeight="1" s="566">
      <c r="A41" s="254" t="n"/>
      <c r="B41" s="255" t="n"/>
      <c r="C41" s="255" t="n"/>
      <c r="D41" s="255" t="n"/>
      <c r="E41" s="255" t="n"/>
      <c r="F41" s="255" t="n"/>
      <c r="G41" s="255" t="n"/>
      <c r="H41" s="255" t="n"/>
      <c r="I41" s="255" t="n"/>
      <c r="J41" s="255" t="n"/>
      <c r="K41" s="255" t="n"/>
      <c r="L41" s="255" t="n"/>
      <c r="M41" s="244" t="n"/>
      <c r="N41" s="244" t="n"/>
      <c r="O41" s="244" t="n"/>
      <c r="P41" s="255" t="n"/>
      <c r="Q41" s="244" t="n"/>
      <c r="R41" s="244" t="n"/>
      <c r="S41" s="255" t="n"/>
      <c r="T41" s="255" t="n"/>
      <c r="U41" s="255" t="n"/>
      <c r="V41" s="244" t="n"/>
      <c r="W41" s="244" t="n"/>
      <c r="X41" s="244" t="n"/>
      <c r="Y41" s="244" t="n"/>
      <c r="Z41" s="245" t="n"/>
      <c r="AA41" s="253" t="n"/>
    </row>
    <row r="42" ht="13.7" customHeight="1" s="566">
      <c r="A42" s="254" t="n"/>
      <c r="B42" s="255" t="n"/>
      <c r="C42" s="255" t="n"/>
      <c r="D42" s="255" t="n"/>
      <c r="E42" s="255" t="n"/>
      <c r="F42" s="255" t="n"/>
      <c r="G42" s="255" t="n"/>
      <c r="H42" s="255" t="n"/>
      <c r="I42" s="255" t="n"/>
      <c r="J42" s="255" t="n"/>
      <c r="K42" s="255" t="n"/>
      <c r="L42" s="255" t="n"/>
      <c r="M42" s="244" t="n"/>
      <c r="N42" s="244" t="n"/>
      <c r="O42" s="244" t="n"/>
      <c r="P42" s="255" t="n"/>
      <c r="Q42" s="244" t="n"/>
      <c r="R42" s="244" t="n"/>
      <c r="S42" s="255" t="n"/>
      <c r="T42" s="255" t="n"/>
      <c r="U42" s="255" t="n"/>
      <c r="V42" s="244" t="n"/>
      <c r="W42" s="244" t="n"/>
      <c r="X42" s="244" t="n"/>
      <c r="Y42" s="244" t="n"/>
      <c r="Z42" s="245" t="n"/>
      <c r="AA42" s="253" t="n"/>
    </row>
    <row r="43" ht="13.7" customHeight="1" s="566">
      <c r="A43" s="254" t="n"/>
      <c r="B43" s="255" t="n"/>
      <c r="C43" s="255" t="n"/>
      <c r="D43" s="255" t="n"/>
      <c r="E43" s="255" t="n"/>
      <c r="F43" s="255" t="n"/>
      <c r="G43" s="255" t="n"/>
      <c r="H43" s="255" t="n"/>
      <c r="I43" s="255" t="n"/>
      <c r="J43" s="255" t="n"/>
      <c r="K43" s="255" t="n"/>
      <c r="L43" s="255" t="n"/>
      <c r="M43" s="244" t="n"/>
      <c r="N43" s="244" t="n"/>
      <c r="O43" s="244" t="n"/>
      <c r="P43" s="255" t="n"/>
      <c r="Q43" s="244" t="n"/>
      <c r="R43" s="244" t="n"/>
      <c r="S43" s="255" t="n"/>
      <c r="T43" s="255" t="n"/>
      <c r="U43" s="255" t="n"/>
      <c r="V43" s="244" t="n"/>
      <c r="W43" s="244" t="n"/>
      <c r="X43" s="244" t="n"/>
      <c r="Y43" s="244" t="n"/>
      <c r="Z43" s="245" t="n"/>
      <c r="AA43" s="253" t="n"/>
    </row>
    <row r="44" ht="13.7" customHeight="1" s="566">
      <c r="A44" s="254" t="n"/>
      <c r="B44" s="255" t="n"/>
      <c r="C44" s="255" t="n"/>
      <c r="D44" s="255" t="n"/>
      <c r="E44" s="255" t="n"/>
      <c r="F44" s="255" t="n"/>
      <c r="G44" s="255" t="n"/>
      <c r="H44" s="255" t="n"/>
      <c r="I44" s="255" t="n"/>
      <c r="J44" s="255" t="n"/>
      <c r="K44" s="255" t="n"/>
      <c r="L44" s="255" t="n"/>
      <c r="M44" s="244" t="n"/>
      <c r="N44" s="244" t="n"/>
      <c r="O44" s="244" t="n"/>
      <c r="P44" s="255" t="n"/>
      <c r="Q44" s="244" t="n"/>
      <c r="R44" s="244" t="n"/>
      <c r="S44" s="255" t="n"/>
      <c r="T44" s="255" t="n"/>
      <c r="U44" s="255" t="n"/>
      <c r="V44" s="244" t="n"/>
      <c r="W44" s="244" t="n"/>
      <c r="X44" s="244" t="n"/>
      <c r="Y44" s="244" t="n"/>
      <c r="Z44" s="245" t="n"/>
      <c r="AA44" s="253" t="n"/>
    </row>
    <row r="45" ht="13.5" customHeight="1" s="566">
      <c r="A45" s="256" t="n"/>
      <c r="B45" s="257" t="n"/>
      <c r="C45" s="257" t="n"/>
      <c r="D45" s="257" t="n"/>
      <c r="E45" s="257" t="n"/>
      <c r="F45" s="257" t="n"/>
      <c r="G45" s="257" t="n"/>
      <c r="H45" s="257" t="n"/>
      <c r="I45" s="257" t="n"/>
      <c r="J45" s="257" t="n"/>
      <c r="K45" s="257" t="n"/>
      <c r="L45" s="257" t="n"/>
      <c r="M45" s="608" t="n"/>
      <c r="N45" s="608" t="n"/>
      <c r="O45" s="608" t="n"/>
      <c r="P45" s="257" t="n"/>
      <c r="Q45" s="608" t="n"/>
      <c r="R45" s="608" t="n"/>
      <c r="S45" s="257" t="n"/>
      <c r="T45" s="257" t="n"/>
      <c r="U45" s="257" t="n"/>
      <c r="V45" s="608" t="n"/>
      <c r="W45" s="608" t="n"/>
      <c r="X45" s="608" t="n"/>
      <c r="Y45" s="608" t="n"/>
      <c r="Z45" s="248" t="n"/>
      <c r="AA45" s="253" t="n"/>
    </row>
    <row r="46" ht="14.25" customHeight="1" s="566">
      <c r="A46" s="267" t="n"/>
      <c r="B46" s="267" t="n"/>
      <c r="C46" s="267" t="n"/>
      <c r="D46" s="267" t="n"/>
      <c r="E46" s="267" t="n"/>
      <c r="F46" s="267" t="n"/>
      <c r="G46" s="267" t="n"/>
      <c r="H46" s="267" t="n"/>
      <c r="I46" s="267" t="n"/>
      <c r="J46" s="267" t="n"/>
      <c r="K46" s="267" t="n"/>
      <c r="L46" s="267" t="n"/>
      <c r="M46" s="266" t="n"/>
      <c r="N46" s="266" t="n"/>
      <c r="O46" s="266" t="n"/>
      <c r="P46" s="267" t="n"/>
      <c r="Q46" s="266" t="n"/>
      <c r="R46" s="266" t="n"/>
      <c r="S46" s="267" t="n"/>
      <c r="T46" s="267" t="n"/>
      <c r="U46" s="267" t="n"/>
      <c r="V46" s="266" t="n"/>
      <c r="W46" s="266" t="n"/>
      <c r="X46" s="266" t="n"/>
      <c r="Y46" s="266" t="n"/>
      <c r="Z46" s="266" t="n"/>
      <c r="AA46" s="81" t="n"/>
    </row>
    <row r="47" ht="13.7" customHeight="1" s="566">
      <c r="A47" s="268" t="n"/>
      <c r="B47" s="268" t="n"/>
      <c r="C47" s="268" t="n"/>
      <c r="D47" s="268" t="n"/>
      <c r="E47" s="268" t="n"/>
      <c r="F47" s="268" t="n"/>
      <c r="G47" s="268" t="n"/>
      <c r="H47" s="268" t="n"/>
      <c r="I47" s="268" t="n"/>
      <c r="J47" s="268" t="n"/>
      <c r="K47" s="268" t="n"/>
      <c r="L47" s="268" t="n"/>
      <c r="M47" s="81" t="n"/>
      <c r="N47" s="81" t="n"/>
      <c r="O47" s="81" t="n"/>
      <c r="P47" s="268" t="n"/>
      <c r="Q47" s="81" t="n"/>
      <c r="R47" s="81" t="n"/>
      <c r="S47" s="268" t="n"/>
      <c r="T47" s="268" t="n"/>
      <c r="U47" s="268" t="n"/>
      <c r="V47" s="81" t="n"/>
      <c r="W47" s="81" t="n"/>
      <c r="X47" s="81" t="n"/>
      <c r="Y47" s="81" t="n"/>
      <c r="Z47" s="81" t="n"/>
      <c r="AA47" s="81" t="n"/>
    </row>
    <row r="48" ht="13.7" customHeight="1" s="566">
      <c r="A48" s="268" t="n"/>
      <c r="B48" s="268" t="n"/>
      <c r="C48" s="268" t="n"/>
      <c r="D48" s="268" t="n"/>
      <c r="E48" s="268" t="n"/>
      <c r="F48" s="268" t="n"/>
      <c r="G48" s="268" t="n"/>
      <c r="H48" s="268" t="n"/>
      <c r="I48" s="268" t="n"/>
      <c r="J48" s="268" t="n"/>
      <c r="K48" s="268" t="n"/>
      <c r="L48" s="268" t="n"/>
      <c r="M48" s="81" t="n"/>
      <c r="N48" s="81" t="n"/>
      <c r="O48" s="81" t="n"/>
      <c r="P48" s="268" t="n"/>
      <c r="Q48" s="81" t="n"/>
      <c r="R48" s="81" t="n"/>
      <c r="S48" s="268" t="n"/>
      <c r="T48" s="268" t="n"/>
      <c r="U48" s="268" t="n"/>
      <c r="V48" s="81" t="n"/>
      <c r="W48" s="81" t="n"/>
      <c r="X48" s="81" t="n"/>
      <c r="Y48" s="81" t="n"/>
      <c r="Z48" s="81" t="n"/>
      <c r="AA48" s="81" t="n"/>
    </row>
    <row r="49" ht="13.7" customHeight="1" s="566">
      <c r="A49" s="268" t="n"/>
      <c r="B49" s="268" t="n"/>
      <c r="C49" s="268" t="n"/>
      <c r="D49" s="268" t="n"/>
      <c r="E49" s="268" t="n"/>
      <c r="F49" s="268" t="n"/>
      <c r="G49" s="268" t="n"/>
      <c r="H49" s="268" t="n"/>
      <c r="I49" s="268" t="n"/>
      <c r="J49" s="268" t="n"/>
      <c r="K49" s="268" t="n"/>
      <c r="L49" s="268" t="n"/>
      <c r="M49" s="81" t="n"/>
      <c r="N49" s="81" t="n"/>
      <c r="O49" s="81" t="n"/>
      <c r="P49" s="268" t="n"/>
      <c r="Q49" s="81" t="n"/>
      <c r="R49" s="81" t="n"/>
      <c r="S49" s="268" t="n"/>
      <c r="T49" s="268" t="n"/>
      <c r="U49" s="268" t="n"/>
      <c r="V49" s="81" t="n"/>
      <c r="W49" s="81" t="n"/>
      <c r="X49" s="81" t="n"/>
      <c r="Y49" s="81" t="n"/>
      <c r="Z49" s="81" t="n"/>
      <c r="AA49" s="81" t="n"/>
    </row>
    <row r="50" ht="13.7" customHeight="1" s="566">
      <c r="A50" s="268" t="n"/>
      <c r="B50" s="268" t="n"/>
      <c r="C50" s="268" t="n"/>
      <c r="D50" s="268" t="n"/>
      <c r="E50" s="268" t="n"/>
      <c r="F50" s="268" t="n"/>
      <c r="G50" s="268" t="n"/>
      <c r="H50" s="268" t="n"/>
      <c r="I50" s="268" t="n"/>
      <c r="J50" s="268" t="n"/>
      <c r="K50" s="268" t="n"/>
      <c r="L50" s="268" t="n"/>
      <c r="M50" s="81" t="n"/>
      <c r="N50" s="81" t="n"/>
      <c r="O50" s="81" t="n"/>
      <c r="P50" s="268" t="n"/>
      <c r="Q50" s="81" t="n"/>
      <c r="R50" s="81" t="n"/>
      <c r="S50" s="268" t="n"/>
      <c r="T50" s="268" t="n"/>
      <c r="U50" s="268" t="n"/>
      <c r="V50" s="81" t="n"/>
      <c r="W50" s="81" t="n"/>
      <c r="X50" s="81" t="n"/>
      <c r="Y50" s="81" t="n"/>
      <c r="Z50" s="81" t="n"/>
      <c r="AA50" s="81" t="n"/>
    </row>
  </sheetData>
  <dataValidations count="4">
    <dataValidation sqref="D3:D45 X3:X45" showDropDown="0" showInputMessage="1" showErrorMessage="1" allowBlank="1" type="list">
      <formula1>"Yes,No"</formula1>
    </dataValidation>
    <dataValidation sqref="J3:J45 L3:L45" showDropDown="0" showInputMessage="1" showErrorMessage="1" allowBlank="1" type="list">
      <formula1>"No,Yes"</formula1>
    </dataValidation>
    <dataValidation sqref="V3:V45" showDropDown="0" showInputMessage="1" showErrorMessage="1" allowBlank="1" type="list">
      <formula1>"Yes/No"</formula1>
    </dataValidation>
    <dataValidation sqref="Z3:Z45" showDropDown="0" showInputMessage="1" showErrorMessage="1" allowBlank="1" type="list">
      <formula1>"CUI Asset,Security Protection Asset,Contractor Risk Managed Asset,Specialized Asset,Out-of-Scope Asset"</formula1>
    </dataValidation>
  </dataValidations>
  <hyperlinks>
    <hyperlink xmlns:r="http://schemas.openxmlformats.org/officeDocument/2006/relationships" ref="AA4" r:id="rId1"/>
  </hyperlinks>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15.xml><?xml version="1.0" encoding="utf-8"?>
<worksheet xmlns="http://schemas.openxmlformats.org/spreadsheetml/2006/main">
  <sheetPr>
    <outlinePr summaryBelow="1" summaryRight="1"/>
    <pageSetUpPr/>
  </sheetPr>
  <dimension ref="A1:M44"/>
  <sheetViews>
    <sheetView showGridLines="0" workbookViewId="0">
      <selection activeCell="A1" sqref="A1"/>
    </sheetView>
  </sheetViews>
  <sheetFormatPr baseColWidth="8" defaultColWidth="9" defaultRowHeight="12.75" customHeight="1"/>
  <cols>
    <col width="19.1640625" customWidth="1" style="1" min="1" max="1"/>
    <col width="14.6640625" customWidth="1" style="1" min="2" max="2"/>
    <col width="23.83203125" customWidth="1" style="1" min="3" max="3"/>
    <col width="12.83203125" customWidth="1" style="1" min="4" max="4"/>
    <col width="16.1640625" customWidth="1" style="1" min="5" max="5"/>
    <col width="23" customWidth="1" style="1" min="6" max="6"/>
    <col width="27.6640625" customWidth="1" style="1" min="7" max="8"/>
    <col width="22.83203125" customWidth="1" style="1" min="9" max="9"/>
    <col width="28.83203125" customWidth="1" style="1" min="10" max="10"/>
    <col width="22.83203125" customWidth="1" style="1" min="11" max="11"/>
    <col width="9" customWidth="1" style="1" min="12" max="14"/>
    <col width="9" customWidth="1" style="1" min="15" max="16384"/>
  </cols>
  <sheetData>
    <row r="1" ht="48" customHeight="1" s="566">
      <c r="A1" s="289" t="inlineStr">
        <is>
          <t>Relevant Requirement(s)/ Objective(s):</t>
        </is>
      </c>
      <c r="B1" s="287" t="inlineStr">
        <is>
          <t>3.1.1b, 3.4.8b, 3.5.1b</t>
        </is>
      </c>
      <c r="C1" s="230" t="inlineStr">
        <is>
          <t>Last Reviewed By:</t>
        </is>
      </c>
      <c r="D1" s="290" t="n"/>
      <c r="E1" s="230" t="inlineStr">
        <is>
          <t>Last Reviewed On:</t>
        </is>
      </c>
      <c r="F1" s="290" t="n"/>
      <c r="G1" s="291" t="n"/>
      <c r="H1" s="292" t="n"/>
      <c r="I1" s="262" t="n"/>
      <c r="J1" s="236" t="n"/>
      <c r="K1" s="236" t="n"/>
      <c r="L1" s="81" t="n"/>
      <c r="M1" s="81" t="n"/>
    </row>
    <row r="2" ht="30.75" customHeight="1" s="566">
      <c r="A2" s="293" t="inlineStr">
        <is>
          <t>Category/Purpose</t>
        </is>
      </c>
      <c r="B2" s="294" t="inlineStr">
        <is>
          <t>Developer</t>
        </is>
      </c>
      <c r="C2" s="294" t="inlineStr">
        <is>
          <t>Software Title/Name</t>
        </is>
      </c>
      <c r="D2" s="294" t="inlineStr">
        <is>
          <t>Version</t>
        </is>
      </c>
      <c r="E2" s="294" t="inlineStr">
        <is>
          <t>Latest Update</t>
        </is>
      </c>
      <c r="F2" s="295" t="inlineStr">
        <is>
          <t>Installed on System/Hardware</t>
        </is>
      </c>
      <c r="G2" s="294" t="inlineStr">
        <is>
          <t>Responsible Person or Role</t>
        </is>
      </c>
      <c r="H2" s="295" t="inlineStr">
        <is>
          <t>Authorized to Perform Actions on Behalf of a User? (Yes/No)</t>
        </is>
      </c>
      <c r="I2" s="295" t="inlineStr">
        <is>
          <t>Stores, Transmits, or Processes FCI</t>
        </is>
      </c>
      <c r="J2" s="295" t="inlineStr">
        <is>
          <t>CUI Type(s) Stored, Processed, or Transmitted</t>
        </is>
      </c>
      <c r="K2" s="296" t="inlineStr">
        <is>
          <t>Asset Category</t>
        </is>
      </c>
      <c r="L2" s="253" t="n"/>
      <c r="M2" s="81" t="n"/>
    </row>
    <row r="3" ht="15" customHeight="1" s="566">
      <c r="A3" s="44" t="n"/>
      <c r="B3" s="44" t="n"/>
      <c r="C3" s="44" t="n"/>
      <c r="D3" s="44" t="n"/>
      <c r="E3" s="44" t="n"/>
      <c r="F3" s="44" t="n"/>
      <c r="G3" s="44" t="n"/>
      <c r="H3" s="44" t="n"/>
      <c r="I3" s="606" t="n"/>
      <c r="J3" s="606" t="n"/>
      <c r="K3" s="242" t="n"/>
      <c r="L3" s="253" t="n"/>
      <c r="M3" s="297" t="inlineStr">
        <is>
          <t>See CMMC Scoping Guide for Asset Category Descriptions</t>
        </is>
      </c>
    </row>
    <row r="4" ht="15" customHeight="1" s="566">
      <c r="A4" s="47" t="n"/>
      <c r="B4" s="47" t="n"/>
      <c r="C4" s="47" t="n"/>
      <c r="D4" s="47" t="n"/>
      <c r="E4" s="47" t="n"/>
      <c r="F4" s="47" t="n"/>
      <c r="G4" s="47" t="n"/>
      <c r="H4" s="47" t="n"/>
      <c r="I4" s="244" t="n"/>
      <c r="J4" s="244" t="n"/>
      <c r="K4" s="245" t="n"/>
      <c r="L4" s="253" t="n"/>
      <c r="M4" s="297" t="inlineStr">
        <is>
          <t>OUSD A&amp;S - Cybersecurity Maturity Model Certification (CMMC) (osd.mil)</t>
        </is>
      </c>
    </row>
    <row r="5" ht="13.7" customHeight="1" s="566">
      <c r="A5" s="47" t="n"/>
      <c r="B5" s="47" t="n"/>
      <c r="C5" s="47" t="n"/>
      <c r="D5" s="47" t="n"/>
      <c r="E5" s="47" t="n"/>
      <c r="F5" s="47" t="n"/>
      <c r="G5" s="47" t="n"/>
      <c r="H5" s="47" t="n"/>
      <c r="I5" s="244" t="n"/>
      <c r="J5" s="244" t="n"/>
      <c r="K5" s="245" t="n"/>
      <c r="L5" s="253" t="n"/>
      <c r="M5" s="81" t="n"/>
    </row>
    <row r="6" ht="13.7" customHeight="1" s="566">
      <c r="A6" s="47" t="n"/>
      <c r="B6" s="47" t="n"/>
      <c r="C6" s="47" t="n"/>
      <c r="D6" s="47" t="n"/>
      <c r="E6" s="47" t="n"/>
      <c r="F6" s="47" t="n"/>
      <c r="G6" s="47" t="n"/>
      <c r="H6" s="47" t="n"/>
      <c r="I6" s="244" t="n"/>
      <c r="J6" s="244" t="n"/>
      <c r="K6" s="245" t="n"/>
      <c r="L6" s="253" t="n"/>
      <c r="M6" s="81" t="n"/>
    </row>
    <row r="7" ht="13.7" customHeight="1" s="566">
      <c r="A7" s="47" t="n"/>
      <c r="B7" s="47" t="n"/>
      <c r="C7" s="47" t="n"/>
      <c r="D7" s="47" t="n"/>
      <c r="E7" s="47" t="n"/>
      <c r="F7" s="47" t="n"/>
      <c r="G7" s="47" t="n"/>
      <c r="H7" s="47" t="n"/>
      <c r="I7" s="244" t="n"/>
      <c r="J7" s="244" t="n"/>
      <c r="K7" s="245" t="n"/>
      <c r="L7" s="253" t="n"/>
      <c r="M7" s="81" t="n"/>
    </row>
    <row r="8" ht="13.7" customHeight="1" s="566">
      <c r="A8" s="47" t="n"/>
      <c r="B8" s="47" t="n"/>
      <c r="C8" s="47" t="n"/>
      <c r="D8" s="47" t="n"/>
      <c r="E8" s="47" t="n"/>
      <c r="F8" s="47" t="n"/>
      <c r="G8" s="47" t="n"/>
      <c r="H8" s="47" t="n"/>
      <c r="I8" s="244" t="n"/>
      <c r="J8" s="244" t="n"/>
      <c r="K8" s="245" t="n"/>
      <c r="L8" s="253" t="n"/>
      <c r="M8" s="81" t="n"/>
    </row>
    <row r="9" ht="13.7" customHeight="1" s="566">
      <c r="A9" s="47" t="n"/>
      <c r="B9" s="47" t="n"/>
      <c r="C9" s="47" t="n"/>
      <c r="D9" s="47" t="n"/>
      <c r="E9" s="47" t="n"/>
      <c r="F9" s="47" t="n"/>
      <c r="G9" s="47" t="n"/>
      <c r="H9" s="47" t="n"/>
      <c r="I9" s="244" t="n"/>
      <c r="J9" s="244" t="n"/>
      <c r="K9" s="245" t="n"/>
      <c r="L9" s="253" t="n"/>
      <c r="M9" s="81" t="n"/>
    </row>
    <row r="10" ht="13.7" customHeight="1" s="566">
      <c r="A10" s="47" t="n"/>
      <c r="B10" s="47" t="n"/>
      <c r="C10" s="47" t="n"/>
      <c r="D10" s="47" t="n"/>
      <c r="E10" s="47" t="n"/>
      <c r="F10" s="47" t="n"/>
      <c r="G10" s="47" t="n"/>
      <c r="H10" s="47" t="n"/>
      <c r="I10" s="244" t="n"/>
      <c r="J10" s="244" t="n"/>
      <c r="K10" s="245" t="n"/>
      <c r="L10" s="253" t="n"/>
      <c r="M10" s="81" t="n"/>
    </row>
    <row r="11" ht="13.7" customHeight="1" s="566">
      <c r="A11" s="47" t="n"/>
      <c r="B11" s="47" t="n"/>
      <c r="C11" s="47" t="n"/>
      <c r="D11" s="47" t="n"/>
      <c r="E11" s="47" t="n"/>
      <c r="F11" s="47" t="n"/>
      <c r="G11" s="47" t="n"/>
      <c r="H11" s="47" t="n"/>
      <c r="I11" s="244" t="n"/>
      <c r="J11" s="244" t="n"/>
      <c r="K11" s="245" t="n"/>
      <c r="L11" s="253" t="n"/>
      <c r="M11" s="81" t="n"/>
    </row>
    <row r="12" ht="13.7" customHeight="1" s="566">
      <c r="A12" s="47" t="n"/>
      <c r="B12" s="47" t="n"/>
      <c r="C12" s="47" t="n"/>
      <c r="D12" s="47" t="n"/>
      <c r="E12" s="47" t="n"/>
      <c r="F12" s="47" t="n"/>
      <c r="G12" s="47" t="n"/>
      <c r="H12" s="47" t="n"/>
      <c r="I12" s="244" t="n"/>
      <c r="J12" s="244" t="n"/>
      <c r="K12" s="245" t="n"/>
      <c r="L12" s="253" t="n"/>
      <c r="M12" s="81" t="n"/>
    </row>
    <row r="13" ht="13.7" customHeight="1" s="566">
      <c r="A13" s="47" t="n"/>
      <c r="B13" s="47" t="n"/>
      <c r="C13" s="47" t="n"/>
      <c r="D13" s="47" t="n"/>
      <c r="E13" s="47" t="n"/>
      <c r="F13" s="47" t="n"/>
      <c r="G13" s="47" t="n"/>
      <c r="H13" s="47" t="n"/>
      <c r="I13" s="244" t="n"/>
      <c r="J13" s="244" t="n"/>
      <c r="K13" s="245" t="n"/>
      <c r="L13" s="253" t="n"/>
      <c r="M13" s="81" t="n"/>
    </row>
    <row r="14" ht="13.7" customHeight="1" s="566">
      <c r="A14" s="47" t="n"/>
      <c r="B14" s="47" t="n"/>
      <c r="C14" s="47" t="n"/>
      <c r="D14" s="47" t="n"/>
      <c r="E14" s="47" t="n"/>
      <c r="F14" s="47" t="n"/>
      <c r="G14" s="47" t="n"/>
      <c r="H14" s="47" t="n"/>
      <c r="I14" s="244" t="n"/>
      <c r="J14" s="244" t="n"/>
      <c r="K14" s="245" t="n"/>
      <c r="L14" s="253" t="n"/>
      <c r="M14" s="81" t="n"/>
    </row>
    <row r="15" ht="13.7" customHeight="1" s="566">
      <c r="A15" s="47" t="n"/>
      <c r="B15" s="47" t="n"/>
      <c r="C15" s="47" t="n"/>
      <c r="D15" s="47" t="n"/>
      <c r="E15" s="47" t="n"/>
      <c r="F15" s="47" t="n"/>
      <c r="G15" s="47" t="n"/>
      <c r="H15" s="47" t="n"/>
      <c r="I15" s="244" t="n"/>
      <c r="J15" s="244" t="n"/>
      <c r="K15" s="245" t="n"/>
      <c r="L15" s="253" t="n"/>
      <c r="M15" s="81" t="n"/>
    </row>
    <row r="16" ht="13.7" customHeight="1" s="566">
      <c r="A16" s="47" t="n"/>
      <c r="B16" s="47" t="n"/>
      <c r="C16" s="47" t="n"/>
      <c r="D16" s="47" t="n"/>
      <c r="E16" s="47" t="n"/>
      <c r="F16" s="47" t="n"/>
      <c r="G16" s="47" t="n"/>
      <c r="H16" s="47" t="n"/>
      <c r="I16" s="244" t="n"/>
      <c r="J16" s="244" t="n"/>
      <c r="K16" s="245" t="n"/>
      <c r="L16" s="253" t="n"/>
      <c r="M16" s="81" t="n"/>
    </row>
    <row r="17" ht="13.7" customHeight="1" s="566">
      <c r="A17" s="47" t="n"/>
      <c r="B17" s="47" t="n"/>
      <c r="C17" s="47" t="n"/>
      <c r="D17" s="47" t="n"/>
      <c r="E17" s="47" t="n"/>
      <c r="F17" s="47" t="n"/>
      <c r="G17" s="47" t="n"/>
      <c r="H17" s="47" t="n"/>
      <c r="I17" s="244" t="n"/>
      <c r="J17" s="244" t="n"/>
      <c r="K17" s="245" t="n"/>
      <c r="L17" s="253" t="n"/>
      <c r="M17" s="81" t="n"/>
    </row>
    <row r="18" ht="13.7" customHeight="1" s="566">
      <c r="A18" s="47" t="n"/>
      <c r="B18" s="47" t="n"/>
      <c r="C18" s="47" t="n"/>
      <c r="D18" s="47" t="n"/>
      <c r="E18" s="47" t="n"/>
      <c r="F18" s="47" t="n"/>
      <c r="G18" s="47" t="n"/>
      <c r="H18" s="47" t="n"/>
      <c r="I18" s="244" t="n"/>
      <c r="J18" s="244" t="n"/>
      <c r="K18" s="245" t="n"/>
      <c r="L18" s="253" t="n"/>
      <c r="M18" s="81" t="n"/>
    </row>
    <row r="19" ht="13.7" customHeight="1" s="566">
      <c r="A19" s="47" t="n"/>
      <c r="B19" s="47" t="n"/>
      <c r="C19" s="47" t="n"/>
      <c r="D19" s="47" t="n"/>
      <c r="E19" s="47" t="n"/>
      <c r="F19" s="47" t="n"/>
      <c r="G19" s="47" t="n"/>
      <c r="H19" s="47" t="n"/>
      <c r="I19" s="244" t="n"/>
      <c r="J19" s="244" t="n"/>
      <c r="K19" s="245" t="n"/>
      <c r="L19" s="253" t="n"/>
      <c r="M19" s="81" t="n"/>
    </row>
    <row r="20" ht="13.7" customHeight="1" s="566">
      <c r="A20" s="47" t="n"/>
      <c r="B20" s="47" t="n"/>
      <c r="C20" s="47" t="n"/>
      <c r="D20" s="47" t="n"/>
      <c r="E20" s="47" t="n"/>
      <c r="F20" s="47" t="n"/>
      <c r="G20" s="47" t="n"/>
      <c r="H20" s="47" t="n"/>
      <c r="I20" s="244" t="n"/>
      <c r="J20" s="244" t="n"/>
      <c r="K20" s="245" t="n"/>
      <c r="L20" s="253" t="n"/>
      <c r="M20" s="81" t="n"/>
    </row>
    <row r="21" ht="13.7" customHeight="1" s="566">
      <c r="A21" s="47" t="n"/>
      <c r="B21" s="47" t="n"/>
      <c r="C21" s="47" t="n"/>
      <c r="D21" s="47" t="n"/>
      <c r="E21" s="47" t="n"/>
      <c r="F21" s="47" t="n"/>
      <c r="G21" s="47" t="n"/>
      <c r="H21" s="47" t="n"/>
      <c r="I21" s="244" t="n"/>
      <c r="J21" s="244" t="n"/>
      <c r="K21" s="245" t="n"/>
      <c r="L21" s="253" t="n"/>
      <c r="M21" s="81" t="n"/>
    </row>
    <row r="22" ht="13.7" customHeight="1" s="566">
      <c r="A22" s="47" t="n"/>
      <c r="B22" s="47" t="n"/>
      <c r="C22" s="47" t="n"/>
      <c r="D22" s="47" t="n"/>
      <c r="E22" s="47" t="n"/>
      <c r="F22" s="47" t="n"/>
      <c r="G22" s="47" t="n"/>
      <c r="H22" s="47" t="n"/>
      <c r="I22" s="244" t="n"/>
      <c r="J22" s="244" t="n"/>
      <c r="K22" s="245" t="n"/>
      <c r="L22" s="253" t="n"/>
      <c r="M22" s="81" t="n"/>
    </row>
    <row r="23" ht="13.7" customHeight="1" s="566">
      <c r="A23" s="47" t="n"/>
      <c r="B23" s="47" t="n"/>
      <c r="C23" s="47" t="n"/>
      <c r="D23" s="47" t="n"/>
      <c r="E23" s="47" t="n"/>
      <c r="F23" s="47" t="n"/>
      <c r="G23" s="47" t="n"/>
      <c r="H23" s="47" t="n"/>
      <c r="I23" s="244" t="n"/>
      <c r="J23" s="244" t="n"/>
      <c r="K23" s="245" t="n"/>
      <c r="L23" s="253" t="n"/>
      <c r="M23" s="81" t="n"/>
    </row>
    <row r="24" ht="13.7" customHeight="1" s="566">
      <c r="A24" s="47" t="n"/>
      <c r="B24" s="47" t="n"/>
      <c r="C24" s="47" t="n"/>
      <c r="D24" s="47" t="n"/>
      <c r="E24" s="47" t="n"/>
      <c r="F24" s="47" t="n"/>
      <c r="G24" s="47" t="n"/>
      <c r="H24" s="47" t="n"/>
      <c r="I24" s="244" t="n"/>
      <c r="J24" s="244" t="n"/>
      <c r="K24" s="245" t="n"/>
      <c r="L24" s="253" t="n"/>
      <c r="M24" s="81" t="n"/>
    </row>
    <row r="25" ht="13.7" customHeight="1" s="566">
      <c r="A25" s="47" t="n"/>
      <c r="B25" s="47" t="n"/>
      <c r="C25" s="47" t="n"/>
      <c r="D25" s="47" t="n"/>
      <c r="E25" s="47" t="n"/>
      <c r="F25" s="47" t="n"/>
      <c r="G25" s="47" t="n"/>
      <c r="H25" s="47" t="n"/>
      <c r="I25" s="244" t="n"/>
      <c r="J25" s="244" t="n"/>
      <c r="K25" s="245" t="n"/>
      <c r="L25" s="253" t="n"/>
      <c r="M25" s="81" t="n"/>
    </row>
    <row r="26" ht="13.7" customHeight="1" s="566">
      <c r="A26" s="47" t="n"/>
      <c r="B26" s="47" t="n"/>
      <c r="C26" s="47" t="n"/>
      <c r="D26" s="47" t="n"/>
      <c r="E26" s="47" t="n"/>
      <c r="F26" s="47" t="n"/>
      <c r="G26" s="47" t="n"/>
      <c r="H26" s="47" t="n"/>
      <c r="I26" s="244" t="n"/>
      <c r="J26" s="244" t="n"/>
      <c r="K26" s="245" t="n"/>
      <c r="L26" s="253" t="n"/>
      <c r="M26" s="81" t="n"/>
    </row>
    <row r="27" ht="13.7" customHeight="1" s="566">
      <c r="A27" s="47" t="n"/>
      <c r="B27" s="47" t="n"/>
      <c r="C27" s="47" t="n"/>
      <c r="D27" s="47" t="n"/>
      <c r="E27" s="47" t="n"/>
      <c r="F27" s="47" t="n"/>
      <c r="G27" s="47" t="n"/>
      <c r="H27" s="47" t="n"/>
      <c r="I27" s="244" t="n"/>
      <c r="J27" s="244" t="n"/>
      <c r="K27" s="245" t="n"/>
      <c r="L27" s="253" t="n"/>
      <c r="M27" s="81" t="n"/>
    </row>
    <row r="28" ht="13.7" customHeight="1" s="566">
      <c r="A28" s="47" t="n"/>
      <c r="B28" s="47" t="n"/>
      <c r="C28" s="47" t="n"/>
      <c r="D28" s="47" t="n"/>
      <c r="E28" s="47" t="n"/>
      <c r="F28" s="47" t="n"/>
      <c r="G28" s="47" t="n"/>
      <c r="H28" s="47" t="n"/>
      <c r="I28" s="244" t="n"/>
      <c r="J28" s="244" t="n"/>
      <c r="K28" s="245" t="n"/>
      <c r="L28" s="253" t="n"/>
      <c r="M28" s="81" t="n"/>
    </row>
    <row r="29" ht="13.7" customHeight="1" s="566">
      <c r="A29" s="47" t="n"/>
      <c r="B29" s="47" t="n"/>
      <c r="C29" s="47" t="n"/>
      <c r="D29" s="47" t="n"/>
      <c r="E29" s="47" t="n"/>
      <c r="F29" s="47" t="n"/>
      <c r="G29" s="47" t="n"/>
      <c r="H29" s="47" t="n"/>
      <c r="I29" s="244" t="n"/>
      <c r="J29" s="244" t="n"/>
      <c r="K29" s="245" t="n"/>
      <c r="L29" s="253" t="n"/>
      <c r="M29" s="81" t="n"/>
    </row>
    <row r="30" ht="13.7" customHeight="1" s="566">
      <c r="A30" s="47" t="n"/>
      <c r="B30" s="47" t="n"/>
      <c r="C30" s="47" t="n"/>
      <c r="D30" s="47" t="n"/>
      <c r="E30" s="47" t="n"/>
      <c r="F30" s="47" t="n"/>
      <c r="G30" s="47" t="n"/>
      <c r="H30" s="47" t="n"/>
      <c r="I30" s="244" t="n"/>
      <c r="J30" s="244" t="n"/>
      <c r="K30" s="245" t="n"/>
      <c r="L30" s="253" t="n"/>
      <c r="M30" s="81" t="n"/>
    </row>
    <row r="31" ht="13.7" customHeight="1" s="566">
      <c r="A31" s="47" t="n"/>
      <c r="B31" s="47" t="n"/>
      <c r="C31" s="47" t="n"/>
      <c r="D31" s="47" t="n"/>
      <c r="E31" s="47" t="n"/>
      <c r="F31" s="47" t="n"/>
      <c r="G31" s="47" t="n"/>
      <c r="H31" s="47" t="n"/>
      <c r="I31" s="244" t="n"/>
      <c r="J31" s="244" t="n"/>
      <c r="K31" s="245" t="n"/>
      <c r="L31" s="253" t="n"/>
      <c r="M31" s="81" t="n"/>
    </row>
    <row r="32" ht="13.7" customHeight="1" s="566">
      <c r="A32" s="47" t="n"/>
      <c r="B32" s="47" t="n"/>
      <c r="C32" s="47" t="n"/>
      <c r="D32" s="47" t="n"/>
      <c r="E32" s="47" t="n"/>
      <c r="F32" s="47" t="n"/>
      <c r="G32" s="47" t="n"/>
      <c r="H32" s="47" t="n"/>
      <c r="I32" s="244" t="n"/>
      <c r="J32" s="244" t="n"/>
      <c r="K32" s="245" t="n"/>
      <c r="L32" s="253" t="n"/>
      <c r="M32" s="81" t="n"/>
    </row>
    <row r="33" ht="13.7" customHeight="1" s="566">
      <c r="A33" s="47" t="n"/>
      <c r="B33" s="47" t="n"/>
      <c r="C33" s="47" t="n"/>
      <c r="D33" s="47" t="n"/>
      <c r="E33" s="47" t="n"/>
      <c r="F33" s="47" t="n"/>
      <c r="G33" s="47" t="n"/>
      <c r="H33" s="47" t="n"/>
      <c r="I33" s="244" t="n"/>
      <c r="J33" s="244" t="n"/>
      <c r="K33" s="245" t="n"/>
      <c r="L33" s="253" t="n"/>
      <c r="M33" s="81" t="n"/>
    </row>
    <row r="34" ht="13.7" customHeight="1" s="566">
      <c r="A34" s="47" t="n"/>
      <c r="B34" s="47" t="n"/>
      <c r="C34" s="47" t="n"/>
      <c r="D34" s="47" t="n"/>
      <c r="E34" s="47" t="n"/>
      <c r="F34" s="47" t="n"/>
      <c r="G34" s="47" t="n"/>
      <c r="H34" s="47" t="n"/>
      <c r="I34" s="244" t="n"/>
      <c r="J34" s="244" t="n"/>
      <c r="K34" s="245" t="n"/>
      <c r="L34" s="253" t="n"/>
      <c r="M34" s="81" t="n"/>
    </row>
    <row r="35" ht="13.7" customHeight="1" s="566">
      <c r="A35" s="47" t="n"/>
      <c r="B35" s="47" t="n"/>
      <c r="C35" s="47" t="n"/>
      <c r="D35" s="47" t="n"/>
      <c r="E35" s="47" t="n"/>
      <c r="F35" s="47" t="n"/>
      <c r="G35" s="47" t="n"/>
      <c r="H35" s="47" t="n"/>
      <c r="I35" s="244" t="n"/>
      <c r="J35" s="244" t="n"/>
      <c r="K35" s="245" t="n"/>
      <c r="L35" s="253" t="n"/>
      <c r="M35" s="81" t="n"/>
    </row>
    <row r="36" ht="13.7" customHeight="1" s="566">
      <c r="A36" s="47" t="n"/>
      <c r="B36" s="47" t="n"/>
      <c r="C36" s="47" t="n"/>
      <c r="D36" s="47" t="n"/>
      <c r="E36" s="47" t="n"/>
      <c r="F36" s="47" t="n"/>
      <c r="G36" s="47" t="n"/>
      <c r="H36" s="47" t="n"/>
      <c r="I36" s="244" t="n"/>
      <c r="J36" s="244" t="n"/>
      <c r="K36" s="245" t="n"/>
      <c r="L36" s="253" t="n"/>
      <c r="M36" s="81" t="n"/>
    </row>
    <row r="37" ht="13.7" customHeight="1" s="566">
      <c r="A37" s="47" t="n"/>
      <c r="B37" s="47" t="n"/>
      <c r="C37" s="47" t="n"/>
      <c r="D37" s="47" t="n"/>
      <c r="E37" s="47" t="n"/>
      <c r="F37" s="47" t="n"/>
      <c r="G37" s="47" t="n"/>
      <c r="H37" s="47" t="n"/>
      <c r="I37" s="244" t="n"/>
      <c r="J37" s="244" t="n"/>
      <c r="K37" s="245" t="n"/>
      <c r="L37" s="253" t="n"/>
      <c r="M37" s="81" t="n"/>
    </row>
    <row r="38" ht="13.7" customHeight="1" s="566">
      <c r="A38" s="47" t="n"/>
      <c r="B38" s="47" t="n"/>
      <c r="C38" s="47" t="n"/>
      <c r="D38" s="47" t="n"/>
      <c r="E38" s="47" t="n"/>
      <c r="F38" s="47" t="n"/>
      <c r="G38" s="47" t="n"/>
      <c r="H38" s="47" t="n"/>
      <c r="I38" s="244" t="n"/>
      <c r="J38" s="244" t="n"/>
      <c r="K38" s="245" t="n"/>
      <c r="L38" s="253" t="n"/>
      <c r="M38" s="81" t="n"/>
    </row>
    <row r="39" ht="13.7" customHeight="1" s="566">
      <c r="A39" s="47" t="n"/>
      <c r="B39" s="47" t="n"/>
      <c r="C39" s="47" t="n"/>
      <c r="D39" s="47" t="n"/>
      <c r="E39" s="47" t="n"/>
      <c r="F39" s="47" t="n"/>
      <c r="G39" s="47" t="n"/>
      <c r="H39" s="47" t="n"/>
      <c r="I39" s="244" t="n"/>
      <c r="J39" s="244" t="n"/>
      <c r="K39" s="245" t="n"/>
      <c r="L39" s="253" t="n"/>
      <c r="M39" s="81" t="n"/>
    </row>
    <row r="40" ht="13.7" customHeight="1" s="566">
      <c r="A40" s="47" t="n"/>
      <c r="B40" s="47" t="n"/>
      <c r="C40" s="47" t="n"/>
      <c r="D40" s="47" t="n"/>
      <c r="E40" s="47" t="n"/>
      <c r="F40" s="47" t="n"/>
      <c r="G40" s="47" t="n"/>
      <c r="H40" s="47" t="n"/>
      <c r="I40" s="244" t="n"/>
      <c r="J40" s="244" t="n"/>
      <c r="K40" s="245" t="n"/>
      <c r="L40" s="253" t="n"/>
      <c r="M40" s="81" t="n"/>
    </row>
    <row r="41" ht="13.7" customHeight="1" s="566">
      <c r="A41" s="47" t="n"/>
      <c r="B41" s="47" t="n"/>
      <c r="C41" s="47" t="n"/>
      <c r="D41" s="47" t="n"/>
      <c r="E41" s="47" t="n"/>
      <c r="F41" s="47" t="n"/>
      <c r="G41" s="47" t="n"/>
      <c r="H41" s="47" t="n"/>
      <c r="I41" s="244" t="n"/>
      <c r="J41" s="244" t="n"/>
      <c r="K41" s="245" t="n"/>
      <c r="L41" s="253" t="n"/>
      <c r="M41" s="81" t="n"/>
    </row>
    <row r="42" ht="13.7" customHeight="1" s="566">
      <c r="A42" s="47" t="n"/>
      <c r="B42" s="47" t="n"/>
      <c r="C42" s="47" t="n"/>
      <c r="D42" s="47" t="n"/>
      <c r="E42" s="47" t="n"/>
      <c r="F42" s="47" t="n"/>
      <c r="G42" s="47" t="n"/>
      <c r="H42" s="47" t="n"/>
      <c r="I42" s="244" t="n"/>
      <c r="J42" s="244" t="n"/>
      <c r="K42" s="245" t="n"/>
      <c r="L42" s="253" t="n"/>
      <c r="M42" s="81" t="n"/>
    </row>
    <row r="43" ht="13.7" customHeight="1" s="566">
      <c r="A43" s="47" t="n"/>
      <c r="B43" s="47" t="n"/>
      <c r="C43" s="47" t="n"/>
      <c r="D43" s="47" t="n"/>
      <c r="E43" s="47" t="n"/>
      <c r="F43" s="47" t="n"/>
      <c r="G43" s="47" t="n"/>
      <c r="H43" s="47" t="n"/>
      <c r="I43" s="244" t="n"/>
      <c r="J43" s="244" t="n"/>
      <c r="K43" s="245" t="n"/>
      <c r="L43" s="253" t="n"/>
      <c r="M43" s="81" t="n"/>
    </row>
    <row r="44" ht="13.7" customHeight="1" s="566">
      <c r="A44" s="47" t="n"/>
      <c r="B44" s="47" t="n"/>
      <c r="C44" s="47" t="n"/>
      <c r="D44" s="47" t="n"/>
      <c r="E44" s="47" t="n"/>
      <c r="F44" s="47" t="n"/>
      <c r="G44" s="47" t="n"/>
      <c r="H44" s="47" t="n"/>
      <c r="I44" s="244" t="n"/>
      <c r="J44" s="244" t="n"/>
      <c r="K44" s="245" t="n"/>
      <c r="L44" s="253" t="n"/>
      <c r="M44" s="81" t="n"/>
    </row>
  </sheetData>
  <dataValidations count="2">
    <dataValidation sqref="H3:H44" showDropDown="0" showInputMessage="1" showErrorMessage="1" allowBlank="1" type="list">
      <formula1>"Yes,No"</formula1>
    </dataValidation>
    <dataValidation sqref="K3:K44" showDropDown="0" showInputMessage="1" showErrorMessage="1" allowBlank="1" type="list">
      <formula1>"CUI Asset,Security Protection Asset,Contractor Risk Managed Asset,Specialized Asset,Out-of-Scope Asset"</formula1>
    </dataValidation>
  </dataValidations>
  <hyperlinks>
    <hyperlink xmlns:r="http://schemas.openxmlformats.org/officeDocument/2006/relationships" ref="M4" r:id="rId1"/>
  </hyperlinks>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16.xml><?xml version="1.0" encoding="utf-8"?>
<worksheet xmlns="http://schemas.openxmlformats.org/spreadsheetml/2006/main">
  <sheetPr>
    <outlinePr summaryBelow="1" summaryRight="1"/>
    <pageSetUpPr/>
  </sheetPr>
  <dimension ref="A1:L44"/>
  <sheetViews>
    <sheetView showGridLines="0" workbookViewId="0">
      <selection activeCell="A1" sqref="A1"/>
    </sheetView>
  </sheetViews>
  <sheetFormatPr baseColWidth="8" defaultColWidth="9" defaultRowHeight="12.75" customHeight="1"/>
  <cols>
    <col width="20.6640625" customWidth="1" style="1" min="1" max="1"/>
    <col width="16" customWidth="1" style="1" min="2" max="2"/>
    <col width="26.33203125" customWidth="1" style="1" min="3" max="3"/>
    <col width="26.1640625" customWidth="1" style="1" min="4" max="4"/>
    <col width="16" customWidth="1" style="1" min="5" max="5"/>
    <col width="26.1640625" customWidth="1" style="1" min="6" max="7"/>
    <col width="21.83203125" customWidth="1" style="1" min="8" max="8"/>
    <col width="29.83203125" customWidth="1" style="1" min="9" max="9"/>
    <col width="26" customWidth="1" style="1" min="10" max="10"/>
    <col width="9" customWidth="1" style="1" min="11" max="13"/>
    <col width="9" customWidth="1" style="1" min="14" max="16384"/>
  </cols>
  <sheetData>
    <row r="1" ht="49.5" customHeight="1" s="566">
      <c r="A1" s="237" t="inlineStr">
        <is>
          <t>Relevant Requirement(s)/ Objective(s):</t>
        </is>
      </c>
      <c r="B1" s="287" t="inlineStr">
        <is>
          <t>3.1.20a, 3.1.20b</t>
        </is>
      </c>
      <c r="C1" s="230" t="inlineStr">
        <is>
          <t>Last Reviewed By:</t>
        </is>
      </c>
      <c r="D1" s="250" t="n"/>
      <c r="E1" s="230" t="inlineStr">
        <is>
          <t>Last Reviewed On:</t>
        </is>
      </c>
      <c r="F1" s="250" t="n"/>
      <c r="G1" s="234" t="n"/>
      <c r="H1" s="235" t="n"/>
      <c r="I1" s="235" t="n"/>
      <c r="J1" s="236" t="n"/>
      <c r="K1" s="81" t="n"/>
      <c r="L1" s="81" t="n"/>
    </row>
    <row r="2" ht="51.75" customHeight="1" s="566">
      <c r="A2" s="289" t="inlineStr">
        <is>
          <t>Category/Purpose</t>
        </is>
      </c>
      <c r="B2" s="295" t="inlineStr">
        <is>
          <t>External System/Cloud Service Provider Name</t>
        </is>
      </c>
      <c r="C2" s="295" t="inlineStr">
        <is>
          <t>Service Title/Name</t>
        </is>
      </c>
      <c r="D2" s="295" t="inlineStr">
        <is>
          <t>Version/Subscription Type</t>
        </is>
      </c>
      <c r="E2" s="295" t="inlineStr">
        <is>
          <t>URL</t>
        </is>
      </c>
      <c r="F2" s="295" t="inlineStr">
        <is>
          <t>Responsible Person or Role</t>
        </is>
      </c>
      <c r="G2" s="295" t="inlineStr">
        <is>
          <t>Service Responsibility Matrix Location</t>
        </is>
      </c>
      <c r="H2" s="295" t="inlineStr">
        <is>
          <t>Stores, Transmits, or Processes FCI</t>
        </is>
      </c>
      <c r="I2" s="295" t="inlineStr">
        <is>
          <t>CUI Type(s) Stored, Processed, or Transmitted</t>
        </is>
      </c>
      <c r="J2" s="296" t="inlineStr">
        <is>
          <t>Asset Category</t>
        </is>
      </c>
      <c r="K2" s="253" t="n"/>
      <c r="L2" s="81" t="n"/>
    </row>
    <row r="3" ht="14.25" customHeight="1" s="566">
      <c r="A3" s="259" t="n"/>
      <c r="B3" s="259" t="n"/>
      <c r="C3" s="259" t="n"/>
      <c r="D3" s="259" t="n"/>
      <c r="E3" s="259" t="n"/>
      <c r="F3" s="259" t="n"/>
      <c r="G3" s="259" t="n"/>
      <c r="H3" s="606" t="n"/>
      <c r="I3" s="606" t="n"/>
      <c r="J3" s="242" t="n"/>
      <c r="K3" s="253" t="n"/>
      <c r="L3" s="298" t="n"/>
    </row>
    <row r="4" ht="15" customHeight="1" s="566">
      <c r="A4" s="255" t="n"/>
      <c r="B4" s="255" t="n"/>
      <c r="C4" s="255" t="n"/>
      <c r="D4" s="255" t="n"/>
      <c r="E4" s="255" t="n"/>
      <c r="F4" s="255" t="n"/>
      <c r="G4" s="255" t="n"/>
      <c r="H4" s="244" t="n"/>
      <c r="I4" s="244" t="n"/>
      <c r="J4" s="245" t="n"/>
      <c r="K4" s="253" t="n"/>
      <c r="L4" s="297" t="inlineStr">
        <is>
          <t>See CMMC Scoping Guide for Asset Category Descriptions</t>
        </is>
      </c>
    </row>
    <row r="5" ht="15" customHeight="1" s="566">
      <c r="A5" s="255" t="n"/>
      <c r="B5" s="255" t="n"/>
      <c r="C5" s="255" t="n"/>
      <c r="D5" s="255" t="n"/>
      <c r="E5" s="255" t="n"/>
      <c r="F5" s="255" t="n"/>
      <c r="G5" s="255" t="n"/>
      <c r="H5" s="244" t="n"/>
      <c r="I5" s="244" t="n"/>
      <c r="J5" s="245" t="n"/>
      <c r="K5" s="253" t="n"/>
      <c r="L5" s="297" t="inlineStr">
        <is>
          <t>OUSD A&amp;S - Cybersecurity Maturity Model Certification (CMMC) (osd.mil)</t>
        </is>
      </c>
    </row>
    <row r="6" ht="13.7" customHeight="1" s="566">
      <c r="A6" s="255" t="n"/>
      <c r="B6" s="255" t="n"/>
      <c r="C6" s="255" t="n"/>
      <c r="D6" s="255" t="n"/>
      <c r="E6" s="255" t="n"/>
      <c r="F6" s="255" t="n"/>
      <c r="G6" s="255" t="n"/>
      <c r="H6" s="244" t="n"/>
      <c r="I6" s="244" t="n"/>
      <c r="J6" s="245" t="n"/>
      <c r="K6" s="253" t="n"/>
      <c r="L6" s="81" t="n"/>
    </row>
    <row r="7" ht="13.7" customHeight="1" s="566">
      <c r="A7" s="255" t="n"/>
      <c r="B7" s="255" t="n"/>
      <c r="C7" s="255" t="n"/>
      <c r="D7" s="255" t="n"/>
      <c r="E7" s="255" t="n"/>
      <c r="F7" s="255" t="n"/>
      <c r="G7" s="255" t="n"/>
      <c r="H7" s="244" t="n"/>
      <c r="I7" s="244" t="n"/>
      <c r="J7" s="245" t="n"/>
      <c r="K7" s="253" t="n"/>
      <c r="L7" s="81" t="n"/>
    </row>
    <row r="8" ht="13.7" customHeight="1" s="566">
      <c r="A8" s="255" t="n"/>
      <c r="B8" s="255" t="n"/>
      <c r="C8" s="255" t="n"/>
      <c r="D8" s="255" t="n"/>
      <c r="E8" s="255" t="n"/>
      <c r="F8" s="255" t="n"/>
      <c r="G8" s="255" t="n"/>
      <c r="H8" s="244" t="n"/>
      <c r="I8" s="244" t="n"/>
      <c r="J8" s="245" t="n"/>
      <c r="K8" s="253" t="n"/>
      <c r="L8" s="81" t="n"/>
    </row>
    <row r="9" ht="13.7" customHeight="1" s="566">
      <c r="A9" s="255" t="n"/>
      <c r="B9" s="255" t="n"/>
      <c r="C9" s="255" t="n"/>
      <c r="D9" s="255" t="n"/>
      <c r="E9" s="255" t="n"/>
      <c r="F9" s="255" t="n"/>
      <c r="G9" s="255" t="n"/>
      <c r="H9" s="244" t="n"/>
      <c r="I9" s="244" t="n"/>
      <c r="J9" s="245" t="n"/>
      <c r="K9" s="253" t="n"/>
      <c r="L9" s="81" t="n"/>
    </row>
    <row r="10" ht="13.7" customHeight="1" s="566">
      <c r="A10" s="255" t="n"/>
      <c r="B10" s="255" t="n"/>
      <c r="C10" s="255" t="n"/>
      <c r="D10" s="255" t="n"/>
      <c r="E10" s="255" t="n"/>
      <c r="F10" s="255" t="n"/>
      <c r="G10" s="255" t="n"/>
      <c r="H10" s="244" t="n"/>
      <c r="I10" s="244" t="n"/>
      <c r="J10" s="245" t="n"/>
      <c r="K10" s="253" t="n"/>
      <c r="L10" s="81" t="n"/>
    </row>
    <row r="11" ht="13.7" customHeight="1" s="566">
      <c r="A11" s="255" t="n"/>
      <c r="B11" s="255" t="n"/>
      <c r="C11" s="255" t="n"/>
      <c r="D11" s="255" t="n"/>
      <c r="E11" s="255" t="n"/>
      <c r="F11" s="255" t="n"/>
      <c r="G11" s="255" t="n"/>
      <c r="H11" s="244" t="n"/>
      <c r="I11" s="244" t="n"/>
      <c r="J11" s="245" t="n"/>
      <c r="K11" s="253" t="n"/>
      <c r="L11" s="81" t="n"/>
    </row>
    <row r="12" ht="13.7" customHeight="1" s="566">
      <c r="A12" s="255" t="n"/>
      <c r="B12" s="255" t="n"/>
      <c r="C12" s="255" t="n"/>
      <c r="D12" s="255" t="n"/>
      <c r="E12" s="255" t="n"/>
      <c r="F12" s="255" t="n"/>
      <c r="G12" s="255" t="n"/>
      <c r="H12" s="244" t="n"/>
      <c r="I12" s="244" t="n"/>
      <c r="J12" s="245" t="n"/>
      <c r="K12" s="253" t="n"/>
      <c r="L12" s="81" t="n"/>
    </row>
    <row r="13" ht="13.7" customHeight="1" s="566">
      <c r="A13" s="255" t="n"/>
      <c r="B13" s="255" t="n"/>
      <c r="C13" s="255" t="n"/>
      <c r="D13" s="255" t="n"/>
      <c r="E13" s="255" t="n"/>
      <c r="F13" s="255" t="n"/>
      <c r="G13" s="255" t="n"/>
      <c r="H13" s="244" t="n"/>
      <c r="I13" s="244" t="n"/>
      <c r="J13" s="245" t="n"/>
      <c r="K13" s="253" t="n"/>
      <c r="L13" s="81" t="n"/>
    </row>
    <row r="14" ht="13.7" customHeight="1" s="566">
      <c r="A14" s="255" t="n"/>
      <c r="B14" s="255" t="n"/>
      <c r="C14" s="255" t="n"/>
      <c r="D14" s="255" t="n"/>
      <c r="E14" s="255" t="n"/>
      <c r="F14" s="255" t="n"/>
      <c r="G14" s="255" t="n"/>
      <c r="H14" s="244" t="n"/>
      <c r="I14" s="244" t="n"/>
      <c r="J14" s="245" t="n"/>
      <c r="K14" s="253" t="n"/>
      <c r="L14" s="81" t="n"/>
    </row>
    <row r="15" ht="13.7" customHeight="1" s="566">
      <c r="A15" s="255" t="n"/>
      <c r="B15" s="255" t="n"/>
      <c r="C15" s="255" t="n"/>
      <c r="D15" s="255" t="n"/>
      <c r="E15" s="255" t="n"/>
      <c r="F15" s="255" t="n"/>
      <c r="G15" s="255" t="n"/>
      <c r="H15" s="244" t="n"/>
      <c r="I15" s="244" t="n"/>
      <c r="J15" s="245" t="n"/>
      <c r="K15" s="253" t="n"/>
      <c r="L15" s="81" t="n"/>
    </row>
    <row r="16" ht="13.7" customHeight="1" s="566">
      <c r="A16" s="255" t="n"/>
      <c r="B16" s="255" t="n"/>
      <c r="C16" s="255" t="n"/>
      <c r="D16" s="255" t="n"/>
      <c r="E16" s="255" t="n"/>
      <c r="F16" s="255" t="n"/>
      <c r="G16" s="255" t="n"/>
      <c r="H16" s="244" t="n"/>
      <c r="I16" s="244" t="n"/>
      <c r="J16" s="245" t="n"/>
      <c r="K16" s="253" t="n"/>
      <c r="L16" s="81" t="n"/>
    </row>
    <row r="17" ht="13.7" customHeight="1" s="566">
      <c r="A17" s="255" t="n"/>
      <c r="B17" s="255" t="n"/>
      <c r="C17" s="255" t="n"/>
      <c r="D17" s="255" t="n"/>
      <c r="E17" s="255" t="n"/>
      <c r="F17" s="255" t="n"/>
      <c r="G17" s="255" t="n"/>
      <c r="H17" s="244" t="n"/>
      <c r="I17" s="244" t="n"/>
      <c r="J17" s="245" t="n"/>
      <c r="K17" s="253" t="n"/>
      <c r="L17" s="81" t="n"/>
    </row>
    <row r="18" ht="13.7" customHeight="1" s="566">
      <c r="A18" s="255" t="n"/>
      <c r="B18" s="255" t="n"/>
      <c r="C18" s="255" t="n"/>
      <c r="D18" s="255" t="n"/>
      <c r="E18" s="255" t="n"/>
      <c r="F18" s="255" t="n"/>
      <c r="G18" s="255" t="n"/>
      <c r="H18" s="244" t="n"/>
      <c r="I18" s="244" t="n"/>
      <c r="J18" s="245" t="n"/>
      <c r="K18" s="253" t="n"/>
      <c r="L18" s="81" t="n"/>
    </row>
    <row r="19" ht="13.7" customHeight="1" s="566">
      <c r="A19" s="255" t="n"/>
      <c r="B19" s="255" t="n"/>
      <c r="C19" s="255" t="n"/>
      <c r="D19" s="255" t="n"/>
      <c r="E19" s="255" t="n"/>
      <c r="F19" s="255" t="n"/>
      <c r="G19" s="255" t="n"/>
      <c r="H19" s="244" t="n"/>
      <c r="I19" s="244" t="n"/>
      <c r="J19" s="245" t="n"/>
      <c r="K19" s="253" t="n"/>
      <c r="L19" s="81" t="n"/>
    </row>
    <row r="20" ht="13.7" customHeight="1" s="566">
      <c r="A20" s="255" t="n"/>
      <c r="B20" s="255" t="n"/>
      <c r="C20" s="255" t="n"/>
      <c r="D20" s="255" t="n"/>
      <c r="E20" s="255" t="n"/>
      <c r="F20" s="255" t="n"/>
      <c r="G20" s="255" t="n"/>
      <c r="H20" s="244" t="n"/>
      <c r="I20" s="244" t="n"/>
      <c r="J20" s="245" t="n"/>
      <c r="K20" s="253" t="n"/>
      <c r="L20" s="81" t="n"/>
    </row>
    <row r="21" ht="13.7" customHeight="1" s="566">
      <c r="A21" s="255" t="n"/>
      <c r="B21" s="255" t="n"/>
      <c r="C21" s="255" t="n"/>
      <c r="D21" s="255" t="n"/>
      <c r="E21" s="255" t="n"/>
      <c r="F21" s="255" t="n"/>
      <c r="G21" s="255" t="n"/>
      <c r="H21" s="244" t="n"/>
      <c r="I21" s="244" t="n"/>
      <c r="J21" s="245" t="n"/>
      <c r="K21" s="253" t="n"/>
      <c r="L21" s="81" t="n"/>
    </row>
    <row r="22" ht="13.7" customHeight="1" s="566">
      <c r="A22" s="255" t="n"/>
      <c r="B22" s="255" t="n"/>
      <c r="C22" s="255" t="n"/>
      <c r="D22" s="255" t="n"/>
      <c r="E22" s="255" t="n"/>
      <c r="F22" s="255" t="n"/>
      <c r="G22" s="255" t="n"/>
      <c r="H22" s="244" t="n"/>
      <c r="I22" s="244" t="n"/>
      <c r="J22" s="245" t="n"/>
      <c r="K22" s="253" t="n"/>
      <c r="L22" s="81" t="n"/>
    </row>
    <row r="23" ht="13.7" customHeight="1" s="566">
      <c r="A23" s="255" t="n"/>
      <c r="B23" s="255" t="n"/>
      <c r="C23" s="255" t="n"/>
      <c r="D23" s="255" t="n"/>
      <c r="E23" s="255" t="n"/>
      <c r="F23" s="255" t="n"/>
      <c r="G23" s="255" t="n"/>
      <c r="H23" s="244" t="n"/>
      <c r="I23" s="244" t="n"/>
      <c r="J23" s="245" t="n"/>
      <c r="K23" s="253" t="n"/>
      <c r="L23" s="81" t="n"/>
    </row>
    <row r="24" ht="13.7" customHeight="1" s="566">
      <c r="A24" s="255" t="n"/>
      <c r="B24" s="255" t="n"/>
      <c r="C24" s="255" t="n"/>
      <c r="D24" s="255" t="n"/>
      <c r="E24" s="255" t="n"/>
      <c r="F24" s="255" t="n"/>
      <c r="G24" s="255" t="n"/>
      <c r="H24" s="244" t="n"/>
      <c r="I24" s="244" t="n"/>
      <c r="J24" s="245" t="n"/>
      <c r="K24" s="253" t="n"/>
      <c r="L24" s="81" t="n"/>
    </row>
    <row r="25" ht="13.7" customHeight="1" s="566">
      <c r="A25" s="255" t="n"/>
      <c r="B25" s="255" t="n"/>
      <c r="C25" s="255" t="n"/>
      <c r="D25" s="255" t="n"/>
      <c r="E25" s="255" t="n"/>
      <c r="F25" s="255" t="n"/>
      <c r="G25" s="255" t="n"/>
      <c r="H25" s="244" t="n"/>
      <c r="I25" s="244" t="n"/>
      <c r="J25" s="245" t="n"/>
      <c r="K25" s="253" t="n"/>
      <c r="L25" s="81" t="n"/>
    </row>
    <row r="26" ht="13.7" customHeight="1" s="566">
      <c r="A26" s="255" t="n"/>
      <c r="B26" s="255" t="n"/>
      <c r="C26" s="255" t="n"/>
      <c r="D26" s="255" t="n"/>
      <c r="E26" s="255" t="n"/>
      <c r="F26" s="255" t="n"/>
      <c r="G26" s="255" t="n"/>
      <c r="H26" s="244" t="n"/>
      <c r="I26" s="244" t="n"/>
      <c r="J26" s="245" t="n"/>
      <c r="K26" s="253" t="n"/>
      <c r="L26" s="81" t="n"/>
    </row>
    <row r="27" ht="13.7" customHeight="1" s="566">
      <c r="A27" s="255" t="n"/>
      <c r="B27" s="255" t="n"/>
      <c r="C27" s="255" t="n"/>
      <c r="D27" s="255" t="n"/>
      <c r="E27" s="255" t="n"/>
      <c r="F27" s="255" t="n"/>
      <c r="G27" s="255" t="n"/>
      <c r="H27" s="244" t="n"/>
      <c r="I27" s="244" t="n"/>
      <c r="J27" s="245" t="n"/>
      <c r="K27" s="253" t="n"/>
      <c r="L27" s="81" t="n"/>
    </row>
    <row r="28" ht="13.7" customHeight="1" s="566">
      <c r="A28" s="255" t="n"/>
      <c r="B28" s="255" t="n"/>
      <c r="C28" s="255" t="n"/>
      <c r="D28" s="255" t="n"/>
      <c r="E28" s="255" t="n"/>
      <c r="F28" s="255" t="n"/>
      <c r="G28" s="255" t="n"/>
      <c r="H28" s="244" t="n"/>
      <c r="I28" s="244" t="n"/>
      <c r="J28" s="245" t="n"/>
      <c r="K28" s="253" t="n"/>
      <c r="L28" s="81" t="n"/>
    </row>
    <row r="29" ht="13.7" customHeight="1" s="566">
      <c r="A29" s="255" t="n"/>
      <c r="B29" s="255" t="n"/>
      <c r="C29" s="255" t="n"/>
      <c r="D29" s="255" t="n"/>
      <c r="E29" s="255" t="n"/>
      <c r="F29" s="255" t="n"/>
      <c r="G29" s="255" t="n"/>
      <c r="H29" s="244" t="n"/>
      <c r="I29" s="244" t="n"/>
      <c r="J29" s="245" t="n"/>
      <c r="K29" s="253" t="n"/>
      <c r="L29" s="81" t="n"/>
    </row>
    <row r="30" ht="13.7" customHeight="1" s="566">
      <c r="A30" s="255" t="n"/>
      <c r="B30" s="255" t="n"/>
      <c r="C30" s="255" t="n"/>
      <c r="D30" s="255" t="n"/>
      <c r="E30" s="255" t="n"/>
      <c r="F30" s="255" t="n"/>
      <c r="G30" s="255" t="n"/>
      <c r="H30" s="244" t="n"/>
      <c r="I30" s="244" t="n"/>
      <c r="J30" s="245" t="n"/>
      <c r="K30" s="253" t="n"/>
      <c r="L30" s="81" t="n"/>
    </row>
    <row r="31" ht="13.7" customHeight="1" s="566">
      <c r="A31" s="255" t="n"/>
      <c r="B31" s="255" t="n"/>
      <c r="C31" s="255" t="n"/>
      <c r="D31" s="255" t="n"/>
      <c r="E31" s="255" t="n"/>
      <c r="F31" s="255" t="n"/>
      <c r="G31" s="255" t="n"/>
      <c r="H31" s="244" t="n"/>
      <c r="I31" s="244" t="n"/>
      <c r="J31" s="245" t="n"/>
      <c r="K31" s="253" t="n"/>
      <c r="L31" s="81" t="n"/>
    </row>
    <row r="32" ht="13.7" customHeight="1" s="566">
      <c r="A32" s="255" t="n"/>
      <c r="B32" s="255" t="n"/>
      <c r="C32" s="255" t="n"/>
      <c r="D32" s="255" t="n"/>
      <c r="E32" s="255" t="n"/>
      <c r="F32" s="255" t="n"/>
      <c r="G32" s="255" t="n"/>
      <c r="H32" s="244" t="n"/>
      <c r="I32" s="244" t="n"/>
      <c r="J32" s="245" t="n"/>
      <c r="K32" s="253" t="n"/>
      <c r="L32" s="81" t="n"/>
    </row>
    <row r="33" ht="13.7" customHeight="1" s="566">
      <c r="A33" s="255" t="n"/>
      <c r="B33" s="255" t="n"/>
      <c r="C33" s="255" t="n"/>
      <c r="D33" s="255" t="n"/>
      <c r="E33" s="255" t="n"/>
      <c r="F33" s="255" t="n"/>
      <c r="G33" s="255" t="n"/>
      <c r="H33" s="244" t="n"/>
      <c r="I33" s="244" t="n"/>
      <c r="J33" s="245" t="n"/>
      <c r="K33" s="253" t="n"/>
      <c r="L33" s="81" t="n"/>
    </row>
    <row r="34" ht="13.7" customHeight="1" s="566">
      <c r="A34" s="255" t="n"/>
      <c r="B34" s="255" t="n"/>
      <c r="C34" s="255" t="n"/>
      <c r="D34" s="255" t="n"/>
      <c r="E34" s="255" t="n"/>
      <c r="F34" s="255" t="n"/>
      <c r="G34" s="255" t="n"/>
      <c r="H34" s="244" t="n"/>
      <c r="I34" s="244" t="n"/>
      <c r="J34" s="245" t="n"/>
      <c r="K34" s="253" t="n"/>
      <c r="L34" s="81" t="n"/>
    </row>
    <row r="35" ht="13.7" customHeight="1" s="566">
      <c r="A35" s="255" t="n"/>
      <c r="B35" s="255" t="n"/>
      <c r="C35" s="255" t="n"/>
      <c r="D35" s="255" t="n"/>
      <c r="E35" s="255" t="n"/>
      <c r="F35" s="255" t="n"/>
      <c r="G35" s="255" t="n"/>
      <c r="H35" s="244" t="n"/>
      <c r="I35" s="244" t="n"/>
      <c r="J35" s="245" t="n"/>
      <c r="K35" s="253" t="n"/>
      <c r="L35" s="81" t="n"/>
    </row>
    <row r="36" ht="13.7" customHeight="1" s="566">
      <c r="A36" s="255" t="n"/>
      <c r="B36" s="255" t="n"/>
      <c r="C36" s="255" t="n"/>
      <c r="D36" s="255" t="n"/>
      <c r="E36" s="255" t="n"/>
      <c r="F36" s="255" t="n"/>
      <c r="G36" s="255" t="n"/>
      <c r="H36" s="244" t="n"/>
      <c r="I36" s="244" t="n"/>
      <c r="J36" s="245" t="n"/>
      <c r="K36" s="253" t="n"/>
      <c r="L36" s="81" t="n"/>
    </row>
    <row r="37" ht="13.7" customHeight="1" s="566">
      <c r="A37" s="255" t="n"/>
      <c r="B37" s="255" t="n"/>
      <c r="C37" s="255" t="n"/>
      <c r="D37" s="255" t="n"/>
      <c r="E37" s="255" t="n"/>
      <c r="F37" s="255" t="n"/>
      <c r="G37" s="255" t="n"/>
      <c r="H37" s="244" t="n"/>
      <c r="I37" s="244" t="n"/>
      <c r="J37" s="245" t="n"/>
      <c r="K37" s="253" t="n"/>
      <c r="L37" s="81" t="n"/>
    </row>
    <row r="38" ht="13.7" customHeight="1" s="566">
      <c r="A38" s="255" t="n"/>
      <c r="B38" s="255" t="n"/>
      <c r="C38" s="255" t="n"/>
      <c r="D38" s="255" t="n"/>
      <c r="E38" s="255" t="n"/>
      <c r="F38" s="255" t="n"/>
      <c r="G38" s="255" t="n"/>
      <c r="H38" s="244" t="n"/>
      <c r="I38" s="244" t="n"/>
      <c r="J38" s="245" t="n"/>
      <c r="K38" s="253" t="n"/>
      <c r="L38" s="81" t="n"/>
    </row>
    <row r="39" ht="13.7" customHeight="1" s="566">
      <c r="A39" s="255" t="n"/>
      <c r="B39" s="255" t="n"/>
      <c r="C39" s="255" t="n"/>
      <c r="D39" s="255" t="n"/>
      <c r="E39" s="255" t="n"/>
      <c r="F39" s="255" t="n"/>
      <c r="G39" s="255" t="n"/>
      <c r="H39" s="244" t="n"/>
      <c r="I39" s="244" t="n"/>
      <c r="J39" s="245" t="n"/>
      <c r="K39" s="253" t="n"/>
      <c r="L39" s="81" t="n"/>
    </row>
    <row r="40" ht="13.7" customHeight="1" s="566">
      <c r="A40" s="255" t="n"/>
      <c r="B40" s="255" t="n"/>
      <c r="C40" s="255" t="n"/>
      <c r="D40" s="255" t="n"/>
      <c r="E40" s="255" t="n"/>
      <c r="F40" s="255" t="n"/>
      <c r="G40" s="255" t="n"/>
      <c r="H40" s="244" t="n"/>
      <c r="I40" s="244" t="n"/>
      <c r="J40" s="245" t="n"/>
      <c r="K40" s="253" t="n"/>
      <c r="L40" s="81" t="n"/>
    </row>
    <row r="41" ht="13.7" customHeight="1" s="566">
      <c r="A41" s="255" t="n"/>
      <c r="B41" s="255" t="n"/>
      <c r="C41" s="255" t="n"/>
      <c r="D41" s="255" t="n"/>
      <c r="E41" s="255" t="n"/>
      <c r="F41" s="255" t="n"/>
      <c r="G41" s="255" t="n"/>
      <c r="H41" s="244" t="n"/>
      <c r="I41" s="244" t="n"/>
      <c r="J41" s="245" t="n"/>
      <c r="K41" s="253" t="n"/>
      <c r="L41" s="81" t="n"/>
    </row>
    <row r="42" ht="13.7" customHeight="1" s="566">
      <c r="A42" s="255" t="n"/>
      <c r="B42" s="255" t="n"/>
      <c r="C42" s="255" t="n"/>
      <c r="D42" s="255" t="n"/>
      <c r="E42" s="255" t="n"/>
      <c r="F42" s="255" t="n"/>
      <c r="G42" s="255" t="n"/>
      <c r="H42" s="244" t="n"/>
      <c r="I42" s="244" t="n"/>
      <c r="J42" s="245" t="n"/>
      <c r="K42" s="253" t="n"/>
      <c r="L42" s="81" t="n"/>
    </row>
    <row r="43" ht="13.7" customHeight="1" s="566">
      <c r="A43" s="255" t="n"/>
      <c r="B43" s="255" t="n"/>
      <c r="C43" s="255" t="n"/>
      <c r="D43" s="255" t="n"/>
      <c r="E43" s="255" t="n"/>
      <c r="F43" s="255" t="n"/>
      <c r="G43" s="255" t="n"/>
      <c r="H43" s="244" t="n"/>
      <c r="I43" s="244" t="n"/>
      <c r="J43" s="245" t="n"/>
      <c r="K43" s="253" t="n"/>
      <c r="L43" s="81" t="n"/>
    </row>
    <row r="44" ht="13.7" customHeight="1" s="566">
      <c r="A44" s="255" t="n"/>
      <c r="B44" s="255" t="n"/>
      <c r="C44" s="255" t="n"/>
      <c r="D44" s="255" t="n"/>
      <c r="E44" s="255" t="n"/>
      <c r="F44" s="255" t="n"/>
      <c r="G44" s="255" t="n"/>
      <c r="H44" s="244" t="n"/>
      <c r="I44" s="244" t="n"/>
      <c r="J44" s="245" t="n"/>
      <c r="K44" s="253" t="n"/>
      <c r="L44" s="81" t="n"/>
    </row>
  </sheetData>
  <dataValidations count="1">
    <dataValidation sqref="J3:J44" showDropDown="0" showInputMessage="1" showErrorMessage="1" allowBlank="1" type="list">
      <formula1>"CUI Asset,Security Protection Asset,Contractor Risk Managed Asset,Specialized Asset,Out-of-Scope Asset"</formula1>
    </dataValidation>
  </dataValidations>
  <hyperlinks>
    <hyperlink xmlns:r="http://schemas.openxmlformats.org/officeDocument/2006/relationships" ref="L5" r:id="rId1"/>
  </hyperlinks>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17.xml><?xml version="1.0" encoding="utf-8"?>
<worksheet xmlns="http://schemas.openxmlformats.org/spreadsheetml/2006/main">
  <sheetPr>
    <outlinePr summaryBelow="1" summaryRight="1"/>
    <pageSetUpPr/>
  </sheetPr>
  <dimension ref="A1:AK41"/>
  <sheetViews>
    <sheetView showGridLines="0" workbookViewId="0">
      <selection activeCell="A1" sqref="A1"/>
    </sheetView>
  </sheetViews>
  <sheetFormatPr baseColWidth="8" defaultColWidth="9.1640625" defaultRowHeight="15" customHeight="1"/>
  <cols>
    <col width="30.6640625" customWidth="1" style="1" min="1" max="1"/>
    <col width="25.33203125" customWidth="1" style="1" min="2" max="2"/>
    <col width="33.6640625" customWidth="1" style="1" min="3" max="3"/>
    <col width="25.33203125" customWidth="1" style="1" min="4" max="4"/>
    <col width="19.33203125" customWidth="1" style="1" min="5" max="5"/>
    <col width="23.6640625" customWidth="1" style="1" min="6" max="6"/>
    <col width="24.1640625" customWidth="1" style="1" min="7" max="7"/>
    <col width="22.6640625" customWidth="1" style="1" min="8" max="10"/>
    <col width="23.33203125" customWidth="1" style="1" min="11" max="14"/>
    <col width="23.6640625" customWidth="1" style="1" min="15" max="18"/>
    <col width="24.1640625" customWidth="1" style="1" min="19" max="19"/>
    <col width="19.6640625" customWidth="1" style="1" min="20" max="20"/>
    <col width="30.83203125" customWidth="1" style="1" min="21" max="21"/>
    <col width="19.6640625" customWidth="1" style="1" min="22" max="22"/>
    <col width="25.1640625" customWidth="1" style="1" min="23" max="24"/>
    <col width="17.83203125" customWidth="1" style="1" min="25" max="29"/>
    <col width="27.33203125" customWidth="1" style="1" min="30" max="30"/>
    <col width="17.83203125" customWidth="1" style="1" min="31" max="34"/>
    <col width="22.6640625" customWidth="1" style="1" min="35" max="35"/>
    <col width="17.83203125" customWidth="1" style="1" min="36" max="36"/>
    <col width="12.33203125" customWidth="1" style="1" min="37" max="37"/>
    <col width="9.1640625" customWidth="1" style="1" min="38" max="38"/>
    <col width="9.1640625" customWidth="1" style="1" min="39" max="16384"/>
  </cols>
  <sheetData>
    <row r="1" ht="38.25" customHeight="1" s="566">
      <c r="A1" s="237" t="inlineStr">
        <is>
          <t>Relevant Requirement(s)/ Objective(s):</t>
        </is>
      </c>
      <c r="B1" s="299" t="inlineStr">
        <is>
          <t>3.1.3c, 3.13.8a</t>
        </is>
      </c>
      <c r="C1" s="230" t="inlineStr">
        <is>
          <t>Last Reviewed By:</t>
        </is>
      </c>
      <c r="D1" s="290" t="n"/>
      <c r="E1" s="230" t="inlineStr">
        <is>
          <t>Last Reviewed On:</t>
        </is>
      </c>
      <c r="F1" s="290" t="n"/>
      <c r="G1" s="769" t="n"/>
      <c r="H1" s="904" t="n"/>
      <c r="I1" s="770" t="n"/>
      <c r="J1" s="770" t="n"/>
      <c r="K1" s="301" t="n"/>
      <c r="L1" s="301" t="n"/>
      <c r="M1" s="301" t="n"/>
      <c r="N1" s="301" t="n"/>
      <c r="O1" s="301" t="n"/>
      <c r="P1" s="301" t="n"/>
      <c r="Q1" s="301" t="n"/>
      <c r="R1" s="301" t="n"/>
      <c r="S1" s="301" t="n"/>
      <c r="T1" s="301" t="n"/>
      <c r="U1" s="301" t="n"/>
      <c r="V1" s="301" t="n"/>
      <c r="W1" s="301" t="n"/>
      <c r="X1" s="301" t="n"/>
      <c r="Y1" s="301" t="n"/>
      <c r="Z1" s="301" t="n"/>
      <c r="AA1" s="301" t="n"/>
      <c r="AB1" s="301" t="n"/>
      <c r="AC1" s="301" t="n"/>
      <c r="AD1" s="301" t="n"/>
      <c r="AE1" s="301" t="n"/>
      <c r="AF1" s="301" t="n"/>
      <c r="AG1" s="301" t="n"/>
      <c r="AH1" s="301" t="n"/>
      <c r="AI1" s="301" t="n"/>
      <c r="AJ1" s="301" t="n"/>
      <c r="AK1" s="302" t="n"/>
    </row>
    <row r="2" ht="49.5" customHeight="1" s="566">
      <c r="A2" s="905" t="inlineStr">
        <is>
          <t>Information Definition</t>
        </is>
      </c>
      <c r="B2" s="887" t="n"/>
      <c r="C2" s="887" t="n"/>
      <c r="D2" s="887" t="n"/>
      <c r="E2" s="897" t="n"/>
      <c r="F2" s="785" t="inlineStr">
        <is>
          <t>Information Origination Details</t>
        </is>
      </c>
      <c r="G2" s="887" t="n"/>
      <c r="H2" s="888" t="n"/>
      <c r="I2" s="905" t="inlineStr">
        <is>
          <t>Information Sharing</t>
        </is>
      </c>
      <c r="J2" s="887" t="n"/>
      <c r="K2" s="887" t="n"/>
      <c r="L2" s="897" t="n"/>
      <c r="M2" s="905" t="inlineStr">
        <is>
          <t>Information Movement</t>
        </is>
      </c>
      <c r="N2" s="897" t="n"/>
      <c r="O2" s="775" t="inlineStr">
        <is>
          <t>Organization Systems and Devices Involved in the Receipt, Creation, Storage, Processing, and/or Sharing of the Information (including network and mobile devices, workstations, servers, etc.)</t>
        </is>
      </c>
      <c r="P2" s="887" t="n"/>
      <c r="Q2" s="887" t="n"/>
      <c r="R2" s="888" t="n"/>
      <c r="S2" s="906" t="inlineStr">
        <is>
          <t>Data Storage Details</t>
        </is>
      </c>
      <c r="T2" s="887" t="n"/>
      <c r="U2" s="887" t="n"/>
      <c r="V2" s="897" t="n"/>
      <c r="W2" s="775" t="inlineStr">
        <is>
          <t>People and Groups (e.g. Business Units, Organizational Roles, etc.) with Express or Inherent Access</t>
        </is>
      </c>
      <c r="X2" s="888" t="n"/>
      <c r="Y2" s="905" t="inlineStr">
        <is>
          <t>Additional Details for Personally Identifiable Information, Personal Health Information, Financial Information</t>
        </is>
      </c>
      <c r="Z2" s="887" t="n"/>
      <c r="AA2" s="887" t="n"/>
      <c r="AB2" s="887" t="n"/>
      <c r="AC2" s="887" t="n"/>
      <c r="AD2" s="887" t="n"/>
      <c r="AE2" s="887" t="n"/>
      <c r="AF2" s="887" t="n"/>
      <c r="AG2" s="887" t="n"/>
      <c r="AH2" s="887" t="n"/>
      <c r="AI2" s="887" t="n"/>
      <c r="AJ2" s="897" t="n"/>
      <c r="AK2" s="274" t="n"/>
    </row>
    <row r="3" ht="39" customHeight="1" s="566">
      <c r="A3" s="789" t="inlineStr">
        <is>
          <t>Information Description</t>
        </is>
      </c>
      <c r="B3" s="773" t="inlineStr">
        <is>
          <t>Relevant Contract Number(s)</t>
        </is>
      </c>
      <c r="C3" s="631" t="inlineStr">
        <is>
          <t>Details Specific to Cybersecurity Maturity Model Certification (CMMC)</t>
        </is>
      </c>
      <c r="D3" s="888" t="n"/>
      <c r="E3" s="303" t="inlineStr">
        <is>
          <t>Export Controls</t>
        </is>
      </c>
      <c r="F3" s="794" t="inlineStr">
        <is>
          <t>Incoming Information</t>
        </is>
      </c>
      <c r="G3" s="888" t="n"/>
      <c r="H3" s="304" t="inlineStr">
        <is>
          <t xml:space="preserve">Internally Created Information </t>
        </is>
      </c>
      <c r="I3" s="796" t="inlineStr">
        <is>
          <t>Information Transmission Type</t>
        </is>
      </c>
      <c r="J3" s="907" t="inlineStr">
        <is>
          <t>Transmission Protocol (Name and Version)</t>
        </is>
      </c>
      <c r="K3" s="771" t="inlineStr">
        <is>
          <t>Government Agencies/Offices with which Info. was/will be Shared</t>
        </is>
      </c>
      <c r="L3" s="773" t="inlineStr">
        <is>
          <t>Subcontractor(s) or Vendor(s) with which Info. was/will be Shared</t>
        </is>
      </c>
      <c r="M3" s="783" t="inlineStr">
        <is>
          <t>Encryption Module (Name and Version) Used by Source to Secure the Transmission (Include Link to FIPS 140 Validation)</t>
        </is>
      </c>
      <c r="N3" s="773" t="inlineStr">
        <is>
          <t>Encryption Module (Name and Version) Used by Destination to Secure the Transmission (Include Link to FIPS 140 Validation)</t>
        </is>
      </c>
      <c r="O3" s="783" t="inlineStr">
        <is>
          <t>Involved in Origination/Receipt</t>
        </is>
      </c>
      <c r="P3" s="771" t="inlineStr">
        <is>
          <t>Involved in Storage (including backup/long term storage equipment, file cabinets, off-site storage, etc.)</t>
        </is>
      </c>
      <c r="Q3" s="771" t="inlineStr">
        <is>
          <t>Involved in Processing the Information</t>
        </is>
      </c>
      <c r="R3" s="773" t="inlineStr">
        <is>
          <t>Involved in Sharing/Transmitting</t>
        </is>
      </c>
      <c r="S3" s="783" t="inlineStr">
        <is>
          <t>Are Copies Made of the Information, such as for use in Production or Manufacturing Equipment?  If so, are all Restrictive Markings Preserved?</t>
        </is>
      </c>
      <c r="T3" s="771" t="inlineStr">
        <is>
          <t>Are Copies of the Information Kept by the Organization after the Contract ends?  If so, are all Restrictive Markings Preserved?</t>
        </is>
      </c>
      <c r="U3" s="771" t="inlineStr">
        <is>
          <t>If the Information is stored on, or transmitted or processed via, a cloud-based service provider, is the information encrypted such that the service provider cannot view/edit the information?</t>
        </is>
      </c>
      <c r="V3" s="773" t="inlineStr">
        <is>
          <t>Are all Electronic Copies of the Information Encrypted Using FIPS 140-2 Validated Module?</t>
        </is>
      </c>
      <c r="W3" s="783" t="inlineStr">
        <is>
          <t>Express Access (i.e., access expressly granted via access controls)</t>
        </is>
      </c>
      <c r="X3" s="773" t="inlineStr">
        <is>
          <t>Inherent Access (i.e., groups with access granted due to information being accessible to everyone, or users/groups with authority to modify access controls)</t>
        </is>
      </c>
      <c r="Y3" s="783" t="inlineStr">
        <is>
          <t>Data Source (from where does the data originate?)</t>
        </is>
      </c>
      <c r="Z3" s="908" t="inlineStr">
        <is>
          <t>Accountable Individual/Role at Source</t>
        </is>
      </c>
      <c r="AA3" s="305" t="n"/>
      <c r="AB3" s="771" t="inlineStr">
        <is>
          <t>Data Subject Type (e.g., consumer, customer, business prospect, employee, etc.)</t>
        </is>
      </c>
      <c r="AC3" s="771" t="inlineStr">
        <is>
          <t>Data Subject Location(s) (Country and State)</t>
        </is>
      </c>
      <c r="AD3" s="771" t="inlineStr">
        <is>
          <t>Personal Data Categories (e.g., race, ethnic origin, political opinions, religious beliefs, union membership, genetic/biometric data, health data, sex life, sexual orientation)</t>
        </is>
      </c>
      <c r="AE3" s="771" t="inlineStr">
        <is>
          <t>Data Element(s) Collected (e.g., height, weight, eye color, fingerprint, race, prescribed medicines, medical history, etc.)</t>
        </is>
      </c>
      <c r="AF3" s="771" t="inlineStr">
        <is>
          <t>Data Controller</t>
        </is>
      </c>
      <c r="AG3" s="771" t="inlineStr">
        <is>
          <t>Data Controller Representative</t>
        </is>
      </c>
      <c r="AH3" s="771" t="inlineStr">
        <is>
          <t>Data Protection Officer</t>
        </is>
      </c>
      <c r="AI3" s="771" t="inlineStr">
        <is>
          <t>Purpose of Processing and/or Transfer (i.e., why are you collecting the data or giving it to someone else)</t>
        </is>
      </c>
      <c r="AJ3" s="773" t="inlineStr">
        <is>
          <t>Time Limits for Erasure of the Information (i.e., how long after you receive the data do you delete it?)</t>
        </is>
      </c>
      <c r="AK3" s="274" t="n"/>
    </row>
    <row r="4" ht="77.45" customHeight="1" s="566">
      <c r="A4" s="891" t="n"/>
      <c r="B4" s="903" t="n"/>
      <c r="C4" s="306" t="inlineStr">
        <is>
          <t>Information Type</t>
        </is>
      </c>
      <c r="D4" s="307" t="inlineStr">
        <is>
          <t>Designating Agency (if CUI)</t>
        </is>
      </c>
      <c r="E4" s="308" t="inlineStr">
        <is>
          <t>Is the Information Subject to Export Control (e.g., ITAR/EAR) Regulations?</t>
        </is>
      </c>
      <c r="F4" s="306" t="inlineStr">
        <is>
          <t>Government Agency/Office from which Information was Received</t>
        </is>
      </c>
      <c r="G4" s="308" t="inlineStr">
        <is>
          <t>Prime Contractor/Customer from which Information was Received</t>
        </is>
      </c>
      <c r="H4" s="309" t="inlineStr">
        <is>
          <t>Organizational/ Business Unit Creating Information</t>
        </is>
      </c>
      <c r="I4" s="891" t="n"/>
      <c r="J4" s="909" t="n"/>
      <c r="K4" s="894" t="n"/>
      <c r="L4" s="903" t="n"/>
      <c r="M4" s="891" t="n"/>
      <c r="N4" s="903" t="n"/>
      <c r="O4" s="891" t="n"/>
      <c r="P4" s="894" t="n"/>
      <c r="Q4" s="894" t="n"/>
      <c r="R4" s="903" t="n"/>
      <c r="S4" s="891" t="n"/>
      <c r="T4" s="894" t="n"/>
      <c r="U4" s="894" t="n"/>
      <c r="V4" s="903" t="n"/>
      <c r="W4" s="891" t="n"/>
      <c r="X4" s="903" t="n"/>
      <c r="Y4" s="891" t="n"/>
      <c r="Z4" s="909" t="n"/>
      <c r="AA4" s="310" t="inlineStr">
        <is>
          <t>Accountable Individual/Role at Destination</t>
        </is>
      </c>
      <c r="AB4" s="894" t="n"/>
      <c r="AC4" s="894" t="n"/>
      <c r="AD4" s="894" t="n"/>
      <c r="AE4" s="894" t="n"/>
      <c r="AF4" s="894" t="n"/>
      <c r="AG4" s="894" t="n"/>
      <c r="AH4" s="894" t="n"/>
      <c r="AI4" s="894" t="n"/>
      <c r="AJ4" s="903" t="n"/>
      <c r="AK4" s="311" t="n"/>
    </row>
    <row r="5" ht="21" customHeight="1" s="566">
      <c r="A5" s="279" t="n"/>
      <c r="B5" s="312" t="n"/>
      <c r="C5" s="279" t="n"/>
      <c r="D5" s="280" t="n"/>
      <c r="E5" s="127" t="n"/>
      <c r="F5" s="313" t="n"/>
      <c r="G5" s="314" t="n"/>
      <c r="H5" s="315" t="n"/>
      <c r="I5" s="316" t="n"/>
      <c r="J5" s="44" t="n"/>
      <c r="K5" s="314" t="n"/>
      <c r="L5" s="315" t="n"/>
      <c r="M5" s="313" t="n"/>
      <c r="N5" s="315" t="n"/>
      <c r="O5" s="313" t="n"/>
      <c r="P5" s="314" t="n"/>
      <c r="Q5" s="314" t="n"/>
      <c r="R5" s="315" t="n"/>
      <c r="S5" s="313" t="n"/>
      <c r="T5" s="314" t="n"/>
      <c r="U5" s="314" t="n"/>
      <c r="V5" s="315" t="n"/>
      <c r="W5" s="313" t="n"/>
      <c r="X5" s="315" t="n"/>
      <c r="Y5" s="313" t="n"/>
      <c r="Z5" s="314" t="n"/>
      <c r="AA5" s="314" t="n"/>
      <c r="AB5" s="314" t="n"/>
      <c r="AC5" s="314" t="n"/>
      <c r="AD5" s="314" t="n"/>
      <c r="AE5" s="314" t="n"/>
      <c r="AF5" s="314" t="n"/>
      <c r="AG5" s="314" t="n"/>
      <c r="AH5" s="314" t="n"/>
      <c r="AI5" s="314" t="n"/>
      <c r="AJ5" s="315" t="n"/>
      <c r="AK5" s="274" t="n"/>
    </row>
    <row r="6" ht="13.5" customHeight="1" s="566">
      <c r="A6" s="281" t="n"/>
      <c r="B6" s="282" t="n"/>
      <c r="C6" s="281" t="n"/>
      <c r="D6" s="283" t="n"/>
      <c r="E6" s="282" t="n"/>
      <c r="F6" s="317" t="n"/>
      <c r="G6" s="318" t="n"/>
      <c r="H6" s="319" t="n"/>
      <c r="I6" s="320" t="n"/>
      <c r="J6" s="47" t="n"/>
      <c r="K6" s="318" t="n"/>
      <c r="L6" s="319" t="n"/>
      <c r="M6" s="317" t="n"/>
      <c r="N6" s="319" t="n"/>
      <c r="O6" s="317" t="n"/>
      <c r="P6" s="318" t="n"/>
      <c r="Q6" s="318" t="n"/>
      <c r="R6" s="319" t="n"/>
      <c r="S6" s="317" t="n"/>
      <c r="T6" s="318" t="n"/>
      <c r="U6" s="318" t="n"/>
      <c r="V6" s="319" t="n"/>
      <c r="W6" s="317" t="n"/>
      <c r="X6" s="319" t="n"/>
      <c r="Y6" s="317" t="n"/>
      <c r="Z6" s="318" t="n"/>
      <c r="AA6" s="318" t="n"/>
      <c r="AB6" s="318" t="n"/>
      <c r="AC6" s="318" t="n"/>
      <c r="AD6" s="318" t="n"/>
      <c r="AE6" s="318" t="n"/>
      <c r="AF6" s="318" t="n"/>
      <c r="AG6" s="318" t="n"/>
      <c r="AH6" s="318" t="n"/>
      <c r="AI6" s="318" t="n"/>
      <c r="AJ6" s="319" t="n"/>
      <c r="AK6" s="274" t="n"/>
    </row>
    <row r="7" ht="13.5" customHeight="1" s="566">
      <c r="A7" s="321" t="n"/>
      <c r="B7" s="282" t="n"/>
      <c r="C7" s="321" t="n"/>
      <c r="D7" s="283" t="n"/>
      <c r="E7" s="312" t="n"/>
      <c r="F7" s="317" t="n"/>
      <c r="G7" s="318" t="n"/>
      <c r="H7" s="319" t="n"/>
      <c r="I7" s="320" t="n"/>
      <c r="J7" s="47" t="n"/>
      <c r="K7" s="318" t="n"/>
      <c r="L7" s="319" t="n"/>
      <c r="M7" s="317" t="n"/>
      <c r="N7" s="319" t="n"/>
      <c r="O7" s="317" t="n"/>
      <c r="P7" s="318" t="n"/>
      <c r="Q7" s="318" t="n"/>
      <c r="R7" s="319" t="n"/>
      <c r="S7" s="317" t="n"/>
      <c r="T7" s="318" t="n"/>
      <c r="U7" s="318" t="n"/>
      <c r="V7" s="319" t="n"/>
      <c r="W7" s="317" t="n"/>
      <c r="X7" s="319" t="n"/>
      <c r="Y7" s="317" t="n"/>
      <c r="Z7" s="318" t="n"/>
      <c r="AA7" s="318" t="n"/>
      <c r="AB7" s="318" t="n"/>
      <c r="AC7" s="318" t="n"/>
      <c r="AD7" s="318" t="n"/>
      <c r="AE7" s="318" t="n"/>
      <c r="AF7" s="318" t="n"/>
      <c r="AG7" s="318" t="n"/>
      <c r="AH7" s="318" t="n"/>
      <c r="AI7" s="318" t="n"/>
      <c r="AJ7" s="319" t="n"/>
      <c r="AK7" s="274" t="n"/>
    </row>
    <row r="8" ht="13.5" customHeight="1" s="566">
      <c r="A8" s="321" t="n"/>
      <c r="B8" s="312" t="n"/>
      <c r="C8" s="321" t="n"/>
      <c r="D8" s="283" t="n"/>
      <c r="E8" s="312" t="n"/>
      <c r="F8" s="317" t="n"/>
      <c r="G8" s="318" t="n"/>
      <c r="H8" s="319" t="n"/>
      <c r="I8" s="320" t="n"/>
      <c r="J8" s="47" t="n"/>
      <c r="K8" s="318" t="n"/>
      <c r="L8" s="319" t="n"/>
      <c r="M8" s="317" t="n"/>
      <c r="N8" s="319" t="n"/>
      <c r="O8" s="317" t="n"/>
      <c r="P8" s="318" t="n"/>
      <c r="Q8" s="318" t="n"/>
      <c r="R8" s="319" t="n"/>
      <c r="S8" s="317" t="n"/>
      <c r="T8" s="318" t="n"/>
      <c r="U8" s="318" t="n"/>
      <c r="V8" s="319" t="n"/>
      <c r="W8" s="317" t="n"/>
      <c r="X8" s="319" t="n"/>
      <c r="Y8" s="317" t="n"/>
      <c r="Z8" s="318" t="n"/>
      <c r="AA8" s="318" t="n"/>
      <c r="AB8" s="318" t="n"/>
      <c r="AC8" s="318" t="n"/>
      <c r="AD8" s="318" t="n"/>
      <c r="AE8" s="318" t="n"/>
      <c r="AF8" s="318" t="n"/>
      <c r="AG8" s="318" t="n"/>
      <c r="AH8" s="318" t="n"/>
      <c r="AI8" s="318" t="n"/>
      <c r="AJ8" s="319" t="n"/>
      <c r="AK8" s="274" t="n"/>
    </row>
    <row r="9" ht="13.5" customHeight="1" s="566">
      <c r="A9" s="281" t="n"/>
      <c r="B9" s="282" t="n"/>
      <c r="C9" s="281" t="n"/>
      <c r="D9" s="283" t="n"/>
      <c r="E9" s="282" t="n"/>
      <c r="F9" s="317" t="n"/>
      <c r="G9" s="318" t="n"/>
      <c r="H9" s="319" t="n"/>
      <c r="I9" s="320" t="n"/>
      <c r="J9" s="47" t="n"/>
      <c r="K9" s="318" t="n"/>
      <c r="L9" s="319" t="n"/>
      <c r="M9" s="317" t="n"/>
      <c r="N9" s="319" t="n"/>
      <c r="O9" s="317" t="n"/>
      <c r="P9" s="318" t="n"/>
      <c r="Q9" s="318" t="n"/>
      <c r="R9" s="319" t="n"/>
      <c r="S9" s="317" t="n"/>
      <c r="T9" s="318" t="n"/>
      <c r="U9" s="318" t="n"/>
      <c r="V9" s="319" t="n"/>
      <c r="W9" s="317" t="n"/>
      <c r="X9" s="319" t="n"/>
      <c r="Y9" s="317" t="n"/>
      <c r="Z9" s="318" t="n"/>
      <c r="AA9" s="318" t="n"/>
      <c r="AB9" s="318" t="n"/>
      <c r="AC9" s="318" t="n"/>
      <c r="AD9" s="318" t="n"/>
      <c r="AE9" s="318" t="n"/>
      <c r="AF9" s="318" t="n"/>
      <c r="AG9" s="318" t="n"/>
      <c r="AH9" s="318" t="n"/>
      <c r="AI9" s="318" t="n"/>
      <c r="AJ9" s="319" t="n"/>
      <c r="AK9" s="274" t="n"/>
    </row>
    <row r="10" ht="15" customHeight="1" s="566">
      <c r="A10" s="317" t="n"/>
      <c r="B10" s="282" t="n"/>
      <c r="C10" s="281" t="n"/>
      <c r="D10" s="283" t="n"/>
      <c r="E10" s="282" t="n"/>
      <c r="F10" s="317" t="n"/>
      <c r="G10" s="318" t="n"/>
      <c r="H10" s="319" t="n"/>
      <c r="I10" s="320" t="n"/>
      <c r="J10" s="47" t="n"/>
      <c r="K10" s="318" t="n"/>
      <c r="L10" s="319" t="n"/>
      <c r="M10" s="317" t="n"/>
      <c r="N10" s="319" t="n"/>
      <c r="O10" s="317" t="n"/>
      <c r="P10" s="318" t="n"/>
      <c r="Q10" s="318" t="n"/>
      <c r="R10" s="319" t="n"/>
      <c r="S10" s="317" t="n"/>
      <c r="T10" s="318" t="n"/>
      <c r="U10" s="318" t="n"/>
      <c r="V10" s="319" t="n"/>
      <c r="W10" s="317" t="n"/>
      <c r="X10" s="319" t="n"/>
      <c r="Y10" s="317" t="n"/>
      <c r="Z10" s="318" t="n"/>
      <c r="AA10" s="318" t="n"/>
      <c r="AB10" s="318" t="n"/>
      <c r="AC10" s="318" t="n"/>
      <c r="AD10" s="318" t="n"/>
      <c r="AE10" s="318" t="n"/>
      <c r="AF10" s="318" t="n"/>
      <c r="AG10" s="318" t="n"/>
      <c r="AH10" s="318" t="n"/>
      <c r="AI10" s="318" t="n"/>
      <c r="AJ10" s="319" t="n"/>
      <c r="AK10" s="274" t="n"/>
    </row>
    <row r="11" ht="13.5" customHeight="1" s="566">
      <c r="A11" s="317" t="n"/>
      <c r="B11" s="282" t="n"/>
      <c r="C11" s="281" t="n"/>
      <c r="D11" s="283" t="n"/>
      <c r="E11" s="282" t="n"/>
      <c r="F11" s="317" t="n"/>
      <c r="G11" s="318" t="n"/>
      <c r="H11" s="319" t="n"/>
      <c r="I11" s="320" t="n"/>
      <c r="J11" s="47" t="n"/>
      <c r="K11" s="318" t="n"/>
      <c r="L11" s="319" t="n"/>
      <c r="M11" s="317" t="n"/>
      <c r="N11" s="319" t="n"/>
      <c r="O11" s="317" t="n"/>
      <c r="P11" s="318" t="n"/>
      <c r="Q11" s="318" t="n"/>
      <c r="R11" s="319" t="n"/>
      <c r="S11" s="317" t="n"/>
      <c r="T11" s="318" t="n"/>
      <c r="U11" s="318" t="n"/>
      <c r="V11" s="319" t="n"/>
      <c r="W11" s="317" t="n"/>
      <c r="X11" s="319" t="n"/>
      <c r="Y11" s="317" t="n"/>
      <c r="Z11" s="318" t="n"/>
      <c r="AA11" s="318" t="n"/>
      <c r="AB11" s="318" t="n"/>
      <c r="AC11" s="318" t="n"/>
      <c r="AD11" s="318" t="n"/>
      <c r="AE11" s="318" t="n"/>
      <c r="AF11" s="318" t="n"/>
      <c r="AG11" s="318" t="n"/>
      <c r="AH11" s="318" t="n"/>
      <c r="AI11" s="318" t="n"/>
      <c r="AJ11" s="319" t="n"/>
      <c r="AK11" s="274" t="n"/>
    </row>
    <row r="12" ht="13.5" customHeight="1" s="566">
      <c r="A12" s="317" t="n"/>
      <c r="B12" s="282" t="n"/>
      <c r="C12" s="281" t="n"/>
      <c r="D12" s="283" t="n"/>
      <c r="E12" s="282" t="n"/>
      <c r="F12" s="317" t="n"/>
      <c r="G12" s="318" t="n"/>
      <c r="H12" s="319" t="n"/>
      <c r="I12" s="320" t="n"/>
      <c r="J12" s="47" t="n"/>
      <c r="K12" s="318" t="n"/>
      <c r="L12" s="319" t="n"/>
      <c r="M12" s="317" t="n"/>
      <c r="N12" s="319" t="n"/>
      <c r="O12" s="317" t="n"/>
      <c r="P12" s="318" t="n"/>
      <c r="Q12" s="318" t="n"/>
      <c r="R12" s="319" t="n"/>
      <c r="S12" s="317" t="n"/>
      <c r="T12" s="318" t="n"/>
      <c r="U12" s="318" t="n"/>
      <c r="V12" s="319" t="n"/>
      <c r="W12" s="317" t="n"/>
      <c r="X12" s="319" t="n"/>
      <c r="Y12" s="317" t="n"/>
      <c r="Z12" s="318" t="n"/>
      <c r="AA12" s="318" t="n"/>
      <c r="AB12" s="318" t="n"/>
      <c r="AC12" s="318" t="n"/>
      <c r="AD12" s="318" t="n"/>
      <c r="AE12" s="318" t="n"/>
      <c r="AF12" s="318" t="n"/>
      <c r="AG12" s="318" t="n"/>
      <c r="AH12" s="318" t="n"/>
      <c r="AI12" s="318" t="n"/>
      <c r="AJ12" s="319" t="n"/>
      <c r="AK12" s="274" t="n"/>
    </row>
    <row r="13" ht="13.5" customHeight="1" s="566">
      <c r="A13" s="317" t="n"/>
      <c r="B13" s="282" t="n"/>
      <c r="C13" s="281" t="n"/>
      <c r="D13" s="283" t="n"/>
      <c r="E13" s="282" t="n"/>
      <c r="F13" s="317" t="n"/>
      <c r="G13" s="318" t="n"/>
      <c r="H13" s="319" t="n"/>
      <c r="I13" s="320" t="n"/>
      <c r="J13" s="47" t="n"/>
      <c r="K13" s="318" t="n"/>
      <c r="L13" s="319" t="n"/>
      <c r="M13" s="317" t="n"/>
      <c r="N13" s="319" t="n"/>
      <c r="O13" s="317" t="n"/>
      <c r="P13" s="318" t="n"/>
      <c r="Q13" s="318" t="n"/>
      <c r="R13" s="319" t="n"/>
      <c r="S13" s="317" t="n"/>
      <c r="T13" s="318" t="n"/>
      <c r="U13" s="318" t="n"/>
      <c r="V13" s="319" t="n"/>
      <c r="W13" s="317" t="n"/>
      <c r="X13" s="319" t="n"/>
      <c r="Y13" s="317" t="n"/>
      <c r="Z13" s="318" t="n"/>
      <c r="AA13" s="318" t="n"/>
      <c r="AB13" s="318" t="n"/>
      <c r="AC13" s="318" t="n"/>
      <c r="AD13" s="318" t="n"/>
      <c r="AE13" s="318" t="n"/>
      <c r="AF13" s="318" t="n"/>
      <c r="AG13" s="318" t="n"/>
      <c r="AH13" s="318" t="n"/>
      <c r="AI13" s="318" t="n"/>
      <c r="AJ13" s="319" t="n"/>
      <c r="AK13" s="274" t="n"/>
    </row>
    <row r="14" ht="13.5" customHeight="1" s="566">
      <c r="A14" s="317" t="n"/>
      <c r="B14" s="282" t="n"/>
      <c r="C14" s="281" t="n"/>
      <c r="D14" s="283" t="n"/>
      <c r="E14" s="282" t="n"/>
      <c r="F14" s="317" t="n"/>
      <c r="G14" s="318" t="n"/>
      <c r="H14" s="319" t="n"/>
      <c r="I14" s="320" t="n"/>
      <c r="J14" s="47" t="n"/>
      <c r="K14" s="318" t="n"/>
      <c r="L14" s="319" t="n"/>
      <c r="M14" s="317" t="n"/>
      <c r="N14" s="319" t="n"/>
      <c r="O14" s="317" t="n"/>
      <c r="P14" s="318" t="n"/>
      <c r="Q14" s="318" t="n"/>
      <c r="R14" s="319" t="n"/>
      <c r="S14" s="317" t="n"/>
      <c r="T14" s="318" t="n"/>
      <c r="U14" s="318" t="n"/>
      <c r="V14" s="319" t="n"/>
      <c r="W14" s="317" t="n"/>
      <c r="X14" s="319" t="n"/>
      <c r="Y14" s="317" t="n"/>
      <c r="Z14" s="318" t="n"/>
      <c r="AA14" s="318" t="n"/>
      <c r="AB14" s="318" t="n"/>
      <c r="AC14" s="318" t="n"/>
      <c r="AD14" s="318" t="n"/>
      <c r="AE14" s="318" t="n"/>
      <c r="AF14" s="318" t="n"/>
      <c r="AG14" s="318" t="n"/>
      <c r="AH14" s="318" t="n"/>
      <c r="AI14" s="318" t="n"/>
      <c r="AJ14" s="319" t="n"/>
      <c r="AK14" s="274" t="n"/>
    </row>
    <row r="15" ht="13.5" customHeight="1" s="566">
      <c r="A15" s="317" t="n"/>
      <c r="B15" s="282" t="n"/>
      <c r="C15" s="281" t="n"/>
      <c r="D15" s="283" t="n"/>
      <c r="E15" s="282" t="n"/>
      <c r="F15" s="317" t="n"/>
      <c r="G15" s="318" t="n"/>
      <c r="H15" s="319" t="n"/>
      <c r="I15" s="320" t="n"/>
      <c r="J15" s="47" t="n"/>
      <c r="K15" s="318" t="n"/>
      <c r="L15" s="319" t="n"/>
      <c r="M15" s="317" t="n"/>
      <c r="N15" s="319" t="n"/>
      <c r="O15" s="317" t="n"/>
      <c r="P15" s="318" t="n"/>
      <c r="Q15" s="318" t="n"/>
      <c r="R15" s="319" t="n"/>
      <c r="S15" s="317" t="n"/>
      <c r="T15" s="318" t="n"/>
      <c r="U15" s="318" t="n"/>
      <c r="V15" s="319" t="n"/>
      <c r="W15" s="317" t="n"/>
      <c r="X15" s="319" t="n"/>
      <c r="Y15" s="317" t="n"/>
      <c r="Z15" s="318" t="n"/>
      <c r="AA15" s="318" t="n"/>
      <c r="AB15" s="318" t="n"/>
      <c r="AC15" s="318" t="n"/>
      <c r="AD15" s="318" t="n"/>
      <c r="AE15" s="318" t="n"/>
      <c r="AF15" s="318" t="n"/>
      <c r="AG15" s="318" t="n"/>
      <c r="AH15" s="318" t="n"/>
      <c r="AI15" s="318" t="n"/>
      <c r="AJ15" s="319" t="n"/>
      <c r="AK15" s="274" t="n"/>
    </row>
    <row r="16" ht="13.5" customHeight="1" s="566">
      <c r="A16" s="317" t="n"/>
      <c r="B16" s="282" t="n"/>
      <c r="C16" s="281" t="n"/>
      <c r="D16" s="283" t="n"/>
      <c r="E16" s="282" t="n"/>
      <c r="F16" s="317" t="n"/>
      <c r="G16" s="318" t="n"/>
      <c r="H16" s="319" t="n"/>
      <c r="I16" s="320" t="n"/>
      <c r="J16" s="47" t="n"/>
      <c r="K16" s="318" t="n"/>
      <c r="L16" s="319" t="n"/>
      <c r="M16" s="317" t="n"/>
      <c r="N16" s="319" t="n"/>
      <c r="O16" s="317" t="n"/>
      <c r="P16" s="318" t="n"/>
      <c r="Q16" s="318" t="n"/>
      <c r="R16" s="319" t="n"/>
      <c r="S16" s="317" t="n"/>
      <c r="T16" s="318" t="n"/>
      <c r="U16" s="318" t="n"/>
      <c r="V16" s="319" t="n"/>
      <c r="W16" s="317" t="n"/>
      <c r="X16" s="319" t="n"/>
      <c r="Y16" s="317" t="n"/>
      <c r="Z16" s="318" t="n"/>
      <c r="AA16" s="318" t="n"/>
      <c r="AB16" s="318" t="n"/>
      <c r="AC16" s="318" t="n"/>
      <c r="AD16" s="318" t="n"/>
      <c r="AE16" s="318" t="n"/>
      <c r="AF16" s="318" t="n"/>
      <c r="AG16" s="318" t="n"/>
      <c r="AH16" s="318" t="n"/>
      <c r="AI16" s="318" t="n"/>
      <c r="AJ16" s="319" t="n"/>
      <c r="AK16" s="274" t="n"/>
    </row>
    <row r="17" ht="13.5" customHeight="1" s="566">
      <c r="A17" s="317" t="n"/>
      <c r="B17" s="282" t="n"/>
      <c r="C17" s="281" t="n"/>
      <c r="D17" s="283" t="n"/>
      <c r="E17" s="282" t="n"/>
      <c r="F17" s="317" t="n"/>
      <c r="G17" s="318" t="n"/>
      <c r="H17" s="319" t="n"/>
      <c r="I17" s="320" t="n"/>
      <c r="J17" s="47" t="n"/>
      <c r="K17" s="318" t="n"/>
      <c r="L17" s="319" t="n"/>
      <c r="M17" s="317" t="n"/>
      <c r="N17" s="319" t="n"/>
      <c r="O17" s="317" t="n"/>
      <c r="P17" s="318" t="n"/>
      <c r="Q17" s="318" t="n"/>
      <c r="R17" s="319" t="n"/>
      <c r="S17" s="317" t="n"/>
      <c r="T17" s="318" t="n"/>
      <c r="U17" s="318" t="n"/>
      <c r="V17" s="319" t="n"/>
      <c r="W17" s="317" t="n"/>
      <c r="X17" s="319" t="n"/>
      <c r="Y17" s="317" t="n"/>
      <c r="Z17" s="318" t="n"/>
      <c r="AA17" s="318" t="n"/>
      <c r="AB17" s="318" t="n"/>
      <c r="AC17" s="318" t="n"/>
      <c r="AD17" s="318" t="n"/>
      <c r="AE17" s="318" t="n"/>
      <c r="AF17" s="318" t="n"/>
      <c r="AG17" s="318" t="n"/>
      <c r="AH17" s="318" t="n"/>
      <c r="AI17" s="318" t="n"/>
      <c r="AJ17" s="319" t="n"/>
      <c r="AK17" s="274" t="n"/>
    </row>
    <row r="18" ht="13.5" customHeight="1" s="566">
      <c r="A18" s="317" t="n"/>
      <c r="B18" s="282" t="n"/>
      <c r="C18" s="281" t="n"/>
      <c r="D18" s="283" t="n"/>
      <c r="E18" s="282" t="n"/>
      <c r="F18" s="317" t="n"/>
      <c r="G18" s="318" t="n"/>
      <c r="H18" s="319" t="n"/>
      <c r="I18" s="320" t="n"/>
      <c r="J18" s="47" t="n"/>
      <c r="K18" s="318" t="n"/>
      <c r="L18" s="319" t="n"/>
      <c r="M18" s="317" t="n"/>
      <c r="N18" s="319" t="n"/>
      <c r="O18" s="317" t="n"/>
      <c r="P18" s="318" t="n"/>
      <c r="Q18" s="318" t="n"/>
      <c r="R18" s="319" t="n"/>
      <c r="S18" s="317" t="n"/>
      <c r="T18" s="318" t="n"/>
      <c r="U18" s="318" t="n"/>
      <c r="V18" s="319" t="n"/>
      <c r="W18" s="317" t="n"/>
      <c r="X18" s="319" t="n"/>
      <c r="Y18" s="317" t="n"/>
      <c r="Z18" s="318" t="n"/>
      <c r="AA18" s="318" t="n"/>
      <c r="AB18" s="318" t="n"/>
      <c r="AC18" s="318" t="n"/>
      <c r="AD18" s="318" t="n"/>
      <c r="AE18" s="318" t="n"/>
      <c r="AF18" s="318" t="n"/>
      <c r="AG18" s="318" t="n"/>
      <c r="AH18" s="318" t="n"/>
      <c r="AI18" s="318" t="n"/>
      <c r="AJ18" s="319" t="n"/>
      <c r="AK18" s="274" t="n"/>
    </row>
    <row r="19" ht="13.5" customHeight="1" s="566">
      <c r="A19" s="317" t="n"/>
      <c r="B19" s="282" t="n"/>
      <c r="C19" s="281" t="n"/>
      <c r="D19" s="283" t="n"/>
      <c r="E19" s="282" t="n"/>
      <c r="F19" s="317" t="n"/>
      <c r="G19" s="318" t="n"/>
      <c r="H19" s="319" t="n"/>
      <c r="I19" s="320" t="n"/>
      <c r="J19" s="47" t="n"/>
      <c r="K19" s="318" t="n"/>
      <c r="L19" s="319" t="n"/>
      <c r="M19" s="317" t="n"/>
      <c r="N19" s="319" t="n"/>
      <c r="O19" s="317" t="n"/>
      <c r="P19" s="318" t="n"/>
      <c r="Q19" s="318" t="n"/>
      <c r="R19" s="319" t="n"/>
      <c r="S19" s="317" t="n"/>
      <c r="T19" s="318" t="n"/>
      <c r="U19" s="318" t="n"/>
      <c r="V19" s="319" t="n"/>
      <c r="W19" s="317" t="n"/>
      <c r="X19" s="319" t="n"/>
      <c r="Y19" s="317" t="n"/>
      <c r="Z19" s="318" t="n"/>
      <c r="AA19" s="318" t="n"/>
      <c r="AB19" s="318" t="n"/>
      <c r="AC19" s="318" t="n"/>
      <c r="AD19" s="318" t="n"/>
      <c r="AE19" s="318" t="n"/>
      <c r="AF19" s="318" t="n"/>
      <c r="AG19" s="318" t="n"/>
      <c r="AH19" s="318" t="n"/>
      <c r="AI19" s="318" t="n"/>
      <c r="AJ19" s="319" t="n"/>
      <c r="AK19" s="274" t="n"/>
    </row>
    <row r="20" ht="13.5" customHeight="1" s="566">
      <c r="A20" s="317" t="n"/>
      <c r="B20" s="282" t="n"/>
      <c r="C20" s="281" t="n"/>
      <c r="D20" s="283" t="n"/>
      <c r="E20" s="282" t="n"/>
      <c r="F20" s="317" t="n"/>
      <c r="G20" s="318" t="n"/>
      <c r="H20" s="319" t="n"/>
      <c r="I20" s="320" t="n"/>
      <c r="J20" s="47" t="n"/>
      <c r="K20" s="318" t="n"/>
      <c r="L20" s="319" t="n"/>
      <c r="M20" s="317" t="n"/>
      <c r="N20" s="319" t="n"/>
      <c r="O20" s="317" t="n"/>
      <c r="P20" s="318" t="n"/>
      <c r="Q20" s="318" t="n"/>
      <c r="R20" s="319" t="n"/>
      <c r="S20" s="317" t="n"/>
      <c r="T20" s="318" t="n"/>
      <c r="U20" s="318" t="n"/>
      <c r="V20" s="319" t="n"/>
      <c r="W20" s="317" t="n"/>
      <c r="X20" s="319" t="n"/>
      <c r="Y20" s="317" t="n"/>
      <c r="Z20" s="318" t="n"/>
      <c r="AA20" s="318" t="n"/>
      <c r="AB20" s="318" t="n"/>
      <c r="AC20" s="318" t="n"/>
      <c r="AD20" s="318" t="n"/>
      <c r="AE20" s="318" t="n"/>
      <c r="AF20" s="318" t="n"/>
      <c r="AG20" s="318" t="n"/>
      <c r="AH20" s="318" t="n"/>
      <c r="AI20" s="318" t="n"/>
      <c r="AJ20" s="319" t="n"/>
      <c r="AK20" s="274" t="n"/>
    </row>
    <row r="21" ht="13.5" customHeight="1" s="566">
      <c r="A21" s="317" t="n"/>
      <c r="B21" s="282" t="n"/>
      <c r="C21" s="281" t="n"/>
      <c r="D21" s="283" t="n"/>
      <c r="E21" s="282" t="n"/>
      <c r="F21" s="317" t="n"/>
      <c r="G21" s="318" t="n"/>
      <c r="H21" s="319" t="n"/>
      <c r="I21" s="320" t="n"/>
      <c r="J21" s="47" t="n"/>
      <c r="K21" s="318" t="n"/>
      <c r="L21" s="319" t="n"/>
      <c r="M21" s="317" t="n"/>
      <c r="N21" s="319" t="n"/>
      <c r="O21" s="317" t="n"/>
      <c r="P21" s="318" t="n"/>
      <c r="Q21" s="318" t="n"/>
      <c r="R21" s="319" t="n"/>
      <c r="S21" s="317" t="n"/>
      <c r="T21" s="318" t="n"/>
      <c r="U21" s="318" t="n"/>
      <c r="V21" s="319" t="n"/>
      <c r="W21" s="317" t="n"/>
      <c r="X21" s="319" t="n"/>
      <c r="Y21" s="317" t="n"/>
      <c r="Z21" s="318" t="n"/>
      <c r="AA21" s="318" t="n"/>
      <c r="AB21" s="318" t="n"/>
      <c r="AC21" s="318" t="n"/>
      <c r="AD21" s="318" t="n"/>
      <c r="AE21" s="318" t="n"/>
      <c r="AF21" s="318" t="n"/>
      <c r="AG21" s="318" t="n"/>
      <c r="AH21" s="318" t="n"/>
      <c r="AI21" s="318" t="n"/>
      <c r="AJ21" s="319" t="n"/>
      <c r="AK21" s="274" t="n"/>
    </row>
    <row r="22" ht="13.5" customHeight="1" s="566">
      <c r="A22" s="317" t="n"/>
      <c r="B22" s="282" t="n"/>
      <c r="C22" s="281" t="n"/>
      <c r="D22" s="283" t="n"/>
      <c r="E22" s="282" t="n"/>
      <c r="F22" s="317" t="n"/>
      <c r="G22" s="318" t="n"/>
      <c r="H22" s="319" t="n"/>
      <c r="I22" s="320" t="n"/>
      <c r="J22" s="47" t="n"/>
      <c r="K22" s="318" t="n"/>
      <c r="L22" s="319" t="n"/>
      <c r="M22" s="317" t="n"/>
      <c r="N22" s="319" t="n"/>
      <c r="O22" s="317" t="n"/>
      <c r="P22" s="318" t="n"/>
      <c r="Q22" s="318" t="n"/>
      <c r="R22" s="319" t="n"/>
      <c r="S22" s="317" t="n"/>
      <c r="T22" s="318" t="n"/>
      <c r="U22" s="318" t="n"/>
      <c r="V22" s="319" t="n"/>
      <c r="W22" s="317" t="n"/>
      <c r="X22" s="319" t="n"/>
      <c r="Y22" s="317" t="n"/>
      <c r="Z22" s="318" t="n"/>
      <c r="AA22" s="318" t="n"/>
      <c r="AB22" s="318" t="n"/>
      <c r="AC22" s="318" t="n"/>
      <c r="AD22" s="318" t="n"/>
      <c r="AE22" s="318" t="n"/>
      <c r="AF22" s="318" t="n"/>
      <c r="AG22" s="318" t="n"/>
      <c r="AH22" s="318" t="n"/>
      <c r="AI22" s="318" t="n"/>
      <c r="AJ22" s="319" t="n"/>
      <c r="AK22" s="274" t="n"/>
    </row>
    <row r="23" ht="13.5" customHeight="1" s="566">
      <c r="A23" s="317" t="n"/>
      <c r="B23" s="282" t="n"/>
      <c r="C23" s="281" t="n"/>
      <c r="D23" s="283" t="n"/>
      <c r="E23" s="282" t="n"/>
      <c r="F23" s="317" t="n"/>
      <c r="G23" s="318" t="n"/>
      <c r="H23" s="319" t="n"/>
      <c r="I23" s="320" t="n"/>
      <c r="J23" s="47" t="n"/>
      <c r="K23" s="318" t="n"/>
      <c r="L23" s="319" t="n"/>
      <c r="M23" s="317" t="n"/>
      <c r="N23" s="319" t="n"/>
      <c r="O23" s="317" t="n"/>
      <c r="P23" s="318" t="n"/>
      <c r="Q23" s="318" t="n"/>
      <c r="R23" s="319" t="n"/>
      <c r="S23" s="317" t="n"/>
      <c r="T23" s="318" t="n"/>
      <c r="U23" s="318" t="n"/>
      <c r="V23" s="319" t="n"/>
      <c r="W23" s="317" t="n"/>
      <c r="X23" s="319" t="n"/>
      <c r="Y23" s="317" t="n"/>
      <c r="Z23" s="318" t="n"/>
      <c r="AA23" s="318" t="n"/>
      <c r="AB23" s="318" t="n"/>
      <c r="AC23" s="318" t="n"/>
      <c r="AD23" s="318" t="n"/>
      <c r="AE23" s="318" t="n"/>
      <c r="AF23" s="318" t="n"/>
      <c r="AG23" s="318" t="n"/>
      <c r="AH23" s="318" t="n"/>
      <c r="AI23" s="318" t="n"/>
      <c r="AJ23" s="319" t="n"/>
      <c r="AK23" s="274" t="n"/>
    </row>
    <row r="24" ht="13.5" customHeight="1" s="566">
      <c r="A24" s="317" t="n"/>
      <c r="B24" s="282" t="n"/>
      <c r="C24" s="281" t="n"/>
      <c r="D24" s="283" t="n"/>
      <c r="E24" s="282" t="n"/>
      <c r="F24" s="317" t="n"/>
      <c r="G24" s="318" t="n"/>
      <c r="H24" s="319" t="n"/>
      <c r="I24" s="320" t="n"/>
      <c r="J24" s="47" t="n"/>
      <c r="K24" s="318" t="n"/>
      <c r="L24" s="319" t="n"/>
      <c r="M24" s="317" t="n"/>
      <c r="N24" s="319" t="n"/>
      <c r="O24" s="317" t="n"/>
      <c r="P24" s="318" t="n"/>
      <c r="Q24" s="318" t="n"/>
      <c r="R24" s="319" t="n"/>
      <c r="S24" s="317" t="n"/>
      <c r="T24" s="318" t="n"/>
      <c r="U24" s="318" t="n"/>
      <c r="V24" s="319" t="n"/>
      <c r="W24" s="317" t="n"/>
      <c r="X24" s="319" t="n"/>
      <c r="Y24" s="317" t="n"/>
      <c r="Z24" s="318" t="n"/>
      <c r="AA24" s="318" t="n"/>
      <c r="AB24" s="318" t="n"/>
      <c r="AC24" s="318" t="n"/>
      <c r="AD24" s="318" t="n"/>
      <c r="AE24" s="318" t="n"/>
      <c r="AF24" s="318" t="n"/>
      <c r="AG24" s="318" t="n"/>
      <c r="AH24" s="318" t="n"/>
      <c r="AI24" s="318" t="n"/>
      <c r="AJ24" s="319" t="n"/>
      <c r="AK24" s="274" t="n"/>
    </row>
    <row r="25" ht="13.5" customHeight="1" s="566">
      <c r="A25" s="317" t="n"/>
      <c r="B25" s="282" t="n"/>
      <c r="C25" s="281" t="n"/>
      <c r="D25" s="283" t="n"/>
      <c r="E25" s="282" t="n"/>
      <c r="F25" s="317" t="n"/>
      <c r="G25" s="318" t="n"/>
      <c r="H25" s="319" t="n"/>
      <c r="I25" s="320" t="n"/>
      <c r="J25" s="47" t="n"/>
      <c r="K25" s="318" t="n"/>
      <c r="L25" s="319" t="n"/>
      <c r="M25" s="317" t="n"/>
      <c r="N25" s="319" t="n"/>
      <c r="O25" s="317" t="n"/>
      <c r="P25" s="318" t="n"/>
      <c r="Q25" s="318" t="n"/>
      <c r="R25" s="319" t="n"/>
      <c r="S25" s="317" t="n"/>
      <c r="T25" s="318" t="n"/>
      <c r="U25" s="318" t="n"/>
      <c r="V25" s="319" t="n"/>
      <c r="W25" s="317" t="n"/>
      <c r="X25" s="319" t="n"/>
      <c r="Y25" s="317" t="n"/>
      <c r="Z25" s="318" t="n"/>
      <c r="AA25" s="318" t="n"/>
      <c r="AB25" s="318" t="n"/>
      <c r="AC25" s="318" t="n"/>
      <c r="AD25" s="318" t="n"/>
      <c r="AE25" s="318" t="n"/>
      <c r="AF25" s="318" t="n"/>
      <c r="AG25" s="318" t="n"/>
      <c r="AH25" s="318" t="n"/>
      <c r="AI25" s="318" t="n"/>
      <c r="AJ25" s="319" t="n"/>
      <c r="AK25" s="274" t="n"/>
    </row>
    <row r="26" ht="13.5" customHeight="1" s="566">
      <c r="A26" s="317" t="n"/>
      <c r="B26" s="282" t="n"/>
      <c r="C26" s="281" t="n"/>
      <c r="D26" s="283" t="n"/>
      <c r="E26" s="282" t="n"/>
      <c r="F26" s="317" t="n"/>
      <c r="G26" s="318" t="n"/>
      <c r="H26" s="319" t="n"/>
      <c r="I26" s="320" t="n"/>
      <c r="J26" s="47" t="n"/>
      <c r="K26" s="318" t="n"/>
      <c r="L26" s="319" t="n"/>
      <c r="M26" s="317" t="n"/>
      <c r="N26" s="319" t="n"/>
      <c r="O26" s="317" t="n"/>
      <c r="P26" s="318" t="n"/>
      <c r="Q26" s="318" t="n"/>
      <c r="R26" s="319" t="n"/>
      <c r="S26" s="317" t="n"/>
      <c r="T26" s="318" t="n"/>
      <c r="U26" s="318" t="n"/>
      <c r="V26" s="319" t="n"/>
      <c r="W26" s="317" t="n"/>
      <c r="X26" s="319" t="n"/>
      <c r="Y26" s="317" t="n"/>
      <c r="Z26" s="318" t="n"/>
      <c r="AA26" s="318" t="n"/>
      <c r="AB26" s="318" t="n"/>
      <c r="AC26" s="318" t="n"/>
      <c r="AD26" s="318" t="n"/>
      <c r="AE26" s="318" t="n"/>
      <c r="AF26" s="318" t="n"/>
      <c r="AG26" s="318" t="n"/>
      <c r="AH26" s="318" t="n"/>
      <c r="AI26" s="318" t="n"/>
      <c r="AJ26" s="319" t="n"/>
      <c r="AK26" s="274" t="n"/>
    </row>
    <row r="27" ht="13.5" customHeight="1" s="566">
      <c r="A27" s="317" t="n"/>
      <c r="B27" s="282" t="n"/>
      <c r="C27" s="281" t="n"/>
      <c r="D27" s="283" t="n"/>
      <c r="E27" s="282" t="n"/>
      <c r="F27" s="317" t="n"/>
      <c r="G27" s="318" t="n"/>
      <c r="H27" s="319" t="n"/>
      <c r="I27" s="320" t="n"/>
      <c r="J27" s="47" t="n"/>
      <c r="K27" s="318" t="n"/>
      <c r="L27" s="319" t="n"/>
      <c r="M27" s="317" t="n"/>
      <c r="N27" s="319" t="n"/>
      <c r="O27" s="317" t="n"/>
      <c r="P27" s="318" t="n"/>
      <c r="Q27" s="318" t="n"/>
      <c r="R27" s="319" t="n"/>
      <c r="S27" s="317" t="n"/>
      <c r="T27" s="318" t="n"/>
      <c r="U27" s="318" t="n"/>
      <c r="V27" s="319" t="n"/>
      <c r="W27" s="317" t="n"/>
      <c r="X27" s="319" t="n"/>
      <c r="Y27" s="317" t="n"/>
      <c r="Z27" s="318" t="n"/>
      <c r="AA27" s="318" t="n"/>
      <c r="AB27" s="318" t="n"/>
      <c r="AC27" s="318" t="n"/>
      <c r="AD27" s="318" t="n"/>
      <c r="AE27" s="318" t="n"/>
      <c r="AF27" s="318" t="n"/>
      <c r="AG27" s="318" t="n"/>
      <c r="AH27" s="318" t="n"/>
      <c r="AI27" s="318" t="n"/>
      <c r="AJ27" s="319" t="n"/>
      <c r="AK27" s="274" t="n"/>
    </row>
    <row r="28" ht="13.5" customHeight="1" s="566">
      <c r="A28" s="317" t="n"/>
      <c r="B28" s="282" t="n"/>
      <c r="C28" s="281" t="n"/>
      <c r="D28" s="283" t="n"/>
      <c r="E28" s="282" t="n"/>
      <c r="F28" s="317" t="n"/>
      <c r="G28" s="318" t="n"/>
      <c r="H28" s="319" t="n"/>
      <c r="I28" s="320" t="n"/>
      <c r="J28" s="47" t="n"/>
      <c r="K28" s="318" t="n"/>
      <c r="L28" s="319" t="n"/>
      <c r="M28" s="317" t="n"/>
      <c r="N28" s="319" t="n"/>
      <c r="O28" s="317" t="n"/>
      <c r="P28" s="318" t="n"/>
      <c r="Q28" s="318" t="n"/>
      <c r="R28" s="319" t="n"/>
      <c r="S28" s="317" t="n"/>
      <c r="T28" s="318" t="n"/>
      <c r="U28" s="318" t="n"/>
      <c r="V28" s="319" t="n"/>
      <c r="W28" s="317" t="n"/>
      <c r="X28" s="319" t="n"/>
      <c r="Y28" s="317" t="n"/>
      <c r="Z28" s="318" t="n"/>
      <c r="AA28" s="318" t="n"/>
      <c r="AB28" s="318" t="n"/>
      <c r="AC28" s="318" t="n"/>
      <c r="AD28" s="318" t="n"/>
      <c r="AE28" s="318" t="n"/>
      <c r="AF28" s="318" t="n"/>
      <c r="AG28" s="318" t="n"/>
      <c r="AH28" s="318" t="n"/>
      <c r="AI28" s="318" t="n"/>
      <c r="AJ28" s="319" t="n"/>
      <c r="AK28" s="274" t="n"/>
    </row>
    <row r="29" ht="13.5" customHeight="1" s="566">
      <c r="A29" s="317" t="n"/>
      <c r="B29" s="282" t="n"/>
      <c r="C29" s="281" t="n"/>
      <c r="D29" s="283" t="n"/>
      <c r="E29" s="282" t="n"/>
      <c r="F29" s="317" t="n"/>
      <c r="G29" s="318" t="n"/>
      <c r="H29" s="319" t="n"/>
      <c r="I29" s="320" t="n"/>
      <c r="J29" s="47" t="n"/>
      <c r="K29" s="318" t="n"/>
      <c r="L29" s="319" t="n"/>
      <c r="M29" s="317" t="n"/>
      <c r="N29" s="319" t="n"/>
      <c r="O29" s="317" t="n"/>
      <c r="P29" s="318" t="n"/>
      <c r="Q29" s="318" t="n"/>
      <c r="R29" s="319" t="n"/>
      <c r="S29" s="317" t="n"/>
      <c r="T29" s="318" t="n"/>
      <c r="U29" s="318" t="n"/>
      <c r="V29" s="319" t="n"/>
      <c r="W29" s="317" t="n"/>
      <c r="X29" s="319" t="n"/>
      <c r="Y29" s="317" t="n"/>
      <c r="Z29" s="318" t="n"/>
      <c r="AA29" s="318" t="n"/>
      <c r="AB29" s="318" t="n"/>
      <c r="AC29" s="318" t="n"/>
      <c r="AD29" s="318" t="n"/>
      <c r="AE29" s="318" t="n"/>
      <c r="AF29" s="318" t="n"/>
      <c r="AG29" s="318" t="n"/>
      <c r="AH29" s="318" t="n"/>
      <c r="AI29" s="318" t="n"/>
      <c r="AJ29" s="319" t="n"/>
      <c r="AK29" s="274" t="n"/>
    </row>
    <row r="30" ht="13.5" customHeight="1" s="566">
      <c r="A30" s="317" t="n"/>
      <c r="B30" s="282" t="n"/>
      <c r="C30" s="281" t="n"/>
      <c r="D30" s="283" t="n"/>
      <c r="E30" s="282" t="n"/>
      <c r="F30" s="317" t="n"/>
      <c r="G30" s="318" t="n"/>
      <c r="H30" s="319" t="n"/>
      <c r="I30" s="320" t="n"/>
      <c r="J30" s="47" t="n"/>
      <c r="K30" s="318" t="n"/>
      <c r="L30" s="319" t="n"/>
      <c r="M30" s="317" t="n"/>
      <c r="N30" s="319" t="n"/>
      <c r="O30" s="317" t="n"/>
      <c r="P30" s="318" t="n"/>
      <c r="Q30" s="318" t="n"/>
      <c r="R30" s="319" t="n"/>
      <c r="S30" s="317" t="n"/>
      <c r="T30" s="318" t="n"/>
      <c r="U30" s="318" t="n"/>
      <c r="V30" s="319" t="n"/>
      <c r="W30" s="317" t="n"/>
      <c r="X30" s="319" t="n"/>
      <c r="Y30" s="317" t="n"/>
      <c r="Z30" s="318" t="n"/>
      <c r="AA30" s="318" t="n"/>
      <c r="AB30" s="318" t="n"/>
      <c r="AC30" s="318" t="n"/>
      <c r="AD30" s="318" t="n"/>
      <c r="AE30" s="318" t="n"/>
      <c r="AF30" s="318" t="n"/>
      <c r="AG30" s="318" t="n"/>
      <c r="AH30" s="318" t="n"/>
      <c r="AI30" s="318" t="n"/>
      <c r="AJ30" s="319" t="n"/>
      <c r="AK30" s="274" t="n"/>
    </row>
    <row r="31" ht="13.5" customHeight="1" s="566">
      <c r="A31" s="317" t="n"/>
      <c r="B31" s="282" t="n"/>
      <c r="C31" s="281" t="n"/>
      <c r="D31" s="283" t="n"/>
      <c r="E31" s="282" t="n"/>
      <c r="F31" s="317" t="n"/>
      <c r="G31" s="318" t="n"/>
      <c r="H31" s="319" t="n"/>
      <c r="I31" s="320" t="n"/>
      <c r="J31" s="47" t="n"/>
      <c r="K31" s="318" t="n"/>
      <c r="L31" s="319" t="n"/>
      <c r="M31" s="317" t="n"/>
      <c r="N31" s="319" t="n"/>
      <c r="O31" s="317" t="n"/>
      <c r="P31" s="318" t="n"/>
      <c r="Q31" s="318" t="n"/>
      <c r="R31" s="319" t="n"/>
      <c r="S31" s="317" t="n"/>
      <c r="T31" s="318" t="n"/>
      <c r="U31" s="318" t="n"/>
      <c r="V31" s="319" t="n"/>
      <c r="W31" s="317" t="n"/>
      <c r="X31" s="319" t="n"/>
      <c r="Y31" s="317" t="n"/>
      <c r="Z31" s="318" t="n"/>
      <c r="AA31" s="318" t="n"/>
      <c r="AB31" s="318" t="n"/>
      <c r="AC31" s="318" t="n"/>
      <c r="AD31" s="318" t="n"/>
      <c r="AE31" s="318" t="n"/>
      <c r="AF31" s="318" t="n"/>
      <c r="AG31" s="318" t="n"/>
      <c r="AH31" s="318" t="n"/>
      <c r="AI31" s="318" t="n"/>
      <c r="AJ31" s="319" t="n"/>
      <c r="AK31" s="274" t="n"/>
    </row>
    <row r="32" ht="13.5" customHeight="1" s="566">
      <c r="A32" s="317" t="n"/>
      <c r="B32" s="282" t="n"/>
      <c r="C32" s="281" t="n"/>
      <c r="D32" s="283" t="n"/>
      <c r="E32" s="282" t="n"/>
      <c r="F32" s="317" t="n"/>
      <c r="G32" s="318" t="n"/>
      <c r="H32" s="319" t="n"/>
      <c r="I32" s="320" t="n"/>
      <c r="J32" s="47" t="n"/>
      <c r="K32" s="318" t="n"/>
      <c r="L32" s="319" t="n"/>
      <c r="M32" s="317" t="n"/>
      <c r="N32" s="319" t="n"/>
      <c r="O32" s="317" t="n"/>
      <c r="P32" s="318" t="n"/>
      <c r="Q32" s="318" t="n"/>
      <c r="R32" s="319" t="n"/>
      <c r="S32" s="317" t="n"/>
      <c r="T32" s="318" t="n"/>
      <c r="U32" s="318" t="n"/>
      <c r="V32" s="319" t="n"/>
      <c r="W32" s="317" t="n"/>
      <c r="X32" s="319" t="n"/>
      <c r="Y32" s="317" t="n"/>
      <c r="Z32" s="318" t="n"/>
      <c r="AA32" s="318" t="n"/>
      <c r="AB32" s="318" t="n"/>
      <c r="AC32" s="318" t="n"/>
      <c r="AD32" s="318" t="n"/>
      <c r="AE32" s="318" t="n"/>
      <c r="AF32" s="318" t="n"/>
      <c r="AG32" s="318" t="n"/>
      <c r="AH32" s="318" t="n"/>
      <c r="AI32" s="318" t="n"/>
      <c r="AJ32" s="319" t="n"/>
      <c r="AK32" s="274" t="n"/>
    </row>
    <row r="33" ht="13.5" customHeight="1" s="566">
      <c r="A33" s="317" t="n"/>
      <c r="B33" s="282" t="n"/>
      <c r="C33" s="281" t="n"/>
      <c r="D33" s="283" t="n"/>
      <c r="E33" s="282" t="n"/>
      <c r="F33" s="317" t="n"/>
      <c r="G33" s="318" t="n"/>
      <c r="H33" s="319" t="n"/>
      <c r="I33" s="320" t="n"/>
      <c r="J33" s="47" t="n"/>
      <c r="K33" s="318" t="n"/>
      <c r="L33" s="319" t="n"/>
      <c r="M33" s="317" t="n"/>
      <c r="N33" s="319" t="n"/>
      <c r="O33" s="317" t="n"/>
      <c r="P33" s="318" t="n"/>
      <c r="Q33" s="318" t="n"/>
      <c r="R33" s="319" t="n"/>
      <c r="S33" s="317" t="n"/>
      <c r="T33" s="318" t="n"/>
      <c r="U33" s="318" t="n"/>
      <c r="V33" s="319" t="n"/>
      <c r="W33" s="317" t="n"/>
      <c r="X33" s="319" t="n"/>
      <c r="Y33" s="317" t="n"/>
      <c r="Z33" s="318" t="n"/>
      <c r="AA33" s="318" t="n"/>
      <c r="AB33" s="318" t="n"/>
      <c r="AC33" s="318" t="n"/>
      <c r="AD33" s="318" t="n"/>
      <c r="AE33" s="318" t="n"/>
      <c r="AF33" s="318" t="n"/>
      <c r="AG33" s="318" t="n"/>
      <c r="AH33" s="318" t="n"/>
      <c r="AI33" s="318" t="n"/>
      <c r="AJ33" s="319" t="n"/>
      <c r="AK33" s="274" t="n"/>
    </row>
    <row r="34" ht="13.5" customHeight="1" s="566">
      <c r="A34" s="317" t="n"/>
      <c r="B34" s="282" t="n"/>
      <c r="C34" s="281" t="n"/>
      <c r="D34" s="283" t="n"/>
      <c r="E34" s="282" t="n"/>
      <c r="F34" s="317" t="n"/>
      <c r="G34" s="318" t="n"/>
      <c r="H34" s="319" t="n"/>
      <c r="I34" s="320" t="n"/>
      <c r="J34" s="47" t="n"/>
      <c r="K34" s="318" t="n"/>
      <c r="L34" s="319" t="n"/>
      <c r="M34" s="317" t="n"/>
      <c r="N34" s="319" t="n"/>
      <c r="O34" s="317" t="n"/>
      <c r="P34" s="318" t="n"/>
      <c r="Q34" s="318" t="n"/>
      <c r="R34" s="319" t="n"/>
      <c r="S34" s="317" t="n"/>
      <c r="T34" s="318" t="n"/>
      <c r="U34" s="318" t="n"/>
      <c r="V34" s="319" t="n"/>
      <c r="W34" s="317" t="n"/>
      <c r="X34" s="319" t="n"/>
      <c r="Y34" s="317" t="n"/>
      <c r="Z34" s="318" t="n"/>
      <c r="AA34" s="318" t="n"/>
      <c r="AB34" s="318" t="n"/>
      <c r="AC34" s="318" t="n"/>
      <c r="AD34" s="318" t="n"/>
      <c r="AE34" s="318" t="n"/>
      <c r="AF34" s="318" t="n"/>
      <c r="AG34" s="318" t="n"/>
      <c r="AH34" s="318" t="n"/>
      <c r="AI34" s="318" t="n"/>
      <c r="AJ34" s="319" t="n"/>
      <c r="AK34" s="274" t="n"/>
    </row>
    <row r="35" ht="13.5" customHeight="1" s="566">
      <c r="A35" s="317" t="n"/>
      <c r="B35" s="282" t="n"/>
      <c r="C35" s="281" t="n"/>
      <c r="D35" s="283" t="n"/>
      <c r="E35" s="282" t="n"/>
      <c r="F35" s="317" t="n"/>
      <c r="G35" s="318" t="n"/>
      <c r="H35" s="319" t="n"/>
      <c r="I35" s="320" t="n"/>
      <c r="J35" s="47" t="n"/>
      <c r="K35" s="318" t="n"/>
      <c r="L35" s="319" t="n"/>
      <c r="M35" s="317" t="n"/>
      <c r="N35" s="319" t="n"/>
      <c r="O35" s="317" t="n"/>
      <c r="P35" s="318" t="n"/>
      <c r="Q35" s="318" t="n"/>
      <c r="R35" s="319" t="n"/>
      <c r="S35" s="317" t="n"/>
      <c r="T35" s="318" t="n"/>
      <c r="U35" s="318" t="n"/>
      <c r="V35" s="319" t="n"/>
      <c r="W35" s="317" t="n"/>
      <c r="X35" s="319" t="n"/>
      <c r="Y35" s="317" t="n"/>
      <c r="Z35" s="318" t="n"/>
      <c r="AA35" s="318" t="n"/>
      <c r="AB35" s="318" t="n"/>
      <c r="AC35" s="318" t="n"/>
      <c r="AD35" s="318" t="n"/>
      <c r="AE35" s="318" t="n"/>
      <c r="AF35" s="318" t="n"/>
      <c r="AG35" s="318" t="n"/>
      <c r="AH35" s="318" t="n"/>
      <c r="AI35" s="318" t="n"/>
      <c r="AJ35" s="319" t="n"/>
      <c r="AK35" s="274" t="n"/>
    </row>
    <row r="36" ht="13.5" customHeight="1" s="566">
      <c r="A36" s="317" t="n"/>
      <c r="B36" s="282" t="n"/>
      <c r="C36" s="281" t="n"/>
      <c r="D36" s="283" t="n"/>
      <c r="E36" s="282" t="n"/>
      <c r="F36" s="317" t="n"/>
      <c r="G36" s="318" t="n"/>
      <c r="H36" s="319" t="n"/>
      <c r="I36" s="320" t="n"/>
      <c r="J36" s="47" t="n"/>
      <c r="K36" s="318" t="n"/>
      <c r="L36" s="319" t="n"/>
      <c r="M36" s="317" t="n"/>
      <c r="N36" s="319" t="n"/>
      <c r="O36" s="317" t="n"/>
      <c r="P36" s="318" t="n"/>
      <c r="Q36" s="318" t="n"/>
      <c r="R36" s="319" t="n"/>
      <c r="S36" s="317" t="n"/>
      <c r="T36" s="318" t="n"/>
      <c r="U36" s="318" t="n"/>
      <c r="V36" s="319" t="n"/>
      <c r="W36" s="317" t="n"/>
      <c r="X36" s="319" t="n"/>
      <c r="Y36" s="317" t="n"/>
      <c r="Z36" s="318" t="n"/>
      <c r="AA36" s="318" t="n"/>
      <c r="AB36" s="318" t="n"/>
      <c r="AC36" s="318" t="n"/>
      <c r="AD36" s="318" t="n"/>
      <c r="AE36" s="318" t="n"/>
      <c r="AF36" s="318" t="n"/>
      <c r="AG36" s="318" t="n"/>
      <c r="AH36" s="318" t="n"/>
      <c r="AI36" s="318" t="n"/>
      <c r="AJ36" s="319" t="n"/>
      <c r="AK36" s="274" t="n"/>
    </row>
    <row r="37" ht="13.5" customHeight="1" s="566">
      <c r="A37" s="317" t="n"/>
      <c r="B37" s="282" t="n"/>
      <c r="C37" s="281" t="n"/>
      <c r="D37" s="283" t="n"/>
      <c r="E37" s="282" t="n"/>
      <c r="F37" s="317" t="n"/>
      <c r="G37" s="318" t="n"/>
      <c r="H37" s="319" t="n"/>
      <c r="I37" s="320" t="n"/>
      <c r="J37" s="47" t="n"/>
      <c r="K37" s="318" t="n"/>
      <c r="L37" s="319" t="n"/>
      <c r="M37" s="317" t="n"/>
      <c r="N37" s="319" t="n"/>
      <c r="O37" s="317" t="n"/>
      <c r="P37" s="318" t="n"/>
      <c r="Q37" s="318" t="n"/>
      <c r="R37" s="319" t="n"/>
      <c r="S37" s="317" t="n"/>
      <c r="T37" s="318" t="n"/>
      <c r="U37" s="318" t="n"/>
      <c r="V37" s="319" t="n"/>
      <c r="W37" s="317" t="n"/>
      <c r="X37" s="319" t="n"/>
      <c r="Y37" s="317" t="n"/>
      <c r="Z37" s="318" t="n"/>
      <c r="AA37" s="318" t="n"/>
      <c r="AB37" s="318" t="n"/>
      <c r="AC37" s="318" t="n"/>
      <c r="AD37" s="318" t="n"/>
      <c r="AE37" s="318" t="n"/>
      <c r="AF37" s="318" t="n"/>
      <c r="AG37" s="318" t="n"/>
      <c r="AH37" s="318" t="n"/>
      <c r="AI37" s="318" t="n"/>
      <c r="AJ37" s="319" t="n"/>
      <c r="AK37" s="274" t="n"/>
    </row>
    <row r="38" ht="13.5" customHeight="1" s="566">
      <c r="A38" s="317" t="n"/>
      <c r="B38" s="282" t="n"/>
      <c r="C38" s="281" t="n"/>
      <c r="D38" s="283" t="n"/>
      <c r="E38" s="282" t="n"/>
      <c r="F38" s="317" t="n"/>
      <c r="G38" s="318" t="n"/>
      <c r="H38" s="319" t="n"/>
      <c r="I38" s="320" t="n"/>
      <c r="J38" s="47" t="n"/>
      <c r="K38" s="318" t="n"/>
      <c r="L38" s="319" t="n"/>
      <c r="M38" s="317" t="n"/>
      <c r="N38" s="319" t="n"/>
      <c r="O38" s="317" t="n"/>
      <c r="P38" s="318" t="n"/>
      <c r="Q38" s="318" t="n"/>
      <c r="R38" s="319" t="n"/>
      <c r="S38" s="317" t="n"/>
      <c r="T38" s="318" t="n"/>
      <c r="U38" s="318" t="n"/>
      <c r="V38" s="319" t="n"/>
      <c r="W38" s="317" t="n"/>
      <c r="X38" s="319" t="n"/>
      <c r="Y38" s="317" t="n"/>
      <c r="Z38" s="318" t="n"/>
      <c r="AA38" s="318" t="n"/>
      <c r="AB38" s="318" t="n"/>
      <c r="AC38" s="318" t="n"/>
      <c r="AD38" s="318" t="n"/>
      <c r="AE38" s="318" t="n"/>
      <c r="AF38" s="318" t="n"/>
      <c r="AG38" s="318" t="n"/>
      <c r="AH38" s="318" t="n"/>
      <c r="AI38" s="318" t="n"/>
      <c r="AJ38" s="319" t="n"/>
      <c r="AK38" s="274" t="n"/>
    </row>
    <row r="39" ht="13.5" customHeight="1" s="566">
      <c r="A39" s="317" t="n"/>
      <c r="B39" s="282" t="n"/>
      <c r="C39" s="281" t="n"/>
      <c r="D39" s="283" t="n"/>
      <c r="E39" s="282" t="n"/>
      <c r="F39" s="317" t="n"/>
      <c r="G39" s="318" t="n"/>
      <c r="H39" s="319" t="n"/>
      <c r="I39" s="320" t="n"/>
      <c r="J39" s="47" t="n"/>
      <c r="K39" s="318" t="n"/>
      <c r="L39" s="319" t="n"/>
      <c r="M39" s="317" t="n"/>
      <c r="N39" s="319" t="n"/>
      <c r="O39" s="317" t="n"/>
      <c r="P39" s="318" t="n"/>
      <c r="Q39" s="318" t="n"/>
      <c r="R39" s="319" t="n"/>
      <c r="S39" s="317" t="n"/>
      <c r="T39" s="318" t="n"/>
      <c r="U39" s="318" t="n"/>
      <c r="V39" s="319" t="n"/>
      <c r="W39" s="317" t="n"/>
      <c r="X39" s="319" t="n"/>
      <c r="Y39" s="317" t="n"/>
      <c r="Z39" s="318" t="n"/>
      <c r="AA39" s="318" t="n"/>
      <c r="AB39" s="318" t="n"/>
      <c r="AC39" s="318" t="n"/>
      <c r="AD39" s="318" t="n"/>
      <c r="AE39" s="318" t="n"/>
      <c r="AF39" s="318" t="n"/>
      <c r="AG39" s="318" t="n"/>
      <c r="AH39" s="318" t="n"/>
      <c r="AI39" s="318" t="n"/>
      <c r="AJ39" s="319" t="n"/>
      <c r="AK39" s="274" t="n"/>
    </row>
    <row r="40" ht="13.5" customHeight="1" s="566">
      <c r="A40" s="317" t="n"/>
      <c r="B40" s="282" t="n"/>
      <c r="C40" s="281" t="n"/>
      <c r="D40" s="283" t="n"/>
      <c r="E40" s="282" t="n"/>
      <c r="F40" s="317" t="n"/>
      <c r="G40" s="318" t="n"/>
      <c r="H40" s="319" t="n"/>
      <c r="I40" s="320" t="n"/>
      <c r="J40" s="47" t="n"/>
      <c r="K40" s="318" t="n"/>
      <c r="L40" s="319" t="n"/>
      <c r="M40" s="317" t="n"/>
      <c r="N40" s="319" t="n"/>
      <c r="O40" s="317" t="n"/>
      <c r="P40" s="318" t="n"/>
      <c r="Q40" s="318" t="n"/>
      <c r="R40" s="319" t="n"/>
      <c r="S40" s="317" t="n"/>
      <c r="T40" s="318" t="n"/>
      <c r="U40" s="318" t="n"/>
      <c r="V40" s="319" t="n"/>
      <c r="W40" s="317" t="n"/>
      <c r="X40" s="319" t="n"/>
      <c r="Y40" s="317" t="n"/>
      <c r="Z40" s="318" t="n"/>
      <c r="AA40" s="318" t="n"/>
      <c r="AB40" s="318" t="n"/>
      <c r="AC40" s="318" t="n"/>
      <c r="AD40" s="318" t="n"/>
      <c r="AE40" s="318" t="n"/>
      <c r="AF40" s="318" t="n"/>
      <c r="AG40" s="318" t="n"/>
      <c r="AH40" s="318" t="n"/>
      <c r="AI40" s="318" t="n"/>
      <c r="AJ40" s="319" t="n"/>
      <c r="AK40" s="274" t="n"/>
    </row>
    <row r="41" ht="15.75" customHeight="1" s="566">
      <c r="A41" s="322" t="n"/>
      <c r="B41" s="285" t="n"/>
      <c r="C41" s="284" t="n"/>
      <c r="D41" s="286" t="n"/>
      <c r="E41" s="285" t="n"/>
      <c r="F41" s="322" t="n"/>
      <c r="G41" s="323" t="n"/>
      <c r="H41" s="324" t="n"/>
      <c r="I41" s="325" t="n"/>
      <c r="J41" s="52" t="n"/>
      <c r="K41" s="323" t="n"/>
      <c r="L41" s="324" t="n"/>
      <c r="M41" s="322" t="n"/>
      <c r="N41" s="324" t="n"/>
      <c r="O41" s="322" t="n"/>
      <c r="P41" s="323" t="n"/>
      <c r="Q41" s="323" t="n"/>
      <c r="R41" s="324" t="n"/>
      <c r="S41" s="322" t="n"/>
      <c r="T41" s="323" t="n"/>
      <c r="U41" s="323" t="n"/>
      <c r="V41" s="324" t="n"/>
      <c r="W41" s="322" t="n"/>
      <c r="X41" s="324" t="n"/>
      <c r="Y41" s="322" t="n"/>
      <c r="Z41" s="323" t="n"/>
      <c r="AA41" s="323" t="n"/>
      <c r="AB41" s="323" t="n"/>
      <c r="AC41" s="323" t="n"/>
      <c r="AD41" s="323" t="n"/>
      <c r="AE41" s="323" t="n"/>
      <c r="AF41" s="323" t="n"/>
      <c r="AG41" s="323" t="n"/>
      <c r="AH41" s="323" t="n"/>
      <c r="AI41" s="323" t="n"/>
      <c r="AJ41" s="324" t="n"/>
      <c r="AK41" s="274" t="n"/>
    </row>
  </sheetData>
  <mergeCells count="40">
    <mergeCell ref="Y2:AJ2"/>
    <mergeCell ref="L3:L4"/>
    <mergeCell ref="AC3:AC4"/>
    <mergeCell ref="B3:B4"/>
    <mergeCell ref="N3:N4"/>
    <mergeCell ref="AE3:AE4"/>
    <mergeCell ref="F2:H2"/>
    <mergeCell ref="X3:X4"/>
    <mergeCell ref="O2:R2"/>
    <mergeCell ref="Z3:Z4"/>
    <mergeCell ref="F3:G3"/>
    <mergeCell ref="M2:N2"/>
    <mergeCell ref="A3:A4"/>
    <mergeCell ref="M3:M4"/>
    <mergeCell ref="AJ3:AJ4"/>
    <mergeCell ref="I3:I4"/>
    <mergeCell ref="U3:U4"/>
    <mergeCell ref="W3:W4"/>
    <mergeCell ref="I2:L2"/>
    <mergeCell ref="A2:E2"/>
    <mergeCell ref="P3:P4"/>
    <mergeCell ref="AG3:AG4"/>
    <mergeCell ref="S2:V2"/>
    <mergeCell ref="AI3:AI4"/>
    <mergeCell ref="R3:R4"/>
    <mergeCell ref="T3:T4"/>
    <mergeCell ref="J3:J4"/>
    <mergeCell ref="AB3:AB4"/>
    <mergeCell ref="AD3:AD4"/>
    <mergeCell ref="W2:X2"/>
    <mergeCell ref="K3:K4"/>
    <mergeCell ref="G1:H1"/>
    <mergeCell ref="AF3:AF4"/>
    <mergeCell ref="O3:O4"/>
    <mergeCell ref="V3:V4"/>
    <mergeCell ref="AH3:AH4"/>
    <mergeCell ref="Q3:Q4"/>
    <mergeCell ref="S3:S4"/>
    <mergeCell ref="Y3:Y4"/>
    <mergeCell ref="C3:D3"/>
  </mergeCells>
  <dataValidations count="1">
    <dataValidation sqref="I5:I41" showDropDown="0" showInputMessage="1" showErrorMessage="1" allowBlank="1" type="list">
      <formula1>"Incoming,Internal - Subsystems Only,Internal - To Cloud Provider,Internal - From Cloud Provider,Outgoing"</formula1>
    </dataValidation>
  </dataValidations>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18.xml><?xml version="1.0" encoding="utf-8"?>
<worksheet xmlns="http://schemas.openxmlformats.org/spreadsheetml/2006/main">
  <sheetPr>
    <outlinePr summaryBelow="1" summaryRight="1"/>
    <pageSetUpPr/>
  </sheetPr>
  <dimension ref="A1:Q43"/>
  <sheetViews>
    <sheetView showGridLines="0" workbookViewId="0">
      <selection activeCell="A1" sqref="A1"/>
    </sheetView>
  </sheetViews>
  <sheetFormatPr baseColWidth="8" defaultColWidth="9.1640625" defaultRowHeight="15" customHeight="1"/>
  <cols>
    <col width="13.83203125" customWidth="1" style="1" min="1" max="1"/>
    <col width="22.1640625" customWidth="1" style="1" min="2" max="2"/>
    <col width="19.83203125" customWidth="1" style="1" min="3" max="3"/>
    <col width="14.1640625" customWidth="1" style="1" min="4" max="4"/>
    <col width="22.83203125" customWidth="1" style="1" min="5" max="5"/>
    <col width="26.6640625" customWidth="1" style="1" min="6" max="9"/>
    <col width="30.6640625" customWidth="1" style="1" min="10" max="10"/>
    <col width="25.33203125" customWidth="1" style="1" min="11" max="11"/>
    <col width="22.6640625" customWidth="1" style="1" min="12" max="12"/>
    <col width="23.6640625" customWidth="1" style="1" min="13" max="13"/>
    <col width="12.6640625" customWidth="1" style="1" min="14" max="16"/>
    <col width="9.1640625" customWidth="1" style="1" min="17" max="18"/>
    <col width="9.1640625" customWidth="1" style="1" min="19" max="16384"/>
  </cols>
  <sheetData>
    <row r="1" ht="49.5" customHeight="1" s="566">
      <c r="A1" s="237" t="inlineStr">
        <is>
          <t>Relevant Requirement(s)/Objective(s):</t>
        </is>
      </c>
      <c r="B1" s="287" t="inlineStr">
        <is>
          <t>3.8.1, 3.8.2, 3.8.3, 3.8.4, 3.8.5, 3.8.6, 3.8.7, 3.8.8, 3.8.9</t>
        </is>
      </c>
      <c r="C1" s="230" t="inlineStr">
        <is>
          <t>Last Reviewed By:</t>
        </is>
      </c>
      <c r="D1" s="290" t="n"/>
      <c r="E1" s="230" t="inlineStr">
        <is>
          <t>Last Reviewed On:</t>
        </is>
      </c>
      <c r="F1" s="290" t="n"/>
      <c r="G1" s="291" t="n"/>
      <c r="H1" s="292" t="n"/>
      <c r="I1" s="292" t="n"/>
      <c r="J1" s="292" t="n"/>
      <c r="K1" s="301" t="n"/>
      <c r="L1" s="301" t="n"/>
      <c r="M1" s="301" t="n"/>
      <c r="N1" s="301" t="n"/>
      <c r="O1" s="301" t="n"/>
      <c r="P1" s="301" t="n"/>
      <c r="Q1" s="302" t="n"/>
    </row>
    <row r="2" ht="75.75" customHeight="1" s="566">
      <c r="A2" s="86" t="inlineStr">
        <is>
          <t>Unique Media ID</t>
        </is>
      </c>
      <c r="B2" s="326" t="inlineStr">
        <is>
          <t>Media Creator</t>
        </is>
      </c>
      <c r="C2" s="89" t="inlineStr">
        <is>
          <t>Employee Accountable for Media</t>
        </is>
      </c>
      <c r="D2" s="326" t="inlineStr">
        <is>
          <t>Date Created</t>
        </is>
      </c>
      <c r="E2" s="89" t="inlineStr">
        <is>
          <t>Media Type (e.g., paper, magnetic tape, CD-ROM, DVD, USB Drive)</t>
        </is>
      </c>
      <c r="F2" s="326" t="inlineStr">
        <is>
          <t>Media Contents</t>
        </is>
      </c>
      <c r="G2" s="326" t="inlineStr">
        <is>
          <t>Relevant Contract(s)</t>
        </is>
      </c>
      <c r="H2" s="326" t="inlineStr">
        <is>
          <t>Media Marking(s)</t>
        </is>
      </c>
      <c r="I2" s="326" t="inlineStr">
        <is>
          <t>Is the Media Backup Media?</t>
        </is>
      </c>
      <c r="J2" s="326" t="inlineStr">
        <is>
          <t>Media Storage Location</t>
        </is>
      </c>
      <c r="K2" s="89" t="inlineStr">
        <is>
          <t>Does the Media Support Hardware Encryption?  If so, is it Enabled?</t>
        </is>
      </c>
      <c r="L2" s="89" t="inlineStr">
        <is>
          <t>User(s)/Role(s) Authorized to View/Access Media</t>
        </is>
      </c>
      <c r="M2" s="89" t="inlineStr">
        <is>
          <t>Media Sanitized/ Destroyed By</t>
        </is>
      </c>
      <c r="N2" s="89" t="inlineStr">
        <is>
          <t>Media Santitization/Destruction Date</t>
        </is>
      </c>
      <c r="O2" s="89" t="inlineStr">
        <is>
          <t>Media Sanitization/Destruction Method</t>
        </is>
      </c>
      <c r="P2" s="87" t="inlineStr">
        <is>
          <t>Media Sanitization/Destruction Evidence</t>
        </is>
      </c>
      <c r="Q2" s="311" t="n"/>
    </row>
    <row r="3" ht="14.1" customHeight="1" s="566">
      <c r="A3" s="327" t="inlineStr">
        <is>
          <t>AAA0</t>
        </is>
      </c>
      <c r="B3" s="314" t="n"/>
      <c r="C3" s="314" t="n"/>
      <c r="D3" s="314" t="n"/>
      <c r="E3" s="314" t="n"/>
      <c r="F3" s="314" t="n"/>
      <c r="G3" s="314" t="n"/>
      <c r="H3" s="314" t="n"/>
      <c r="I3" s="314" t="n"/>
      <c r="J3" s="314" t="n"/>
      <c r="K3" s="314" t="n"/>
      <c r="L3" s="314" t="n"/>
      <c r="M3" s="314" t="n"/>
      <c r="N3" s="314" t="n"/>
      <c r="O3" s="314" t="n"/>
      <c r="P3" s="315" t="n"/>
      <c r="Q3" s="274" t="n"/>
    </row>
    <row r="4" ht="13.5" customHeight="1" s="566">
      <c r="A4" s="328" t="inlineStr">
        <is>
          <t>AAA1</t>
        </is>
      </c>
      <c r="B4" s="318" t="n"/>
      <c r="C4" s="318" t="n"/>
      <c r="D4" s="318" t="n"/>
      <c r="E4" s="318" t="n"/>
      <c r="F4" s="318" t="n"/>
      <c r="G4" s="318" t="n"/>
      <c r="H4" s="318" t="n"/>
      <c r="I4" s="318" t="n"/>
      <c r="J4" s="318" t="n"/>
      <c r="K4" s="318" t="n"/>
      <c r="L4" s="318" t="n"/>
      <c r="M4" s="318" t="n"/>
      <c r="N4" s="318" t="n"/>
      <c r="O4" s="318" t="n"/>
      <c r="P4" s="319" t="n"/>
      <c r="Q4" s="274" t="n"/>
    </row>
    <row r="5" ht="13.5" customHeight="1" s="566">
      <c r="A5" s="328" t="inlineStr">
        <is>
          <t>AAA2</t>
        </is>
      </c>
      <c r="B5" s="318" t="n"/>
      <c r="C5" s="318" t="n"/>
      <c r="D5" s="318" t="n"/>
      <c r="E5" s="318" t="n"/>
      <c r="F5" s="318" t="n"/>
      <c r="G5" s="318" t="n"/>
      <c r="H5" s="318" t="n"/>
      <c r="I5" s="318" t="n"/>
      <c r="J5" s="318" t="n"/>
      <c r="K5" s="318" t="n"/>
      <c r="L5" s="318" t="n"/>
      <c r="M5" s="318" t="n"/>
      <c r="N5" s="318" t="n"/>
      <c r="O5" s="318" t="n"/>
      <c r="P5" s="319" t="n"/>
      <c r="Q5" s="274" t="n"/>
    </row>
    <row r="6" ht="13.5" customHeight="1" s="566">
      <c r="A6" s="328" t="inlineStr">
        <is>
          <t>AAA3</t>
        </is>
      </c>
      <c r="B6" s="318" t="n"/>
      <c r="C6" s="318" t="n"/>
      <c r="D6" s="318" t="n"/>
      <c r="E6" s="318" t="n"/>
      <c r="F6" s="318" t="n"/>
      <c r="G6" s="318" t="n"/>
      <c r="H6" s="318" t="n"/>
      <c r="I6" s="318" t="n"/>
      <c r="J6" s="318" t="n"/>
      <c r="K6" s="318" t="n"/>
      <c r="L6" s="318" t="n"/>
      <c r="M6" s="318" t="n"/>
      <c r="N6" s="318" t="n"/>
      <c r="O6" s="318" t="n"/>
      <c r="P6" s="319" t="n"/>
      <c r="Q6" s="274" t="n"/>
    </row>
    <row r="7" ht="13.5" customHeight="1" s="566">
      <c r="A7" s="328" t="inlineStr">
        <is>
          <t>AAA4</t>
        </is>
      </c>
      <c r="B7" s="318" t="n"/>
      <c r="C7" s="318" t="n"/>
      <c r="D7" s="318" t="n"/>
      <c r="E7" s="318" t="n"/>
      <c r="F7" s="318" t="n"/>
      <c r="G7" s="318" t="n"/>
      <c r="H7" s="318" t="n"/>
      <c r="I7" s="318" t="n"/>
      <c r="J7" s="318" t="n"/>
      <c r="K7" s="318" t="n"/>
      <c r="L7" s="318" t="n"/>
      <c r="M7" s="318" t="n"/>
      <c r="N7" s="318" t="n"/>
      <c r="O7" s="318" t="n"/>
      <c r="P7" s="319" t="n"/>
      <c r="Q7" s="274" t="n"/>
    </row>
    <row r="8" ht="13.5" customHeight="1" s="566">
      <c r="A8" s="328" t="inlineStr">
        <is>
          <t>AAA5</t>
        </is>
      </c>
      <c r="B8" s="318" t="n"/>
      <c r="C8" s="318" t="n"/>
      <c r="D8" s="318" t="n"/>
      <c r="E8" s="318" t="n"/>
      <c r="F8" s="318" t="n"/>
      <c r="G8" s="318" t="n"/>
      <c r="H8" s="318" t="n"/>
      <c r="I8" s="318" t="n"/>
      <c r="J8" s="318" t="n"/>
      <c r="K8" s="318" t="n"/>
      <c r="L8" s="318" t="n"/>
      <c r="M8" s="318" t="n"/>
      <c r="N8" s="318" t="n"/>
      <c r="O8" s="318" t="n"/>
      <c r="P8" s="319" t="n"/>
      <c r="Q8" s="274" t="n"/>
    </row>
    <row r="9" ht="13.5" customHeight="1" s="566">
      <c r="A9" s="328" t="inlineStr">
        <is>
          <t>AAA6</t>
        </is>
      </c>
      <c r="B9" s="318" t="n"/>
      <c r="C9" s="318" t="n"/>
      <c r="D9" s="318" t="n"/>
      <c r="E9" s="318" t="n"/>
      <c r="F9" s="318" t="n"/>
      <c r="G9" s="318" t="n"/>
      <c r="H9" s="318" t="n"/>
      <c r="I9" s="318" t="n"/>
      <c r="J9" s="318" t="n"/>
      <c r="K9" s="318" t="n"/>
      <c r="L9" s="318" t="n"/>
      <c r="M9" s="318" t="n"/>
      <c r="N9" s="318" t="n"/>
      <c r="O9" s="318" t="n"/>
      <c r="P9" s="319" t="n"/>
      <c r="Q9" s="274" t="n"/>
    </row>
    <row r="10" ht="13.5" customHeight="1" s="566">
      <c r="A10" s="328" t="inlineStr">
        <is>
          <t>AAA7</t>
        </is>
      </c>
      <c r="B10" s="318" t="n"/>
      <c r="C10" s="318" t="n"/>
      <c r="D10" s="318" t="n"/>
      <c r="E10" s="318" t="n"/>
      <c r="F10" s="318" t="n"/>
      <c r="G10" s="318" t="n"/>
      <c r="H10" s="318" t="n"/>
      <c r="I10" s="318" t="n"/>
      <c r="J10" s="318" t="n"/>
      <c r="K10" s="318" t="n"/>
      <c r="L10" s="318" t="n"/>
      <c r="M10" s="318" t="n"/>
      <c r="N10" s="318" t="n"/>
      <c r="O10" s="318" t="n"/>
      <c r="P10" s="319" t="n"/>
      <c r="Q10" s="274" t="n"/>
    </row>
    <row r="11" ht="13.5" customHeight="1" s="566">
      <c r="A11" s="328" t="inlineStr">
        <is>
          <t>AAA8</t>
        </is>
      </c>
      <c r="B11" s="318" t="n"/>
      <c r="C11" s="318" t="n"/>
      <c r="D11" s="318" t="n"/>
      <c r="E11" s="318" t="n"/>
      <c r="F11" s="318" t="n"/>
      <c r="G11" s="318" t="n"/>
      <c r="H11" s="318" t="n"/>
      <c r="I11" s="318" t="n"/>
      <c r="J11" s="318" t="n"/>
      <c r="K11" s="318" t="n"/>
      <c r="L11" s="318" t="n"/>
      <c r="M11" s="318" t="n"/>
      <c r="N11" s="318" t="n"/>
      <c r="O11" s="318" t="n"/>
      <c r="P11" s="319" t="n"/>
      <c r="Q11" s="274" t="n"/>
    </row>
    <row r="12" ht="13.5" customHeight="1" s="566">
      <c r="A12" s="328" t="inlineStr">
        <is>
          <t>AAA9</t>
        </is>
      </c>
      <c r="B12" s="318" t="n"/>
      <c r="C12" s="318" t="n"/>
      <c r="D12" s="318" t="n"/>
      <c r="E12" s="318" t="n"/>
      <c r="F12" s="318" t="n"/>
      <c r="G12" s="318" t="n"/>
      <c r="H12" s="318" t="n"/>
      <c r="I12" s="318" t="n"/>
      <c r="J12" s="318" t="n"/>
      <c r="K12" s="318" t="n"/>
      <c r="L12" s="318" t="n"/>
      <c r="M12" s="318" t="n"/>
      <c r="N12" s="318" t="n"/>
      <c r="O12" s="318" t="n"/>
      <c r="P12" s="319" t="n"/>
      <c r="Q12" s="274" t="n"/>
    </row>
    <row r="13" ht="13.5" customHeight="1" s="566">
      <c r="A13" s="328" t="inlineStr">
        <is>
          <t>AAB0</t>
        </is>
      </c>
      <c r="B13" s="318" t="n"/>
      <c r="C13" s="318" t="n"/>
      <c r="D13" s="318" t="n"/>
      <c r="E13" s="318" t="n"/>
      <c r="F13" s="318" t="n"/>
      <c r="G13" s="318" t="n"/>
      <c r="H13" s="318" t="n"/>
      <c r="I13" s="318" t="n"/>
      <c r="J13" s="318" t="n"/>
      <c r="K13" s="318" t="n"/>
      <c r="L13" s="318" t="n"/>
      <c r="M13" s="318" t="n"/>
      <c r="N13" s="318" t="n"/>
      <c r="O13" s="318" t="n"/>
      <c r="P13" s="319" t="n"/>
      <c r="Q13" s="274" t="n"/>
    </row>
    <row r="14" ht="13.5" customHeight="1" s="566">
      <c r="A14" s="328" t="inlineStr">
        <is>
          <t>AAB1</t>
        </is>
      </c>
      <c r="B14" s="318" t="n"/>
      <c r="C14" s="318" t="n"/>
      <c r="D14" s="318" t="n"/>
      <c r="E14" s="318" t="n"/>
      <c r="F14" s="318" t="n"/>
      <c r="G14" s="318" t="n"/>
      <c r="H14" s="318" t="n"/>
      <c r="I14" s="318" t="n"/>
      <c r="J14" s="318" t="n"/>
      <c r="K14" s="318" t="n"/>
      <c r="L14" s="318" t="n"/>
      <c r="M14" s="318" t="n"/>
      <c r="N14" s="318" t="n"/>
      <c r="O14" s="318" t="n"/>
      <c r="P14" s="319" t="n"/>
      <c r="Q14" s="274" t="n"/>
    </row>
    <row r="15" ht="13.5" customHeight="1" s="566">
      <c r="A15" s="328" t="inlineStr">
        <is>
          <t>AAB2</t>
        </is>
      </c>
      <c r="B15" s="318" t="n"/>
      <c r="C15" s="318" t="n"/>
      <c r="D15" s="318" t="n"/>
      <c r="E15" s="318" t="n"/>
      <c r="F15" s="318" t="n"/>
      <c r="G15" s="318" t="n"/>
      <c r="H15" s="318" t="n"/>
      <c r="I15" s="318" t="n"/>
      <c r="J15" s="318" t="n"/>
      <c r="K15" s="318" t="n"/>
      <c r="L15" s="318" t="n"/>
      <c r="M15" s="318" t="n"/>
      <c r="N15" s="318" t="n"/>
      <c r="O15" s="318" t="n"/>
      <c r="P15" s="319" t="n"/>
      <c r="Q15" s="274" t="n"/>
    </row>
    <row r="16" ht="13.5" customHeight="1" s="566">
      <c r="A16" s="328" t="inlineStr">
        <is>
          <t>AAB3</t>
        </is>
      </c>
      <c r="B16" s="318" t="n"/>
      <c r="C16" s="318" t="n"/>
      <c r="D16" s="318" t="n"/>
      <c r="E16" s="318" t="n"/>
      <c r="F16" s="318" t="n"/>
      <c r="G16" s="318" t="n"/>
      <c r="H16" s="318" t="n"/>
      <c r="I16" s="318" t="n"/>
      <c r="J16" s="318" t="n"/>
      <c r="K16" s="318" t="n"/>
      <c r="L16" s="318" t="n"/>
      <c r="M16" s="318" t="n"/>
      <c r="N16" s="318" t="n"/>
      <c r="O16" s="318" t="n"/>
      <c r="P16" s="319" t="n"/>
      <c r="Q16" s="274" t="n"/>
    </row>
    <row r="17" ht="13.5" customHeight="1" s="566">
      <c r="A17" s="328" t="inlineStr">
        <is>
          <t>AAB4</t>
        </is>
      </c>
      <c r="B17" s="318" t="n"/>
      <c r="C17" s="318" t="n"/>
      <c r="D17" s="318" t="n"/>
      <c r="E17" s="318" t="n"/>
      <c r="F17" s="318" t="n"/>
      <c r="G17" s="318" t="n"/>
      <c r="H17" s="318" t="n"/>
      <c r="I17" s="318" t="n"/>
      <c r="J17" s="318" t="n"/>
      <c r="K17" s="318" t="n"/>
      <c r="L17" s="318" t="n"/>
      <c r="M17" s="318" t="n"/>
      <c r="N17" s="318" t="n"/>
      <c r="O17" s="318" t="n"/>
      <c r="P17" s="319" t="n"/>
      <c r="Q17" s="274" t="n"/>
    </row>
    <row r="18" ht="13.5" customHeight="1" s="566">
      <c r="A18" s="328" t="inlineStr">
        <is>
          <t>AAB5</t>
        </is>
      </c>
      <c r="B18" s="318" t="n"/>
      <c r="C18" s="318" t="n"/>
      <c r="D18" s="318" t="n"/>
      <c r="E18" s="318" t="n"/>
      <c r="F18" s="318" t="n"/>
      <c r="G18" s="318" t="n"/>
      <c r="H18" s="318" t="n"/>
      <c r="I18" s="318" t="n"/>
      <c r="J18" s="318" t="n"/>
      <c r="K18" s="318" t="n"/>
      <c r="L18" s="318" t="n"/>
      <c r="M18" s="318" t="n"/>
      <c r="N18" s="318" t="n"/>
      <c r="O18" s="318" t="n"/>
      <c r="P18" s="319" t="n"/>
      <c r="Q18" s="274" t="n"/>
    </row>
    <row r="19" ht="13.5" customHeight="1" s="566">
      <c r="A19" s="328" t="inlineStr">
        <is>
          <t>AAB6</t>
        </is>
      </c>
      <c r="B19" s="318" t="n"/>
      <c r="C19" s="318" t="n"/>
      <c r="D19" s="318" t="n"/>
      <c r="E19" s="318" t="n"/>
      <c r="F19" s="318" t="n"/>
      <c r="G19" s="318" t="n"/>
      <c r="H19" s="318" t="n"/>
      <c r="I19" s="318" t="n"/>
      <c r="J19" s="318" t="n"/>
      <c r="K19" s="318" t="n"/>
      <c r="L19" s="318" t="n"/>
      <c r="M19" s="318" t="n"/>
      <c r="N19" s="318" t="n"/>
      <c r="O19" s="318" t="n"/>
      <c r="P19" s="319" t="n"/>
      <c r="Q19" s="274" t="n"/>
    </row>
    <row r="20" ht="13.5" customHeight="1" s="566">
      <c r="A20" s="328" t="inlineStr">
        <is>
          <t>AAB7</t>
        </is>
      </c>
      <c r="B20" s="318" t="n"/>
      <c r="C20" s="318" t="n"/>
      <c r="D20" s="318" t="n"/>
      <c r="E20" s="318" t="n"/>
      <c r="F20" s="318" t="n"/>
      <c r="G20" s="318" t="n"/>
      <c r="H20" s="318" t="n"/>
      <c r="I20" s="318" t="n"/>
      <c r="J20" s="318" t="n"/>
      <c r="K20" s="318" t="n"/>
      <c r="L20" s="318" t="n"/>
      <c r="M20" s="318" t="n"/>
      <c r="N20" s="318" t="n"/>
      <c r="O20" s="318" t="n"/>
      <c r="P20" s="319" t="n"/>
      <c r="Q20" s="274" t="n"/>
    </row>
    <row r="21" ht="13.5" customHeight="1" s="566">
      <c r="A21" s="328" t="inlineStr">
        <is>
          <t>AAB8</t>
        </is>
      </c>
      <c r="B21" s="318" t="n"/>
      <c r="C21" s="318" t="n"/>
      <c r="D21" s="318" t="n"/>
      <c r="E21" s="318" t="n"/>
      <c r="F21" s="318" t="n"/>
      <c r="G21" s="318" t="n"/>
      <c r="H21" s="318" t="n"/>
      <c r="I21" s="318" t="n"/>
      <c r="J21" s="318" t="n"/>
      <c r="K21" s="318" t="n"/>
      <c r="L21" s="318" t="n"/>
      <c r="M21" s="318" t="n"/>
      <c r="N21" s="318" t="n"/>
      <c r="O21" s="318" t="n"/>
      <c r="P21" s="319" t="n"/>
      <c r="Q21" s="274" t="n"/>
    </row>
    <row r="22" ht="13.5" customHeight="1" s="566">
      <c r="A22" s="328" t="inlineStr">
        <is>
          <t>AAB9</t>
        </is>
      </c>
      <c r="B22" s="318" t="n"/>
      <c r="C22" s="318" t="n"/>
      <c r="D22" s="318" t="n"/>
      <c r="E22" s="318" t="n"/>
      <c r="F22" s="318" t="n"/>
      <c r="G22" s="318" t="n"/>
      <c r="H22" s="318" t="n"/>
      <c r="I22" s="318" t="n"/>
      <c r="J22" s="318" t="n"/>
      <c r="K22" s="318" t="n"/>
      <c r="L22" s="318" t="n"/>
      <c r="M22" s="318" t="n"/>
      <c r="N22" s="318" t="n"/>
      <c r="O22" s="318" t="n"/>
      <c r="P22" s="319" t="n"/>
      <c r="Q22" s="274" t="n"/>
    </row>
    <row r="23" ht="13.5" customHeight="1" s="566">
      <c r="A23" s="328" t="inlineStr">
        <is>
          <t>AAC0</t>
        </is>
      </c>
      <c r="B23" s="318" t="n"/>
      <c r="C23" s="318" t="n"/>
      <c r="D23" s="318" t="n"/>
      <c r="E23" s="318" t="n"/>
      <c r="F23" s="318" t="n"/>
      <c r="G23" s="318" t="n"/>
      <c r="H23" s="318" t="n"/>
      <c r="I23" s="318" t="n"/>
      <c r="J23" s="318" t="n"/>
      <c r="K23" s="318" t="n"/>
      <c r="L23" s="318" t="n"/>
      <c r="M23" s="318" t="n"/>
      <c r="N23" s="318" t="n"/>
      <c r="O23" s="318" t="n"/>
      <c r="P23" s="319" t="n"/>
      <c r="Q23" s="274" t="n"/>
    </row>
    <row r="24" ht="13.5" customHeight="1" s="566">
      <c r="A24" s="328" t="inlineStr">
        <is>
          <t>AAC1</t>
        </is>
      </c>
      <c r="B24" s="318" t="n"/>
      <c r="C24" s="318" t="n"/>
      <c r="D24" s="318" t="n"/>
      <c r="E24" s="318" t="n"/>
      <c r="F24" s="318" t="n"/>
      <c r="G24" s="318" t="n"/>
      <c r="H24" s="318" t="n"/>
      <c r="I24" s="318" t="n"/>
      <c r="J24" s="318" t="n"/>
      <c r="K24" s="318" t="n"/>
      <c r="L24" s="318" t="n"/>
      <c r="M24" s="318" t="n"/>
      <c r="N24" s="318" t="n"/>
      <c r="O24" s="318" t="n"/>
      <c r="P24" s="319" t="n"/>
      <c r="Q24" s="274" t="n"/>
    </row>
    <row r="25" ht="13.5" customHeight="1" s="566">
      <c r="A25" s="328" t="inlineStr">
        <is>
          <t>AAC2</t>
        </is>
      </c>
      <c r="B25" s="318" t="n"/>
      <c r="C25" s="318" t="n"/>
      <c r="D25" s="318" t="n"/>
      <c r="E25" s="318" t="n"/>
      <c r="F25" s="318" t="n"/>
      <c r="G25" s="318" t="n"/>
      <c r="H25" s="318" t="n"/>
      <c r="I25" s="318" t="n"/>
      <c r="J25" s="318" t="n"/>
      <c r="K25" s="318" t="n"/>
      <c r="L25" s="318" t="n"/>
      <c r="M25" s="318" t="n"/>
      <c r="N25" s="318" t="n"/>
      <c r="O25" s="318" t="n"/>
      <c r="P25" s="319" t="n"/>
      <c r="Q25" s="274" t="n"/>
    </row>
    <row r="26" ht="13.5" customHeight="1" s="566">
      <c r="A26" s="328" t="inlineStr">
        <is>
          <t>AAC3</t>
        </is>
      </c>
      <c r="B26" s="318" t="n"/>
      <c r="C26" s="318" t="n"/>
      <c r="D26" s="318" t="n"/>
      <c r="E26" s="318" t="n"/>
      <c r="F26" s="318" t="n"/>
      <c r="G26" s="318" t="n"/>
      <c r="H26" s="318" t="n"/>
      <c r="I26" s="318" t="n"/>
      <c r="J26" s="318" t="n"/>
      <c r="K26" s="318" t="n"/>
      <c r="L26" s="318" t="n"/>
      <c r="M26" s="318" t="n"/>
      <c r="N26" s="318" t="n"/>
      <c r="O26" s="318" t="n"/>
      <c r="P26" s="319" t="n"/>
      <c r="Q26" s="274" t="n"/>
    </row>
    <row r="27" ht="13.5" customHeight="1" s="566">
      <c r="A27" s="328" t="inlineStr">
        <is>
          <t>AAC4</t>
        </is>
      </c>
      <c r="B27" s="318" t="n"/>
      <c r="C27" s="318" t="n"/>
      <c r="D27" s="318" t="n"/>
      <c r="E27" s="318" t="n"/>
      <c r="F27" s="318" t="n"/>
      <c r="G27" s="318" t="n"/>
      <c r="H27" s="318" t="n"/>
      <c r="I27" s="318" t="n"/>
      <c r="J27" s="318" t="n"/>
      <c r="K27" s="318" t="n"/>
      <c r="L27" s="318" t="n"/>
      <c r="M27" s="318" t="n"/>
      <c r="N27" s="318" t="n"/>
      <c r="O27" s="318" t="n"/>
      <c r="P27" s="319" t="n"/>
      <c r="Q27" s="274" t="n"/>
    </row>
    <row r="28" ht="13.5" customHeight="1" s="566">
      <c r="A28" s="328" t="inlineStr">
        <is>
          <t>AAC5</t>
        </is>
      </c>
      <c r="B28" s="318" t="n"/>
      <c r="C28" s="318" t="n"/>
      <c r="D28" s="318" t="n"/>
      <c r="E28" s="318" t="n"/>
      <c r="F28" s="318" t="n"/>
      <c r="G28" s="318" t="n"/>
      <c r="H28" s="318" t="n"/>
      <c r="I28" s="318" t="n"/>
      <c r="J28" s="318" t="n"/>
      <c r="K28" s="318" t="n"/>
      <c r="L28" s="318" t="n"/>
      <c r="M28" s="318" t="n"/>
      <c r="N28" s="318" t="n"/>
      <c r="O28" s="318" t="n"/>
      <c r="P28" s="319" t="n"/>
      <c r="Q28" s="274" t="n"/>
    </row>
    <row r="29" ht="13.5" customHeight="1" s="566">
      <c r="A29" s="328" t="inlineStr">
        <is>
          <t>AAC6</t>
        </is>
      </c>
      <c r="B29" s="318" t="n"/>
      <c r="C29" s="318" t="n"/>
      <c r="D29" s="318" t="n"/>
      <c r="E29" s="318" t="n"/>
      <c r="F29" s="318" t="n"/>
      <c r="G29" s="318" t="n"/>
      <c r="H29" s="318" t="n"/>
      <c r="I29" s="318" t="n"/>
      <c r="J29" s="318" t="n"/>
      <c r="K29" s="318" t="n"/>
      <c r="L29" s="318" t="n"/>
      <c r="M29" s="318" t="n"/>
      <c r="N29" s="318" t="n"/>
      <c r="O29" s="318" t="n"/>
      <c r="P29" s="319" t="n"/>
      <c r="Q29" s="274" t="n"/>
    </row>
    <row r="30" ht="13.5" customHeight="1" s="566">
      <c r="A30" s="328" t="inlineStr">
        <is>
          <t>AAC7</t>
        </is>
      </c>
      <c r="B30" s="318" t="n"/>
      <c r="C30" s="318" t="n"/>
      <c r="D30" s="318" t="n"/>
      <c r="E30" s="318" t="n"/>
      <c r="F30" s="318" t="n"/>
      <c r="G30" s="318" t="n"/>
      <c r="H30" s="318" t="n"/>
      <c r="I30" s="318" t="n"/>
      <c r="J30" s="318" t="n"/>
      <c r="K30" s="318" t="n"/>
      <c r="L30" s="318" t="n"/>
      <c r="M30" s="318" t="n"/>
      <c r="N30" s="318" t="n"/>
      <c r="O30" s="318" t="n"/>
      <c r="P30" s="319" t="n"/>
      <c r="Q30" s="274" t="n"/>
    </row>
    <row r="31" ht="13.5" customHeight="1" s="566">
      <c r="A31" s="328" t="inlineStr">
        <is>
          <t>AAC8</t>
        </is>
      </c>
      <c r="B31" s="318" t="n"/>
      <c r="C31" s="318" t="n"/>
      <c r="D31" s="318" t="n"/>
      <c r="E31" s="318" t="n"/>
      <c r="F31" s="318" t="n"/>
      <c r="G31" s="318" t="n"/>
      <c r="H31" s="318" t="n"/>
      <c r="I31" s="318" t="n"/>
      <c r="J31" s="318" t="n"/>
      <c r="K31" s="318" t="n"/>
      <c r="L31" s="318" t="n"/>
      <c r="M31" s="318" t="n"/>
      <c r="N31" s="318" t="n"/>
      <c r="O31" s="318" t="n"/>
      <c r="P31" s="319" t="n"/>
      <c r="Q31" s="274" t="n"/>
    </row>
    <row r="32" ht="13.5" customHeight="1" s="566">
      <c r="A32" s="328" t="inlineStr">
        <is>
          <t>AAC9</t>
        </is>
      </c>
      <c r="B32" s="318" t="n"/>
      <c r="C32" s="318" t="n"/>
      <c r="D32" s="318" t="n"/>
      <c r="E32" s="318" t="n"/>
      <c r="F32" s="318" t="n"/>
      <c r="G32" s="318" t="n"/>
      <c r="H32" s="318" t="n"/>
      <c r="I32" s="318" t="n"/>
      <c r="J32" s="318" t="n"/>
      <c r="K32" s="318" t="n"/>
      <c r="L32" s="318" t="n"/>
      <c r="M32" s="318" t="n"/>
      <c r="N32" s="318" t="n"/>
      <c r="O32" s="318" t="n"/>
      <c r="P32" s="319" t="n"/>
      <c r="Q32" s="274" t="n"/>
    </row>
    <row r="33" ht="13.5" customHeight="1" s="566">
      <c r="A33" s="328" t="inlineStr">
        <is>
          <t>AAD0</t>
        </is>
      </c>
      <c r="B33" s="318" t="n"/>
      <c r="C33" s="318" t="n"/>
      <c r="D33" s="318" t="n"/>
      <c r="E33" s="318" t="n"/>
      <c r="F33" s="318" t="n"/>
      <c r="G33" s="318" t="n"/>
      <c r="H33" s="318" t="n"/>
      <c r="I33" s="318" t="n"/>
      <c r="J33" s="318" t="n"/>
      <c r="K33" s="318" t="n"/>
      <c r="L33" s="318" t="n"/>
      <c r="M33" s="318" t="n"/>
      <c r="N33" s="318" t="n"/>
      <c r="O33" s="318" t="n"/>
      <c r="P33" s="319" t="n"/>
      <c r="Q33" s="274" t="n"/>
    </row>
    <row r="34" ht="13.5" customHeight="1" s="566">
      <c r="A34" s="328" t="inlineStr">
        <is>
          <t>AAD1</t>
        </is>
      </c>
      <c r="B34" s="318" t="n"/>
      <c r="C34" s="318" t="n"/>
      <c r="D34" s="318" t="n"/>
      <c r="E34" s="318" t="n"/>
      <c r="F34" s="318" t="n"/>
      <c r="G34" s="318" t="n"/>
      <c r="H34" s="318" t="n"/>
      <c r="I34" s="318" t="n"/>
      <c r="J34" s="318" t="n"/>
      <c r="K34" s="318" t="n"/>
      <c r="L34" s="318" t="n"/>
      <c r="M34" s="318" t="n"/>
      <c r="N34" s="318" t="n"/>
      <c r="O34" s="318" t="n"/>
      <c r="P34" s="319" t="n"/>
      <c r="Q34" s="274" t="n"/>
    </row>
    <row r="35" ht="13.5" customHeight="1" s="566">
      <c r="A35" s="328" t="inlineStr">
        <is>
          <t>AAD2</t>
        </is>
      </c>
      <c r="B35" s="318" t="n"/>
      <c r="C35" s="318" t="n"/>
      <c r="D35" s="318" t="n"/>
      <c r="E35" s="318" t="n"/>
      <c r="F35" s="318" t="n"/>
      <c r="G35" s="318" t="n"/>
      <c r="H35" s="318" t="n"/>
      <c r="I35" s="318" t="n"/>
      <c r="J35" s="318" t="n"/>
      <c r="K35" s="318" t="n"/>
      <c r="L35" s="318" t="n"/>
      <c r="M35" s="318" t="n"/>
      <c r="N35" s="318" t="n"/>
      <c r="O35" s="318" t="n"/>
      <c r="P35" s="319" t="n"/>
      <c r="Q35" s="274" t="n"/>
    </row>
    <row r="36" ht="13.5" customHeight="1" s="566">
      <c r="A36" s="328" t="inlineStr">
        <is>
          <t>AAD3</t>
        </is>
      </c>
      <c r="B36" s="318" t="n"/>
      <c r="C36" s="318" t="n"/>
      <c r="D36" s="318" t="n"/>
      <c r="E36" s="318" t="n"/>
      <c r="F36" s="318" t="n"/>
      <c r="G36" s="318" t="n"/>
      <c r="H36" s="318" t="n"/>
      <c r="I36" s="318" t="n"/>
      <c r="J36" s="318" t="n"/>
      <c r="K36" s="318" t="n"/>
      <c r="L36" s="318" t="n"/>
      <c r="M36" s="318" t="n"/>
      <c r="N36" s="318" t="n"/>
      <c r="O36" s="318" t="n"/>
      <c r="P36" s="319" t="n"/>
      <c r="Q36" s="274" t="n"/>
    </row>
    <row r="37" ht="13.5" customHeight="1" s="566">
      <c r="A37" s="328" t="inlineStr">
        <is>
          <t>AAD4</t>
        </is>
      </c>
      <c r="B37" s="318" t="n"/>
      <c r="C37" s="318" t="n"/>
      <c r="D37" s="318" t="n"/>
      <c r="E37" s="318" t="n"/>
      <c r="F37" s="318" t="n"/>
      <c r="G37" s="318" t="n"/>
      <c r="H37" s="318" t="n"/>
      <c r="I37" s="318" t="n"/>
      <c r="J37" s="318" t="n"/>
      <c r="K37" s="318" t="n"/>
      <c r="L37" s="318" t="n"/>
      <c r="M37" s="318" t="n"/>
      <c r="N37" s="318" t="n"/>
      <c r="O37" s="318" t="n"/>
      <c r="P37" s="319" t="n"/>
      <c r="Q37" s="274" t="n"/>
    </row>
    <row r="38" ht="13.5" customHeight="1" s="566">
      <c r="A38" s="328" t="inlineStr">
        <is>
          <t>AAD5</t>
        </is>
      </c>
      <c r="B38" s="318" t="n"/>
      <c r="C38" s="318" t="n"/>
      <c r="D38" s="318" t="n"/>
      <c r="E38" s="318" t="n"/>
      <c r="F38" s="318" t="n"/>
      <c r="G38" s="318" t="n"/>
      <c r="H38" s="318" t="n"/>
      <c r="I38" s="318" t="n"/>
      <c r="J38" s="318" t="n"/>
      <c r="K38" s="318" t="n"/>
      <c r="L38" s="318" t="n"/>
      <c r="M38" s="318" t="n"/>
      <c r="N38" s="318" t="n"/>
      <c r="O38" s="318" t="n"/>
      <c r="P38" s="319" t="n"/>
      <c r="Q38" s="274" t="n"/>
    </row>
    <row r="39" ht="13.5" customHeight="1" s="566">
      <c r="A39" s="328" t="inlineStr">
        <is>
          <t>AAD6</t>
        </is>
      </c>
      <c r="B39" s="318" t="n"/>
      <c r="C39" s="318" t="n"/>
      <c r="D39" s="318" t="n"/>
      <c r="E39" s="318" t="n"/>
      <c r="F39" s="318" t="n"/>
      <c r="G39" s="318" t="n"/>
      <c r="H39" s="318" t="n"/>
      <c r="I39" s="318" t="n"/>
      <c r="J39" s="318" t="n"/>
      <c r="K39" s="318" t="n"/>
      <c r="L39" s="318" t="n"/>
      <c r="M39" s="318" t="n"/>
      <c r="N39" s="318" t="n"/>
      <c r="O39" s="318" t="n"/>
      <c r="P39" s="319" t="n"/>
      <c r="Q39" s="274" t="n"/>
    </row>
    <row r="40" ht="13.5" customHeight="1" s="566">
      <c r="A40" s="328" t="inlineStr">
        <is>
          <t>AAD7</t>
        </is>
      </c>
      <c r="B40" s="318" t="n"/>
      <c r="C40" s="318" t="n"/>
      <c r="D40" s="318" t="n"/>
      <c r="E40" s="318" t="n"/>
      <c r="F40" s="318" t="n"/>
      <c r="G40" s="318" t="n"/>
      <c r="H40" s="318" t="n"/>
      <c r="I40" s="318" t="n"/>
      <c r="J40" s="318" t="n"/>
      <c r="K40" s="318" t="n"/>
      <c r="L40" s="318" t="n"/>
      <c r="M40" s="318" t="n"/>
      <c r="N40" s="318" t="n"/>
      <c r="O40" s="318" t="n"/>
      <c r="P40" s="319" t="n"/>
      <c r="Q40" s="274" t="n"/>
    </row>
    <row r="41" ht="13.5" customHeight="1" s="566">
      <c r="A41" s="328" t="inlineStr">
        <is>
          <t>AAD8</t>
        </is>
      </c>
      <c r="B41" s="318" t="n"/>
      <c r="C41" s="318" t="n"/>
      <c r="D41" s="318" t="n"/>
      <c r="E41" s="318" t="n"/>
      <c r="F41" s="318" t="n"/>
      <c r="G41" s="318" t="n"/>
      <c r="H41" s="318" t="n"/>
      <c r="I41" s="318" t="n"/>
      <c r="J41" s="318" t="n"/>
      <c r="K41" s="318" t="n"/>
      <c r="L41" s="318" t="n"/>
      <c r="M41" s="318" t="n"/>
      <c r="N41" s="318" t="n"/>
      <c r="O41" s="318" t="n"/>
      <c r="P41" s="319" t="n"/>
      <c r="Q41" s="274" t="n"/>
    </row>
    <row r="42" ht="15.75" customHeight="1" s="566">
      <c r="A42" s="329" t="inlineStr">
        <is>
          <t>AAD9</t>
        </is>
      </c>
      <c r="B42" s="323" t="n"/>
      <c r="C42" s="323" t="n"/>
      <c r="D42" s="323" t="n"/>
      <c r="E42" s="323" t="n"/>
      <c r="F42" s="323" t="n"/>
      <c r="G42" s="323" t="n"/>
      <c r="H42" s="323" t="n"/>
      <c r="I42" s="323" t="n"/>
      <c r="J42" s="323" t="n"/>
      <c r="K42" s="323" t="n"/>
      <c r="L42" s="323" t="n"/>
      <c r="M42" s="323" t="n"/>
      <c r="N42" s="323" t="n"/>
      <c r="O42" s="323" t="n"/>
      <c r="P42" s="324" t="n"/>
      <c r="Q42" s="274" t="n"/>
    </row>
    <row r="43" ht="14.1" customHeight="1" s="566">
      <c r="A43" s="330" t="inlineStr">
        <is>
          <t>[Continue list as necessary - do NOT reuse Media IDs]</t>
        </is>
      </c>
      <c r="B43" s="331" t="n"/>
      <c r="C43" s="332" t="n"/>
      <c r="D43" s="332" t="n"/>
      <c r="E43" s="332" t="n"/>
      <c r="F43" s="332" t="n"/>
      <c r="G43" s="332" t="n"/>
      <c r="H43" s="332" t="n"/>
      <c r="I43" s="332" t="n"/>
      <c r="J43" s="332" t="n"/>
      <c r="K43" s="332" t="n"/>
      <c r="L43" s="332" t="n"/>
      <c r="M43" s="332" t="n"/>
      <c r="N43" s="332" t="n"/>
      <c r="O43" s="332" t="n"/>
      <c r="P43" s="332" t="n"/>
      <c r="Q43" s="302" t="n"/>
    </row>
  </sheetData>
  <dataValidations count="1">
    <dataValidation sqref="I3:I42" showDropDown="0" showInputMessage="1" showErrorMessage="1" allowBlank="1" type="list">
      <formula1>"Yes,No"</formula1>
    </dataValidation>
  </dataValidations>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19.xml><?xml version="1.0" encoding="utf-8"?>
<worksheet xmlns="http://schemas.openxmlformats.org/spreadsheetml/2006/main">
  <sheetPr>
    <outlinePr summaryBelow="1" summaryRight="1"/>
    <pageSetUpPr/>
  </sheetPr>
  <dimension ref="A1:J26"/>
  <sheetViews>
    <sheetView showGridLines="0" workbookViewId="0">
      <selection activeCell="A1" sqref="A1"/>
    </sheetView>
  </sheetViews>
  <sheetFormatPr baseColWidth="8" defaultColWidth="9.1640625" defaultRowHeight="15" customHeight="1"/>
  <cols>
    <col width="14" customWidth="1" style="1" min="1" max="1"/>
    <col width="26" customWidth="1" style="1" min="2" max="2"/>
    <col width="16.1640625" customWidth="1" style="1" min="3" max="3"/>
    <col width="21" customWidth="1" style="1" min="4" max="4"/>
    <col width="11.6640625" customWidth="1" style="1" min="5" max="5"/>
    <col width="31.6640625" customWidth="1" style="1" min="6" max="6"/>
    <col width="30.6640625" customWidth="1" style="1" min="7" max="7"/>
    <col width="15.6640625" customWidth="1" style="1" min="8" max="8"/>
    <col width="9.1640625" customWidth="1" style="1" min="9" max="9"/>
    <col width="15" customWidth="1" style="1" min="10" max="10"/>
    <col width="9.1640625" customWidth="1" style="1" min="11" max="11"/>
    <col width="9.1640625" customWidth="1" style="1" min="12" max="16384"/>
  </cols>
  <sheetData>
    <row r="1" ht="42.6" customHeight="1" s="566">
      <c r="A1" s="237" t="inlineStr">
        <is>
          <t>Relevant Requirement(s)/ Objective(s):</t>
        </is>
      </c>
      <c r="B1" s="287" t="inlineStr">
        <is>
          <t>3.8.1, 3.8.2, 3.8.3, 3.8.4, 3.8.5, 3.8.6, 3.8.7, 3.8.8, 3.8.9</t>
        </is>
      </c>
      <c r="C1" s="230" t="inlineStr">
        <is>
          <t>Last Reviewed By:</t>
        </is>
      </c>
      <c r="D1" s="333" t="n"/>
      <c r="E1" s="230" t="inlineStr">
        <is>
          <t>Last Reviewed On:</t>
        </is>
      </c>
      <c r="F1" s="333" t="n"/>
      <c r="G1" s="334" t="n"/>
      <c r="H1" s="335" t="n"/>
      <c r="I1" s="301" t="n"/>
      <c r="J1" s="301" t="n"/>
    </row>
    <row r="2" ht="75.75" customHeight="1" s="566">
      <c r="A2" s="86" t="inlineStr">
        <is>
          <t>Media ID
(from Media Library)</t>
        </is>
      </c>
      <c r="B2" s="89" t="inlineStr">
        <is>
          <t>Checked Out By</t>
        </is>
      </c>
      <c r="C2" s="89" t="inlineStr">
        <is>
          <t>Check Out Date</t>
        </is>
      </c>
      <c r="D2" s="89" t="inlineStr">
        <is>
          <t>Check-out Purpose</t>
        </is>
      </c>
      <c r="E2" s="89" t="inlineStr">
        <is>
          <t>Expected Return Date</t>
        </is>
      </c>
      <c r="F2" s="89" t="inlineStr">
        <is>
          <t>Is the Contents of the Media Encrypted?
(if no, list alternate security control(s) to protect media during transport)</t>
        </is>
      </c>
      <c r="G2" s="89" t="inlineStr">
        <is>
          <t>Will media leave storage area?
(If so, to where?)</t>
        </is>
      </c>
      <c r="H2" s="87" t="inlineStr">
        <is>
          <t>Copy Media Markings</t>
        </is>
      </c>
      <c r="I2" s="86" t="inlineStr">
        <is>
          <t>Date Returned</t>
        </is>
      </c>
      <c r="J2" s="87" t="inlineStr">
        <is>
          <t>Return Witnessed By</t>
        </is>
      </c>
    </row>
    <row r="3" ht="14.1" customHeight="1" s="566">
      <c r="A3" s="313" t="n"/>
      <c r="B3" s="314" t="n"/>
      <c r="C3" s="314" t="n"/>
      <c r="D3" s="314" t="n"/>
      <c r="E3" s="314" t="n"/>
      <c r="F3" s="314" t="n"/>
      <c r="G3" s="314" t="n"/>
      <c r="H3" s="315" t="n"/>
      <c r="I3" s="313" t="n"/>
      <c r="J3" s="315" t="n"/>
    </row>
    <row r="4" ht="13.5" customHeight="1" s="566">
      <c r="A4" s="317" t="n"/>
      <c r="B4" s="318" t="n"/>
      <c r="C4" s="318" t="n"/>
      <c r="D4" s="318" t="n"/>
      <c r="E4" s="318" t="n"/>
      <c r="F4" s="318" t="n"/>
      <c r="G4" s="318" t="n"/>
      <c r="H4" s="319" t="n"/>
      <c r="I4" s="317" t="n"/>
      <c r="J4" s="319" t="n"/>
    </row>
    <row r="5" ht="13.5" customHeight="1" s="566">
      <c r="A5" s="317" t="n"/>
      <c r="B5" s="318" t="n"/>
      <c r="C5" s="318" t="n"/>
      <c r="D5" s="318" t="n"/>
      <c r="E5" s="318" t="n"/>
      <c r="F5" s="318" t="n"/>
      <c r="G5" s="318" t="n"/>
      <c r="H5" s="319" t="n"/>
      <c r="I5" s="317" t="n"/>
      <c r="J5" s="319" t="n"/>
    </row>
    <row r="6" ht="13.5" customHeight="1" s="566">
      <c r="A6" s="317" t="n"/>
      <c r="B6" s="318" t="n"/>
      <c r="C6" s="318" t="n"/>
      <c r="D6" s="318" t="n"/>
      <c r="E6" s="318" t="n"/>
      <c r="F6" s="318" t="n"/>
      <c r="G6" s="318" t="n"/>
      <c r="H6" s="319" t="n"/>
      <c r="I6" s="317" t="n"/>
      <c r="J6" s="319" t="n"/>
    </row>
    <row r="7" ht="13.5" customHeight="1" s="566">
      <c r="A7" s="317" t="n"/>
      <c r="B7" s="318" t="n"/>
      <c r="C7" s="318" t="n"/>
      <c r="D7" s="318" t="n"/>
      <c r="E7" s="318" t="n"/>
      <c r="F7" s="318" t="n"/>
      <c r="G7" s="318" t="n"/>
      <c r="H7" s="319" t="n"/>
      <c r="I7" s="317" t="n"/>
      <c r="J7" s="319" t="n"/>
    </row>
    <row r="8" ht="13.5" customHeight="1" s="566">
      <c r="A8" s="317" t="n"/>
      <c r="B8" s="318" t="n"/>
      <c r="C8" s="318" t="n"/>
      <c r="D8" s="318" t="n"/>
      <c r="E8" s="318" t="n"/>
      <c r="F8" s="318" t="n"/>
      <c r="G8" s="318" t="n"/>
      <c r="H8" s="319" t="n"/>
      <c r="I8" s="317" t="n"/>
      <c r="J8" s="319" t="n"/>
    </row>
    <row r="9" ht="13.5" customHeight="1" s="566">
      <c r="A9" s="317" t="n"/>
      <c r="B9" s="318" t="n"/>
      <c r="C9" s="318" t="n"/>
      <c r="D9" s="318" t="n"/>
      <c r="E9" s="318" t="n"/>
      <c r="F9" s="318" t="n"/>
      <c r="G9" s="318" t="n"/>
      <c r="H9" s="319" t="n"/>
      <c r="I9" s="317" t="n"/>
      <c r="J9" s="319" t="n"/>
    </row>
    <row r="10" ht="13.5" customHeight="1" s="566">
      <c r="A10" s="317" t="n"/>
      <c r="B10" s="318" t="n"/>
      <c r="C10" s="318" t="n"/>
      <c r="D10" s="318" t="n"/>
      <c r="E10" s="318" t="n"/>
      <c r="F10" s="318" t="n"/>
      <c r="G10" s="318" t="n"/>
      <c r="H10" s="319" t="n"/>
      <c r="I10" s="317" t="n"/>
      <c r="J10" s="319" t="n"/>
    </row>
    <row r="11" ht="13.5" customHeight="1" s="566">
      <c r="A11" s="317" t="n"/>
      <c r="B11" s="318" t="n"/>
      <c r="C11" s="318" t="n"/>
      <c r="D11" s="318" t="n"/>
      <c r="E11" s="318" t="n"/>
      <c r="F11" s="318" t="n"/>
      <c r="G11" s="318" t="n"/>
      <c r="H11" s="319" t="n"/>
      <c r="I11" s="317" t="n"/>
      <c r="J11" s="319" t="n"/>
    </row>
    <row r="12" ht="13.5" customHeight="1" s="566">
      <c r="A12" s="317" t="n"/>
      <c r="B12" s="318" t="n"/>
      <c r="C12" s="318" t="n"/>
      <c r="D12" s="318" t="n"/>
      <c r="E12" s="318" t="n"/>
      <c r="F12" s="318" t="n"/>
      <c r="G12" s="318" t="n"/>
      <c r="H12" s="319" t="n"/>
      <c r="I12" s="317" t="n"/>
      <c r="J12" s="319" t="n"/>
    </row>
    <row r="13" ht="13.5" customHeight="1" s="566">
      <c r="A13" s="317" t="n"/>
      <c r="B13" s="318" t="n"/>
      <c r="C13" s="318" t="n"/>
      <c r="D13" s="318" t="n"/>
      <c r="E13" s="318" t="n"/>
      <c r="F13" s="318" t="n"/>
      <c r="G13" s="318" t="n"/>
      <c r="H13" s="319" t="n"/>
      <c r="I13" s="317" t="n"/>
      <c r="J13" s="319" t="n"/>
    </row>
    <row r="14" ht="13.5" customHeight="1" s="566">
      <c r="A14" s="317" t="n"/>
      <c r="B14" s="318" t="n"/>
      <c r="C14" s="318" t="n"/>
      <c r="D14" s="318" t="n"/>
      <c r="E14" s="318" t="n"/>
      <c r="F14" s="318" t="n"/>
      <c r="G14" s="318" t="n"/>
      <c r="H14" s="319" t="n"/>
      <c r="I14" s="317" t="n"/>
      <c r="J14" s="319" t="n"/>
    </row>
    <row r="15" ht="13.5" customHeight="1" s="566">
      <c r="A15" s="317" t="n"/>
      <c r="B15" s="318" t="n"/>
      <c r="C15" s="318" t="n"/>
      <c r="D15" s="318" t="n"/>
      <c r="E15" s="318" t="n"/>
      <c r="F15" s="318" t="n"/>
      <c r="G15" s="318" t="n"/>
      <c r="H15" s="319" t="n"/>
      <c r="I15" s="317" t="n"/>
      <c r="J15" s="319" t="n"/>
    </row>
    <row r="16" ht="13.5" customHeight="1" s="566">
      <c r="A16" s="317" t="n"/>
      <c r="B16" s="318" t="n"/>
      <c r="C16" s="318" t="n"/>
      <c r="D16" s="318" t="n"/>
      <c r="E16" s="318" t="n"/>
      <c r="F16" s="318" t="n"/>
      <c r="G16" s="318" t="n"/>
      <c r="H16" s="319" t="n"/>
      <c r="I16" s="317" t="n"/>
      <c r="J16" s="319" t="n"/>
    </row>
    <row r="17" ht="13.5" customHeight="1" s="566">
      <c r="A17" s="317" t="n"/>
      <c r="B17" s="318" t="n"/>
      <c r="C17" s="318" t="n"/>
      <c r="D17" s="318" t="n"/>
      <c r="E17" s="318" t="n"/>
      <c r="F17" s="318" t="n"/>
      <c r="G17" s="318" t="n"/>
      <c r="H17" s="319" t="n"/>
      <c r="I17" s="317" t="n"/>
      <c r="J17" s="319" t="n"/>
    </row>
    <row r="18" ht="13.5" customHeight="1" s="566">
      <c r="A18" s="317" t="n"/>
      <c r="B18" s="318" t="n"/>
      <c r="C18" s="318" t="n"/>
      <c r="D18" s="318" t="n"/>
      <c r="E18" s="318" t="n"/>
      <c r="F18" s="318" t="n"/>
      <c r="G18" s="318" t="n"/>
      <c r="H18" s="319" t="n"/>
      <c r="I18" s="317" t="n"/>
      <c r="J18" s="319" t="n"/>
    </row>
    <row r="19" ht="13.5" customHeight="1" s="566">
      <c r="A19" s="317" t="n"/>
      <c r="B19" s="318" t="n"/>
      <c r="C19" s="318" t="n"/>
      <c r="D19" s="318" t="n"/>
      <c r="E19" s="318" t="n"/>
      <c r="F19" s="318" t="n"/>
      <c r="G19" s="318" t="n"/>
      <c r="H19" s="319" t="n"/>
      <c r="I19" s="317" t="n"/>
      <c r="J19" s="319" t="n"/>
    </row>
    <row r="20" ht="13.5" customHeight="1" s="566">
      <c r="A20" s="317" t="n"/>
      <c r="B20" s="318" t="n"/>
      <c r="C20" s="318" t="n"/>
      <c r="D20" s="318" t="n"/>
      <c r="E20" s="318" t="n"/>
      <c r="F20" s="318" t="n"/>
      <c r="G20" s="318" t="n"/>
      <c r="H20" s="319" t="n"/>
      <c r="I20" s="317" t="n"/>
      <c r="J20" s="319" t="n"/>
    </row>
    <row r="21" ht="13.5" customHeight="1" s="566">
      <c r="A21" s="317" t="n"/>
      <c r="B21" s="318" t="n"/>
      <c r="C21" s="318" t="n"/>
      <c r="D21" s="318" t="n"/>
      <c r="E21" s="318" t="n"/>
      <c r="F21" s="318" t="n"/>
      <c r="G21" s="318" t="n"/>
      <c r="H21" s="319" t="n"/>
      <c r="I21" s="317" t="n"/>
      <c r="J21" s="319" t="n"/>
    </row>
    <row r="22" ht="13.5" customHeight="1" s="566">
      <c r="A22" s="317" t="n"/>
      <c r="B22" s="318" t="n"/>
      <c r="C22" s="318" t="n"/>
      <c r="D22" s="318" t="n"/>
      <c r="E22" s="318" t="n"/>
      <c r="F22" s="318" t="n"/>
      <c r="G22" s="318" t="n"/>
      <c r="H22" s="319" t="n"/>
      <c r="I22" s="317" t="n"/>
      <c r="J22" s="319" t="n"/>
    </row>
    <row r="23" ht="13.5" customHeight="1" s="566">
      <c r="A23" s="317" t="n"/>
      <c r="B23" s="318" t="n"/>
      <c r="C23" s="318" t="n"/>
      <c r="D23" s="318" t="n"/>
      <c r="E23" s="318" t="n"/>
      <c r="F23" s="318" t="n"/>
      <c r="G23" s="318" t="n"/>
      <c r="H23" s="319" t="n"/>
      <c r="I23" s="317" t="n"/>
      <c r="J23" s="319" t="n"/>
    </row>
    <row r="24" ht="13.5" customHeight="1" s="566">
      <c r="A24" s="317" t="n"/>
      <c r="B24" s="318" t="n"/>
      <c r="C24" s="318" t="n"/>
      <c r="D24" s="318" t="n"/>
      <c r="E24" s="318" t="n"/>
      <c r="F24" s="318" t="n"/>
      <c r="G24" s="318" t="n"/>
      <c r="H24" s="319" t="n"/>
      <c r="I24" s="317" t="n"/>
      <c r="J24" s="319" t="n"/>
    </row>
    <row r="25" ht="13.5" customHeight="1" s="566">
      <c r="A25" s="317" t="n"/>
      <c r="B25" s="318" t="n"/>
      <c r="C25" s="318" t="n"/>
      <c r="D25" s="318" t="n"/>
      <c r="E25" s="318" t="n"/>
      <c r="F25" s="318" t="n"/>
      <c r="G25" s="318" t="n"/>
      <c r="H25" s="319" t="n"/>
      <c r="I25" s="317" t="n"/>
      <c r="J25" s="319" t="n"/>
    </row>
    <row r="26" ht="15.75" customHeight="1" s="566">
      <c r="A26" s="322" t="n"/>
      <c r="B26" s="323" t="n"/>
      <c r="C26" s="323" t="n"/>
      <c r="D26" s="323" t="n"/>
      <c r="E26" s="323" t="n"/>
      <c r="F26" s="323" t="n"/>
      <c r="G26" s="323" t="n"/>
      <c r="H26" s="324" t="n"/>
      <c r="I26" s="322" t="n"/>
      <c r="J26" s="324" t="n"/>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20.xml><?xml version="1.0" encoding="utf-8"?>
<worksheet xmlns="http://schemas.openxmlformats.org/spreadsheetml/2006/main">
  <sheetPr>
    <outlinePr summaryBelow="1" summaryRight="1"/>
    <pageSetUpPr/>
  </sheetPr>
  <dimension ref="A1:G112"/>
  <sheetViews>
    <sheetView showGridLines="0" workbookViewId="0">
      <selection activeCell="A1" sqref="A1"/>
    </sheetView>
  </sheetViews>
  <sheetFormatPr baseColWidth="8" defaultColWidth="9" defaultRowHeight="12.75" customHeight="1"/>
  <cols>
    <col width="16.1640625" customWidth="1" style="1" min="1" max="1"/>
    <col width="16.33203125" customWidth="1" style="1" min="2" max="2"/>
    <col width="77.83203125" customWidth="1" style="1" min="3" max="3"/>
    <col width="27.83203125" customWidth="1" style="1" min="4" max="4"/>
    <col width="23.83203125" customWidth="1" style="1" min="5" max="7"/>
    <col width="9" customWidth="1" style="1" min="8" max="8"/>
    <col width="9" customWidth="1" style="1" min="9" max="16384"/>
  </cols>
  <sheetData>
    <row r="1" ht="16.5" customHeight="1" s="566">
      <c r="A1" s="910" t="inlineStr">
        <is>
          <t>Tool/Service and Provider:</t>
        </is>
      </c>
      <c r="B1" s="897" t="n"/>
      <c r="C1" s="336" t="n"/>
      <c r="D1" s="337" t="inlineStr">
        <is>
          <t>Last Reviewed By:</t>
        </is>
      </c>
      <c r="E1" s="336" t="n"/>
      <c r="F1" s="337" t="inlineStr">
        <is>
          <t>Last Review Date:</t>
        </is>
      </c>
      <c r="G1" s="338" t="n"/>
    </row>
    <row r="2" ht="63.75" customHeight="1" s="566">
      <c r="A2" s="820" t="inlineStr">
        <is>
          <t>NIST SP 800-171 Requirement ID</t>
        </is>
      </c>
      <c r="B2" s="228" t="inlineStr">
        <is>
          <t>CMMC ID</t>
        </is>
      </c>
      <c r="C2" s="228" t="inlineStr">
        <is>
          <t>Requirement</t>
        </is>
      </c>
      <c r="D2" s="228" t="inlineStr">
        <is>
          <t>Responsibility Inheritance from Provider</t>
        </is>
      </c>
      <c r="E2" s="228" t="inlineStr">
        <is>
          <t>Provider Responsibilities</t>
        </is>
      </c>
      <c r="F2" s="228" t="inlineStr">
        <is>
          <t>OSC Responsibilities</t>
        </is>
      </c>
      <c r="G2" s="229" t="inlineStr">
        <is>
          <t>MSP/MSSP Responsibilities</t>
        </is>
      </c>
    </row>
    <row r="3" ht="31.5" customHeight="1" s="566">
      <c r="A3" s="339" t="inlineStr">
        <is>
          <t xml:space="preserve">3.1.2* </t>
        </is>
      </c>
      <c r="B3" s="340" t="inlineStr">
        <is>
          <t>AC.L1-3.1.2</t>
        </is>
      </c>
      <c r="C3" s="341" t="inlineStr">
        <is>
          <t xml:space="preserve">Limit system access to the types of transactions and functions that authorized users are permitted to execute. </t>
        </is>
      </c>
      <c r="D3" s="342" t="n"/>
      <c r="E3" s="343" t="n"/>
      <c r="F3" s="343" t="n"/>
      <c r="G3" s="344" t="n"/>
    </row>
    <row r="4" ht="15.75" customHeight="1" s="566">
      <c r="A4" s="804" t="inlineStr">
        <is>
          <t xml:space="preserve">3.1.3 </t>
        </is>
      </c>
      <c r="B4" s="806" t="inlineStr">
        <is>
          <t>AC.L2-3.1.3</t>
        </is>
      </c>
      <c r="C4" s="347" t="inlineStr">
        <is>
          <t xml:space="preserve">Control the flow of CUI in accordance with approved authorizations. </t>
        </is>
      </c>
      <c r="D4" s="807" t="n"/>
      <c r="E4" s="800" t="n"/>
      <c r="F4" s="800" t="n"/>
      <c r="G4" s="801" t="n"/>
    </row>
    <row r="5" ht="31.5" customHeight="1" s="566">
      <c r="A5" s="804" t="inlineStr">
        <is>
          <t xml:space="preserve">3.1.4 </t>
        </is>
      </c>
      <c r="B5" s="806" t="inlineStr">
        <is>
          <t>AC.L2-3.1.4</t>
        </is>
      </c>
      <c r="C5" s="347" t="inlineStr">
        <is>
          <t xml:space="preserve">Separate the duties of individuals to reduce the risk of malevolent activity without collusion. </t>
        </is>
      </c>
      <c r="D5" s="807" t="n"/>
      <c r="E5" s="800" t="n"/>
      <c r="F5" s="800" t="n"/>
      <c r="G5" s="801" t="n"/>
    </row>
    <row r="6" ht="31.5" customHeight="1" s="566">
      <c r="A6" s="804" t="inlineStr">
        <is>
          <t xml:space="preserve">3.1.5 </t>
        </is>
      </c>
      <c r="B6" s="806" t="inlineStr">
        <is>
          <t>AC.L2-3.1.5</t>
        </is>
      </c>
      <c r="C6" s="347" t="inlineStr">
        <is>
          <t xml:space="preserve">Employ the principle of least privilege, including for specific security functions and privileged accounts. </t>
        </is>
      </c>
      <c r="D6" s="807" t="n"/>
      <c r="E6" s="800" t="n"/>
      <c r="F6" s="800" t="n"/>
      <c r="G6" s="801" t="n"/>
    </row>
    <row r="7" ht="31.5" customHeight="1" s="566">
      <c r="A7" s="804" t="inlineStr">
        <is>
          <t xml:space="preserve">3.1.6 </t>
        </is>
      </c>
      <c r="B7" s="806" t="inlineStr">
        <is>
          <t>AC.L2-3.1.6</t>
        </is>
      </c>
      <c r="C7" s="347" t="inlineStr">
        <is>
          <t xml:space="preserve">Use non-privileged accounts or roles when accessing non-security functions. </t>
        </is>
      </c>
      <c r="D7" s="807" t="n"/>
      <c r="E7" s="800" t="n"/>
      <c r="F7" s="800" t="n"/>
      <c r="G7" s="801" t="n"/>
    </row>
    <row r="8" ht="31.5" customHeight="1" s="566">
      <c r="A8" s="804" t="inlineStr">
        <is>
          <t xml:space="preserve">3.1.7 </t>
        </is>
      </c>
      <c r="B8" s="806" t="inlineStr">
        <is>
          <t>AC.L2-3.1.7</t>
        </is>
      </c>
      <c r="C8" s="347" t="inlineStr">
        <is>
          <t>Prevent non-privileged users from executing privileged functions and capture the execution of such functions in audit logs.</t>
        </is>
      </c>
      <c r="D8" s="807" t="n"/>
      <c r="E8" s="800" t="n"/>
      <c r="F8" s="800" t="n"/>
      <c r="G8" s="801" t="n"/>
    </row>
    <row r="9" ht="15.75" customHeight="1" s="566">
      <c r="A9" s="804" t="inlineStr">
        <is>
          <t xml:space="preserve">3.1.8 </t>
        </is>
      </c>
      <c r="B9" s="806" t="inlineStr">
        <is>
          <t>AC.L2-3.1.8</t>
        </is>
      </c>
      <c r="C9" s="347" t="inlineStr">
        <is>
          <t xml:space="preserve">Limit unsuccessful logon attempts. </t>
        </is>
      </c>
      <c r="D9" s="807" t="n"/>
      <c r="E9" s="800" t="n"/>
      <c r="F9" s="800" t="n"/>
      <c r="G9" s="801" t="n"/>
    </row>
    <row r="10" ht="31.5" customHeight="1" s="566">
      <c r="A10" s="804" t="inlineStr">
        <is>
          <t xml:space="preserve">3.1.9 </t>
        </is>
      </c>
      <c r="B10" s="806" t="inlineStr">
        <is>
          <t>AC.L2-3.1.9</t>
        </is>
      </c>
      <c r="C10" s="347" t="inlineStr">
        <is>
          <t xml:space="preserve">Provide privacy and security notices consistent with applicable CUI rules. </t>
        </is>
      </c>
      <c r="D10" s="807" t="n"/>
      <c r="E10" s="800" t="n"/>
      <c r="F10" s="800" t="n"/>
      <c r="G10" s="801" t="n"/>
    </row>
    <row r="11" ht="31.5" customHeight="1" s="566">
      <c r="A11" s="804" t="inlineStr">
        <is>
          <t xml:space="preserve">3.1.10 </t>
        </is>
      </c>
      <c r="B11" s="806" t="inlineStr">
        <is>
          <t>AC.L2-3.1.10</t>
        </is>
      </c>
      <c r="C11" s="347" t="inlineStr">
        <is>
          <t xml:space="preserve">Use session lock with pattern-hiding displays to prevent access and viewing of data after a period of inactivity. </t>
        </is>
      </c>
      <c r="D11" s="807" t="n"/>
      <c r="E11" s="800" t="n"/>
      <c r="F11" s="800" t="n"/>
      <c r="G11" s="801" t="n"/>
    </row>
    <row r="12" ht="15.75" customHeight="1" s="566">
      <c r="A12" s="804" t="inlineStr">
        <is>
          <t xml:space="preserve">3.1.11 </t>
        </is>
      </c>
      <c r="B12" s="806" t="inlineStr">
        <is>
          <t>AC.L2-3.1.11</t>
        </is>
      </c>
      <c r="C12" s="347" t="inlineStr">
        <is>
          <t xml:space="preserve">Terminate (automatically) a user session after a defined condition. </t>
        </is>
      </c>
      <c r="D12" s="807" t="n"/>
      <c r="E12" s="800" t="n"/>
      <c r="F12" s="800" t="n"/>
      <c r="G12" s="801" t="n"/>
    </row>
    <row r="13" ht="15.75" customHeight="1" s="566">
      <c r="A13" s="804" t="inlineStr">
        <is>
          <t xml:space="preserve">3.1.12 </t>
        </is>
      </c>
      <c r="B13" s="806" t="inlineStr">
        <is>
          <t>AC.L2-3.1.12</t>
        </is>
      </c>
      <c r="C13" s="347" t="inlineStr">
        <is>
          <t xml:space="preserve">Monitor and control remote access sessions. </t>
        </is>
      </c>
      <c r="D13" s="807" t="n"/>
      <c r="E13" s="800" t="n"/>
      <c r="F13" s="800" t="n"/>
      <c r="G13" s="801" t="n"/>
    </row>
    <row r="14" ht="31.5" customHeight="1" s="566">
      <c r="A14" s="804" t="inlineStr">
        <is>
          <t xml:space="preserve">3.1.13 </t>
        </is>
      </c>
      <c r="B14" s="806" t="inlineStr">
        <is>
          <t>AC.L2-3.1.13</t>
        </is>
      </c>
      <c r="C14" s="347" t="inlineStr">
        <is>
          <t xml:space="preserve">Employ cryptographic mechanisms to protect the confidentiality of remote access sessions. </t>
        </is>
      </c>
      <c r="D14" s="807" t="n"/>
      <c r="E14" s="800" t="n"/>
      <c r="F14" s="800" t="n"/>
      <c r="G14" s="801" t="n"/>
    </row>
    <row r="15" ht="15.75" customHeight="1" s="566">
      <c r="A15" s="804" t="inlineStr">
        <is>
          <t xml:space="preserve">3.1.14 </t>
        </is>
      </c>
      <c r="B15" s="806" t="inlineStr">
        <is>
          <t>AC.L2-3.1.14</t>
        </is>
      </c>
      <c r="C15" s="347" t="inlineStr">
        <is>
          <t xml:space="preserve">Route remote access via managed access control points. </t>
        </is>
      </c>
      <c r="D15" s="807" t="n"/>
      <c r="E15" s="800" t="n"/>
      <c r="F15" s="800" t="n"/>
      <c r="G15" s="801" t="n"/>
    </row>
    <row r="16" ht="31.5" customHeight="1" s="566">
      <c r="A16" s="804" t="inlineStr">
        <is>
          <t xml:space="preserve">3.1.15 </t>
        </is>
      </c>
      <c r="B16" s="806" t="inlineStr">
        <is>
          <t>AC.L2-3.1.15</t>
        </is>
      </c>
      <c r="C16" s="347" t="inlineStr">
        <is>
          <t xml:space="preserve">Authorize remote execution of privileged commands and remote access to security-relevant information. </t>
        </is>
      </c>
      <c r="D16" s="807" t="n"/>
      <c r="E16" s="800" t="n"/>
      <c r="F16" s="800" t="n"/>
      <c r="G16" s="801" t="n"/>
    </row>
    <row r="17" ht="15.75" customHeight="1" s="566">
      <c r="A17" s="804" t="inlineStr">
        <is>
          <t xml:space="preserve">3.1.16 </t>
        </is>
      </c>
      <c r="B17" s="806" t="inlineStr">
        <is>
          <t>AC.L2-3.1.16</t>
        </is>
      </c>
      <c r="C17" s="347" t="inlineStr">
        <is>
          <t xml:space="preserve">Authorize wireless access prior to allowing such connections. </t>
        </is>
      </c>
      <c r="D17" s="807" t="n"/>
      <c r="E17" s="800" t="n"/>
      <c r="F17" s="800" t="n"/>
      <c r="G17" s="801" t="n"/>
    </row>
    <row r="18" ht="15.75" customHeight="1" s="566">
      <c r="A18" s="804" t="inlineStr">
        <is>
          <t xml:space="preserve">3.1.17 </t>
        </is>
      </c>
      <c r="B18" s="806" t="inlineStr">
        <is>
          <t>AC.L2-3.1.17</t>
        </is>
      </c>
      <c r="C18" s="347" t="inlineStr">
        <is>
          <t xml:space="preserve">Protect wireless access using authentication and encryption. </t>
        </is>
      </c>
      <c r="D18" s="807" t="n"/>
      <c r="E18" s="800" t="n"/>
      <c r="F18" s="800" t="n"/>
      <c r="G18" s="801" t="n"/>
    </row>
    <row r="19" ht="15.75" customHeight="1" s="566">
      <c r="A19" s="804" t="inlineStr">
        <is>
          <t xml:space="preserve">3.1.18 </t>
        </is>
      </c>
      <c r="B19" s="806" t="inlineStr">
        <is>
          <t>AC.L1-3.1.18</t>
        </is>
      </c>
      <c r="C19" s="347" t="inlineStr">
        <is>
          <t xml:space="preserve">Control connection of mobile devices. </t>
        </is>
      </c>
      <c r="D19" s="807" t="n"/>
      <c r="E19" s="800" t="n"/>
      <c r="F19" s="800" t="n"/>
      <c r="G19" s="801" t="n"/>
    </row>
    <row r="20" ht="15.75" customHeight="1" s="566">
      <c r="A20" s="804" t="inlineStr">
        <is>
          <t xml:space="preserve">3.1.19 </t>
        </is>
      </c>
      <c r="B20" s="806" t="inlineStr">
        <is>
          <t>AC.L1-3.1.19</t>
        </is>
      </c>
      <c r="C20" s="347" t="inlineStr">
        <is>
          <t xml:space="preserve">Encrypt CUI on mobile devices and mobile computing platforms </t>
        </is>
      </c>
      <c r="D20" s="807" t="n"/>
      <c r="E20" s="800" t="n"/>
      <c r="F20" s="800" t="n"/>
      <c r="G20" s="801" t="n"/>
    </row>
    <row r="21" ht="15.75" customHeight="1" s="566">
      <c r="A21" s="804" t="inlineStr">
        <is>
          <t xml:space="preserve">3.1.20* </t>
        </is>
      </c>
      <c r="B21" s="806" t="inlineStr">
        <is>
          <t>AC.L2-3.1.20</t>
        </is>
      </c>
      <c r="C21" s="347" t="inlineStr">
        <is>
          <t xml:space="preserve">Verify and control/limit connections to and use of external systems. </t>
        </is>
      </c>
      <c r="D21" s="807" t="n"/>
      <c r="E21" s="800" t="n"/>
      <c r="F21" s="800" t="n"/>
      <c r="G21" s="801" t="n"/>
    </row>
    <row r="22" ht="15.75" customHeight="1" s="566">
      <c r="A22" s="804" t="inlineStr">
        <is>
          <t xml:space="preserve">3.1.21 </t>
        </is>
      </c>
      <c r="B22" s="806" t="inlineStr">
        <is>
          <t>AC.L1-3.1.21</t>
        </is>
      </c>
      <c r="C22" s="347" t="inlineStr">
        <is>
          <t xml:space="preserve">Limit use of portable storage devices on external systems. </t>
        </is>
      </c>
      <c r="D22" s="807" t="n"/>
      <c r="E22" s="800" t="n"/>
      <c r="F22" s="800" t="n"/>
      <c r="G22" s="801" t="n"/>
    </row>
    <row r="23" ht="15.75" customHeight="1" s="566">
      <c r="A23" s="804" t="inlineStr">
        <is>
          <t xml:space="preserve">3.1.22* </t>
        </is>
      </c>
      <c r="B23" s="806" t="inlineStr">
        <is>
          <t>AC.L1-3.1.22</t>
        </is>
      </c>
      <c r="C23" s="347" t="inlineStr">
        <is>
          <t xml:space="preserve">Control CUI posted or processed on publicly accessible systems. </t>
        </is>
      </c>
      <c r="D23" s="807" t="n"/>
      <c r="E23" s="800" t="n"/>
      <c r="F23" s="800" t="n"/>
      <c r="G23" s="801" t="n"/>
    </row>
    <row r="24" ht="63" customHeight="1" s="566">
      <c r="A24" s="804" t="inlineStr">
        <is>
          <t xml:space="preserve">3.2.1 </t>
        </is>
      </c>
      <c r="B24" s="806" t="inlineStr">
        <is>
          <t>AT.L2-3.2.1</t>
        </is>
      </c>
      <c r="C24" s="351" t="inlineStr">
        <is>
          <t xml:space="preserve">Ensure that managers, systems administrators, and users of organizational systems are made aware of the security risks associated with their activities and of the applicable policies, standards, and procedures related to the security of those systems. </t>
        </is>
      </c>
      <c r="D24" s="807" t="n"/>
      <c r="E24" s="800" t="n"/>
      <c r="F24" s="800" t="n"/>
      <c r="G24" s="801" t="n"/>
    </row>
    <row r="25" ht="31.5" customHeight="1" s="566">
      <c r="A25" s="804" t="inlineStr">
        <is>
          <t xml:space="preserve">3.2.2 </t>
        </is>
      </c>
      <c r="B25" s="806" t="inlineStr">
        <is>
          <t>AT.L2-3.2.2</t>
        </is>
      </c>
      <c r="C25" s="347" t="inlineStr">
        <is>
          <t xml:space="preserve">Ensure that personnel are trained to carry out their assigned information security-related duties and responsibilities. </t>
        </is>
      </c>
      <c r="D25" s="807" t="n"/>
      <c r="E25" s="800" t="n"/>
      <c r="F25" s="800" t="n"/>
      <c r="G25" s="801" t="n"/>
    </row>
    <row r="26" ht="31.5" customHeight="1" s="566">
      <c r="A26" s="804" t="inlineStr">
        <is>
          <t xml:space="preserve">3.2.3 </t>
        </is>
      </c>
      <c r="B26" s="806" t="inlineStr">
        <is>
          <t>AT.L2-3.2.3</t>
        </is>
      </c>
      <c r="C26" s="347" t="inlineStr">
        <is>
          <t xml:space="preserve">Provide security awareness training on recognizing and reporting potential indicators of insider threat. </t>
        </is>
      </c>
      <c r="D26" s="807" t="n"/>
      <c r="E26" s="800" t="n"/>
      <c r="F26" s="800" t="n"/>
      <c r="G26" s="801" t="n"/>
    </row>
    <row r="27" ht="47.25" customHeight="1" s="566">
      <c r="A27" s="804" t="inlineStr">
        <is>
          <t xml:space="preserve">3.3.1 </t>
        </is>
      </c>
      <c r="B27" s="806" t="inlineStr">
        <is>
          <t>AU.L2-3.3.1</t>
        </is>
      </c>
      <c r="C27" s="347" t="inlineStr">
        <is>
          <t xml:space="preserve">Create and retain system audit logs and records to the extent needed to enable the monitoring, analysis, investigation, and reporting of unlawful or unauthorized system activity. </t>
        </is>
      </c>
      <c r="D27" s="807" t="n"/>
      <c r="E27" s="800" t="n"/>
      <c r="F27" s="800" t="n"/>
      <c r="G27" s="801" t="n"/>
    </row>
    <row r="28" ht="47.25" customHeight="1" s="566">
      <c r="A28" s="804" t="inlineStr">
        <is>
          <t xml:space="preserve">3.3.2 </t>
        </is>
      </c>
      <c r="B28" s="806" t="inlineStr">
        <is>
          <t>AU.L2-3.3.2</t>
        </is>
      </c>
      <c r="C28" s="347" t="inlineStr">
        <is>
          <t xml:space="preserve">Ensure that the actions of individual system users can be uniquely traced to those users so they can be held accountable for their actions. </t>
        </is>
      </c>
      <c r="D28" s="807" t="n"/>
      <c r="E28" s="800" t="n"/>
      <c r="F28" s="800" t="n"/>
      <c r="G28" s="801" t="n"/>
    </row>
    <row r="29" ht="15.75" customHeight="1" s="566">
      <c r="A29" s="804" t="inlineStr">
        <is>
          <t xml:space="preserve">3.3.3 </t>
        </is>
      </c>
      <c r="B29" s="806" t="inlineStr">
        <is>
          <t>AU.L2-3.3.3</t>
        </is>
      </c>
      <c r="C29" s="347" t="inlineStr">
        <is>
          <t xml:space="preserve">Review and update logged events. </t>
        </is>
      </c>
      <c r="D29" s="807" t="n"/>
      <c r="E29" s="800" t="n"/>
      <c r="F29" s="800" t="n"/>
      <c r="G29" s="801" t="n"/>
    </row>
    <row r="30" ht="15.75" customHeight="1" s="566">
      <c r="A30" s="804" t="inlineStr">
        <is>
          <t xml:space="preserve">3.3.4 </t>
        </is>
      </c>
      <c r="B30" s="806" t="inlineStr">
        <is>
          <t>AU.L2-3.3.4</t>
        </is>
      </c>
      <c r="C30" s="347" t="inlineStr">
        <is>
          <t xml:space="preserve">Alert in the event of an audit logging process failure. </t>
        </is>
      </c>
      <c r="D30" s="807" t="n"/>
      <c r="E30" s="800" t="n"/>
      <c r="F30" s="800" t="n"/>
      <c r="G30" s="801" t="n"/>
    </row>
    <row r="31" ht="47.25" customHeight="1" s="566">
      <c r="A31" s="804" t="inlineStr">
        <is>
          <t xml:space="preserve">3.3.5 </t>
        </is>
      </c>
      <c r="B31" s="806" t="inlineStr">
        <is>
          <t>AU.L2-3.3.5</t>
        </is>
      </c>
      <c r="C31" s="347" t="inlineStr">
        <is>
          <t>Correlate audit record review, analysis, and reporting processes for investigation and response to indications of unlawful, unauthorized, suspicious, or unusual activity.</t>
        </is>
      </c>
      <c r="D31" s="807" t="n"/>
      <c r="E31" s="800" t="n"/>
      <c r="F31" s="800" t="n"/>
      <c r="G31" s="801" t="n"/>
    </row>
    <row r="32" ht="31.5" customHeight="1" s="566">
      <c r="A32" s="804" t="inlineStr">
        <is>
          <t xml:space="preserve">3.3.6 </t>
        </is>
      </c>
      <c r="B32" s="806" t="inlineStr">
        <is>
          <t>AU.L2-3.3.6</t>
        </is>
      </c>
      <c r="C32" s="347" t="inlineStr">
        <is>
          <t xml:space="preserve">Provide audit record reduction and report generation to support on-demand analysis and reporting. </t>
        </is>
      </c>
      <c r="D32" s="807" t="n"/>
      <c r="E32" s="800" t="n"/>
      <c r="F32" s="800" t="n"/>
      <c r="G32" s="801" t="n"/>
    </row>
    <row r="33" ht="47.25" customHeight="1" s="566">
      <c r="A33" s="804" t="inlineStr">
        <is>
          <t xml:space="preserve">3.3.7 </t>
        </is>
      </c>
      <c r="B33" s="806" t="inlineStr">
        <is>
          <t>AU.L2-3.3.7</t>
        </is>
      </c>
      <c r="C33" s="347" t="inlineStr">
        <is>
          <t xml:space="preserve">Provide a system capability that compares and synchronizes internal system clocks with an authoritative source to generate time stamps for audit records. </t>
        </is>
      </c>
      <c r="D33" s="807" t="n"/>
      <c r="E33" s="800" t="n"/>
      <c r="F33" s="800" t="n"/>
      <c r="G33" s="801" t="n"/>
    </row>
    <row r="34" ht="31.5" customHeight="1" s="566">
      <c r="A34" s="804" t="inlineStr">
        <is>
          <t xml:space="preserve">3.3.8 </t>
        </is>
      </c>
      <c r="B34" s="806" t="inlineStr">
        <is>
          <t>AU.L2-3.3.8</t>
        </is>
      </c>
      <c r="C34" s="347" t="inlineStr">
        <is>
          <t xml:space="preserve">Protect audit information and audit logging tools from unauthorized access, modification, and deletion. </t>
        </is>
      </c>
      <c r="D34" s="807" t="n"/>
      <c r="E34" s="800" t="n"/>
      <c r="F34" s="800" t="n"/>
      <c r="G34" s="801" t="n"/>
    </row>
    <row r="35" ht="31.5" customHeight="1" s="566">
      <c r="A35" s="804" t="inlineStr">
        <is>
          <t xml:space="preserve">3.3.9 </t>
        </is>
      </c>
      <c r="B35" s="806" t="inlineStr">
        <is>
          <t>AU.L2-3.3.9</t>
        </is>
      </c>
      <c r="C35" s="347" t="inlineStr">
        <is>
          <t xml:space="preserve">Limit management of audit logging functionality to a subset of privileged users. </t>
        </is>
      </c>
      <c r="D35" s="807" t="n"/>
      <c r="E35" s="800" t="n"/>
      <c r="F35" s="800" t="n"/>
      <c r="G35" s="801" t="n"/>
    </row>
    <row r="36" ht="63" customHeight="1" s="566">
      <c r="A36" s="804" t="inlineStr">
        <is>
          <t xml:space="preserve">3.4.1 </t>
        </is>
      </c>
      <c r="B36" s="806" t="inlineStr">
        <is>
          <t>CM.L2-3.4.1</t>
        </is>
      </c>
      <c r="C36" s="347" t="inlineStr">
        <is>
          <t xml:space="preserve">Establish and maintain baseline configurations and inventories of organizational systems (including hardware, software, firmware, and documentation) throughout the respective system development life cycles. </t>
        </is>
      </c>
      <c r="D36" s="807" t="n"/>
      <c r="E36" s="800" t="n"/>
      <c r="F36" s="800" t="n"/>
      <c r="G36" s="801" t="n"/>
    </row>
    <row r="37" ht="31.5" customHeight="1" s="566">
      <c r="A37" s="804" t="inlineStr">
        <is>
          <t xml:space="preserve">3.4.2 </t>
        </is>
      </c>
      <c r="B37" s="806" t="inlineStr">
        <is>
          <t>CM.L2-3.4.2</t>
        </is>
      </c>
      <c r="C37" s="347" t="inlineStr">
        <is>
          <t xml:space="preserve">Establish and enforce security configuration settings for information technology products employed in organizational systems. </t>
        </is>
      </c>
      <c r="D37" s="807" t="n"/>
      <c r="E37" s="800" t="n"/>
      <c r="F37" s="800" t="n"/>
      <c r="G37" s="801" t="n"/>
    </row>
    <row r="38" ht="31.5" customHeight="1" s="566">
      <c r="A38" s="804" t="inlineStr">
        <is>
          <t xml:space="preserve">3.4.3 </t>
        </is>
      </c>
      <c r="B38" s="806" t="inlineStr">
        <is>
          <t>CM.L2-3.4.3</t>
        </is>
      </c>
      <c r="C38" s="347" t="inlineStr">
        <is>
          <t xml:space="preserve">Track, review, approve or disapprove, and log changes to organizational systems. </t>
        </is>
      </c>
      <c r="D38" s="807" t="n"/>
      <c r="E38" s="800" t="n"/>
      <c r="F38" s="800" t="n"/>
      <c r="G38" s="801" t="n"/>
    </row>
    <row r="39" ht="15.75" customHeight="1" s="566">
      <c r="A39" s="804" t="inlineStr">
        <is>
          <t xml:space="preserve">3.4.4 </t>
        </is>
      </c>
      <c r="B39" s="806" t="inlineStr">
        <is>
          <t>CM.L2-3.4.4</t>
        </is>
      </c>
      <c r="C39" s="347" t="inlineStr">
        <is>
          <t xml:space="preserve">Analyze the security impact of changes prior to implementation. </t>
        </is>
      </c>
      <c r="D39" s="807" t="n"/>
      <c r="E39" s="800" t="n"/>
      <c r="F39" s="800" t="n"/>
      <c r="G39" s="801" t="n"/>
    </row>
    <row r="40" ht="31.5" customHeight="1" s="566">
      <c r="A40" s="804" t="inlineStr">
        <is>
          <t xml:space="preserve">3.4.5 </t>
        </is>
      </c>
      <c r="B40" s="806" t="inlineStr">
        <is>
          <t>CM.L2-3.4.5</t>
        </is>
      </c>
      <c r="C40" s="347" t="inlineStr">
        <is>
          <t xml:space="preserve">Define, document, approve, and enforce physical and logical access restrictions associated with changes to organizational systems. </t>
        </is>
      </c>
      <c r="D40" s="807" t="n"/>
      <c r="E40" s="800" t="n"/>
      <c r="F40" s="800" t="n"/>
      <c r="G40" s="801" t="n"/>
    </row>
    <row r="41" ht="31.5" customHeight="1" s="566">
      <c r="A41" s="804" t="inlineStr">
        <is>
          <t xml:space="preserve">3.4.6 </t>
        </is>
      </c>
      <c r="B41" s="806" t="inlineStr">
        <is>
          <t>CM.L2-3.4.6</t>
        </is>
      </c>
      <c r="C41" s="347" t="inlineStr">
        <is>
          <t xml:space="preserve">Employ the principle of least functionality by configuring organizational systems to provide only essential capabilities. </t>
        </is>
      </c>
      <c r="D41" s="807" t="n"/>
      <c r="E41" s="800" t="n"/>
      <c r="F41" s="800" t="n"/>
      <c r="G41" s="801" t="n"/>
    </row>
    <row r="42" ht="31.5" customHeight="1" s="566">
      <c r="A42" s="804" t="inlineStr">
        <is>
          <t xml:space="preserve">3.4.7 </t>
        </is>
      </c>
      <c r="B42" s="806" t="inlineStr">
        <is>
          <t>CM.L2-3.4.7</t>
        </is>
      </c>
      <c r="C42" s="347" t="inlineStr">
        <is>
          <t xml:space="preserve">Restrict, disable, or prevent the use of nonessential programs, functions, ports, protocols, and services. </t>
        </is>
      </c>
      <c r="D42" s="807" t="n"/>
      <c r="E42" s="800" t="n"/>
      <c r="F42" s="800" t="n"/>
      <c r="G42" s="801" t="n"/>
    </row>
    <row r="43" ht="47.25" customHeight="1" s="566">
      <c r="A43" s="804" t="inlineStr">
        <is>
          <t xml:space="preserve">3.4.8 </t>
        </is>
      </c>
      <c r="B43" s="806" t="inlineStr">
        <is>
          <t>CM.L2-3.4.8</t>
        </is>
      </c>
      <c r="C43" s="347" t="inlineStr">
        <is>
          <t xml:space="preserve">Apply deny-by-exception (blacklisting) policy to prevent the use of unauthorized software or deny-all, permit-by-exception (whitelisting) policy to allow the execution of authorized software. </t>
        </is>
      </c>
      <c r="D43" s="807" t="n"/>
      <c r="E43" s="800" t="n"/>
      <c r="F43" s="800" t="n"/>
      <c r="G43" s="801" t="n"/>
    </row>
    <row r="44" ht="15.75" customHeight="1" s="566">
      <c r="A44" s="804" t="inlineStr">
        <is>
          <t xml:space="preserve">3.4.9 </t>
        </is>
      </c>
      <c r="B44" s="806" t="inlineStr">
        <is>
          <t>CM.L2-3.4.9</t>
        </is>
      </c>
      <c r="C44" s="347" t="inlineStr">
        <is>
          <t xml:space="preserve">Control and monitor user-installed software. </t>
        </is>
      </c>
      <c r="D44" s="807" t="n"/>
      <c r="E44" s="800" t="n"/>
      <c r="F44" s="800" t="n"/>
      <c r="G44" s="801" t="n"/>
    </row>
    <row r="45" ht="31.5" customHeight="1" s="566">
      <c r="A45" s="804" t="inlineStr">
        <is>
          <t xml:space="preserve">3.5.1* </t>
        </is>
      </c>
      <c r="B45" s="806" t="inlineStr">
        <is>
          <t>IA.L1-3.5.1</t>
        </is>
      </c>
      <c r="C45" s="347" t="inlineStr">
        <is>
          <t xml:space="preserve">Identify system users, processes acting on behalf of users, and devices. </t>
        </is>
      </c>
      <c r="D45" s="807" t="n"/>
      <c r="E45" s="800" t="n"/>
      <c r="F45" s="800" t="n"/>
      <c r="G45" s="801" t="n"/>
    </row>
    <row r="46" ht="47.25" customHeight="1" s="566">
      <c r="A46" s="804" t="inlineStr">
        <is>
          <t xml:space="preserve">3.5.2* </t>
        </is>
      </c>
      <c r="B46" s="806" t="inlineStr">
        <is>
          <t>IA.L1-3.5.2</t>
        </is>
      </c>
      <c r="C46" s="347" t="inlineStr">
        <is>
          <t xml:space="preserve">Authenticate (or verify) the identities of users, processes, or devices, as a prerequisite to allowing access to organizational systems. </t>
        </is>
      </c>
      <c r="D46" s="807" t="n"/>
      <c r="E46" s="800" t="n"/>
      <c r="F46" s="800" t="n"/>
      <c r="G46" s="801" t="n"/>
    </row>
    <row r="47" ht="47.25" customHeight="1" s="566">
      <c r="A47" s="804" t="inlineStr">
        <is>
          <t xml:space="preserve">3.5.3 </t>
        </is>
      </c>
      <c r="B47" s="806" t="inlineStr">
        <is>
          <t>IA.L2-3.5.3</t>
        </is>
      </c>
      <c r="C47" s="347" t="inlineStr">
        <is>
          <t xml:space="preserve">Use multifactor authentication (MFA) for local and network access to privileged accounts and for network access to non-privileged accounts. </t>
        </is>
      </c>
      <c r="D47" s="807" t="n"/>
      <c r="E47" s="800" t="n"/>
      <c r="F47" s="800" t="n"/>
      <c r="G47" s="801" t="n"/>
    </row>
    <row r="48" ht="31.5" customHeight="1" s="566">
      <c r="A48" s="804" t="inlineStr">
        <is>
          <t xml:space="preserve">3.5.4 </t>
        </is>
      </c>
      <c r="B48" s="806" t="inlineStr">
        <is>
          <t>IA.L2-3.5.4</t>
        </is>
      </c>
      <c r="C48" s="347" t="inlineStr">
        <is>
          <t>Employ replay-resistant authentication mechanisms for network access to privileged and non-privileged accounts.</t>
        </is>
      </c>
      <c r="D48" s="807" t="n"/>
      <c r="E48" s="800" t="n"/>
      <c r="F48" s="800" t="n"/>
      <c r="G48" s="801" t="n"/>
    </row>
    <row r="49" ht="15.75" customHeight="1" s="566">
      <c r="A49" s="804" t="inlineStr">
        <is>
          <t xml:space="preserve">3.5.5 </t>
        </is>
      </c>
      <c r="B49" s="806" t="inlineStr">
        <is>
          <t>IA.L2-3.5.5</t>
        </is>
      </c>
      <c r="C49" s="347" t="inlineStr">
        <is>
          <t xml:space="preserve">Prevent reuse of identifiers for a defined period. </t>
        </is>
      </c>
      <c r="D49" s="807" t="n"/>
      <c r="E49" s="800" t="n"/>
      <c r="F49" s="800" t="n"/>
      <c r="G49" s="801" t="n"/>
    </row>
    <row r="50" ht="15.75" customHeight="1" s="566">
      <c r="A50" s="804" t="inlineStr">
        <is>
          <t xml:space="preserve">3.5.6 </t>
        </is>
      </c>
      <c r="B50" s="806" t="inlineStr">
        <is>
          <t>IA.L2-3.5.6</t>
        </is>
      </c>
      <c r="C50" s="347" t="inlineStr">
        <is>
          <t xml:space="preserve">Disable identifiers after a defined period of inactivity. </t>
        </is>
      </c>
      <c r="D50" s="807" t="n"/>
      <c r="E50" s="800" t="n"/>
      <c r="F50" s="800" t="n"/>
      <c r="G50" s="801" t="n"/>
    </row>
    <row r="51" ht="31.5" customHeight="1" s="566">
      <c r="A51" s="804" t="inlineStr">
        <is>
          <t xml:space="preserve">3.5.7 </t>
        </is>
      </c>
      <c r="B51" s="806" t="inlineStr">
        <is>
          <t>IA.L2-3.5.7</t>
        </is>
      </c>
      <c r="C51" s="347" t="inlineStr">
        <is>
          <t xml:space="preserve">Enforce a minimum password complexity and change of characters when new passwords are created. </t>
        </is>
      </c>
      <c r="D51" s="807" t="n"/>
      <c r="E51" s="800" t="n"/>
      <c r="F51" s="800" t="n"/>
      <c r="G51" s="801" t="n"/>
    </row>
    <row r="52" ht="15.75" customHeight="1" s="566">
      <c r="A52" s="804" t="inlineStr">
        <is>
          <t xml:space="preserve">3.5.8 </t>
        </is>
      </c>
      <c r="B52" s="806" t="inlineStr">
        <is>
          <t>IA.L2-3.5.8</t>
        </is>
      </c>
      <c r="C52" s="347" t="inlineStr">
        <is>
          <t xml:space="preserve">Prohibit password reuse for a specified number of generations. </t>
        </is>
      </c>
      <c r="D52" s="807" t="n"/>
      <c r="E52" s="800" t="n"/>
      <c r="F52" s="800" t="n"/>
      <c r="G52" s="801" t="n"/>
    </row>
    <row r="53" ht="31.5" customHeight="1" s="566">
      <c r="A53" s="804" t="inlineStr">
        <is>
          <t xml:space="preserve">3.5.9 </t>
        </is>
      </c>
      <c r="B53" s="806" t="inlineStr">
        <is>
          <t>IA.L2-3.5.9</t>
        </is>
      </c>
      <c r="C53" s="347" t="inlineStr">
        <is>
          <t xml:space="preserve">Allow temporary password use for system logons with an immediate change to a permanent password. </t>
        </is>
      </c>
      <c r="D53" s="807" t="n"/>
      <c r="E53" s="800" t="n"/>
      <c r="F53" s="800" t="n"/>
      <c r="G53" s="801" t="n"/>
    </row>
    <row r="54" ht="15.75" customHeight="1" s="566">
      <c r="A54" s="804" t="inlineStr">
        <is>
          <t xml:space="preserve">3.5.10 </t>
        </is>
      </c>
      <c r="B54" s="806" t="inlineStr">
        <is>
          <t>IA.L2-3.5.10</t>
        </is>
      </c>
      <c r="C54" s="347" t="inlineStr">
        <is>
          <t xml:space="preserve">Store and transmit only cryptographically-protected passwords. </t>
        </is>
      </c>
      <c r="D54" s="807" t="n"/>
      <c r="E54" s="800" t="n"/>
      <c r="F54" s="800" t="n"/>
      <c r="G54" s="801" t="n"/>
    </row>
    <row r="55" ht="15.75" customHeight="1" s="566">
      <c r="A55" s="804" t="inlineStr">
        <is>
          <t xml:space="preserve">3.5.11 </t>
        </is>
      </c>
      <c r="B55" s="806" t="inlineStr">
        <is>
          <t>IA.L2-3.5.11</t>
        </is>
      </c>
      <c r="C55" s="347" t="inlineStr">
        <is>
          <t xml:space="preserve">Obscure feedback of authentication information. </t>
        </is>
      </c>
      <c r="D55" s="807" t="n"/>
      <c r="E55" s="800" t="n"/>
      <c r="F55" s="800" t="n"/>
      <c r="G55" s="801" t="n"/>
    </row>
    <row r="56" ht="47.25" customHeight="1" s="566">
      <c r="A56" s="804" t="inlineStr">
        <is>
          <t xml:space="preserve">3.6.1 </t>
        </is>
      </c>
      <c r="B56" s="806" t="inlineStr">
        <is>
          <t xml:space="preserve">IR.L2-3.6.1 </t>
        </is>
      </c>
      <c r="C56" s="347" t="inlineStr">
        <is>
          <t xml:space="preserve">Establish an operational incident-handling capability for organizational systems that includes preparation, detection, analysis, containment, recovery, and user response activities. </t>
        </is>
      </c>
      <c r="D56" s="807" t="n"/>
      <c r="E56" s="800" t="n"/>
      <c r="F56" s="800" t="n"/>
      <c r="G56" s="801" t="n"/>
    </row>
    <row r="57" ht="31.5" customHeight="1" s="566">
      <c r="A57" s="804" t="inlineStr">
        <is>
          <t xml:space="preserve">3.6.2 </t>
        </is>
      </c>
      <c r="B57" s="806" t="inlineStr">
        <is>
          <t>IR.L2-3.6.2</t>
        </is>
      </c>
      <c r="C57" s="347" t="inlineStr">
        <is>
          <t xml:space="preserve">Track, document, and report incidents to designated officials and/or authorities both internal and external to the organization. </t>
        </is>
      </c>
      <c r="D57" s="807" t="n"/>
      <c r="E57" s="800" t="n"/>
      <c r="F57" s="800" t="n"/>
      <c r="G57" s="801" t="n"/>
    </row>
    <row r="58" ht="15.75" customHeight="1" s="566">
      <c r="A58" s="804" t="inlineStr">
        <is>
          <t xml:space="preserve">3.6.3 </t>
        </is>
      </c>
      <c r="B58" s="806" t="inlineStr">
        <is>
          <t>IR.L2-3.6.3</t>
        </is>
      </c>
      <c r="C58" s="347" t="inlineStr">
        <is>
          <t xml:space="preserve">Test the organizational incident response capability. </t>
        </is>
      </c>
      <c r="D58" s="807" t="n"/>
      <c r="E58" s="800" t="n"/>
      <c r="F58" s="800" t="n"/>
      <c r="G58" s="801" t="n"/>
    </row>
    <row r="59" ht="15.75" customHeight="1" s="566">
      <c r="A59" s="804" t="inlineStr">
        <is>
          <t xml:space="preserve">3.7.1 </t>
        </is>
      </c>
      <c r="B59" s="806" t="inlineStr">
        <is>
          <t>MA.L2-3.7.1</t>
        </is>
      </c>
      <c r="C59" s="347" t="inlineStr">
        <is>
          <t xml:space="preserve">Perform maintenance on organizational systems. </t>
        </is>
      </c>
      <c r="D59" s="807" t="n"/>
      <c r="E59" s="800" t="n"/>
      <c r="F59" s="800" t="n"/>
      <c r="G59" s="801" t="n"/>
    </row>
    <row r="60" ht="31.5" customHeight="1" s="566">
      <c r="A60" s="804" t="inlineStr">
        <is>
          <t xml:space="preserve">3.7.2 </t>
        </is>
      </c>
      <c r="B60" s="806" t="inlineStr">
        <is>
          <t>MA.L2-3.7.2</t>
        </is>
      </c>
      <c r="C60" s="347" t="inlineStr">
        <is>
          <t xml:space="preserve">Provide controls on the tools, techniques, mechanisms, and personnel used to conduct system maintenance. </t>
        </is>
      </c>
      <c r="D60" s="807" t="n"/>
      <c r="E60" s="800" t="n"/>
      <c r="F60" s="800" t="n"/>
      <c r="G60" s="801" t="n"/>
    </row>
    <row r="61" ht="31.5" customHeight="1" s="566">
      <c r="A61" s="804" t="inlineStr">
        <is>
          <t xml:space="preserve">3.7.3 </t>
        </is>
      </c>
      <c r="B61" s="806" t="inlineStr">
        <is>
          <t>MA.L2-3.7.3</t>
        </is>
      </c>
      <c r="C61" s="347" t="inlineStr">
        <is>
          <t xml:space="preserve">Ensure equipment removed for off-site maintenance is sanitized of any CUI. </t>
        </is>
      </c>
      <c r="D61" s="807" t="n"/>
      <c r="E61" s="800" t="n"/>
      <c r="F61" s="800" t="n"/>
      <c r="G61" s="801" t="n"/>
    </row>
    <row r="62" ht="31.5" customHeight="1" s="566">
      <c r="A62" s="804" t="inlineStr">
        <is>
          <t xml:space="preserve">3.7.4 </t>
        </is>
      </c>
      <c r="B62" s="806" t="inlineStr">
        <is>
          <t>MA.L2-3.7.4</t>
        </is>
      </c>
      <c r="C62" s="347" t="inlineStr">
        <is>
          <t xml:space="preserve">Check media containing diagnostic and test programs for malicious code before the media are used in organizational systems. </t>
        </is>
      </c>
      <c r="D62" s="807" t="n"/>
      <c r="E62" s="800" t="n"/>
      <c r="F62" s="800" t="n"/>
      <c r="G62" s="801" t="n"/>
    </row>
    <row r="63" ht="63" customHeight="1" s="566">
      <c r="A63" s="804" t="inlineStr">
        <is>
          <t xml:space="preserve">3.7.5 </t>
        </is>
      </c>
      <c r="B63" s="806" t="inlineStr">
        <is>
          <t>MA.L2-3.7.5</t>
        </is>
      </c>
      <c r="C63" s="347" t="inlineStr">
        <is>
          <t xml:space="preserve">Require multifactor authentication to establish nonlocal maintenance sessions via external network connections and terminate such connections when nonlocal maintenance is complete. </t>
        </is>
      </c>
      <c r="D63" s="807" t="n"/>
      <c r="E63" s="800" t="n"/>
      <c r="F63" s="800" t="n"/>
      <c r="G63" s="801" t="n"/>
    </row>
    <row r="64" ht="31.5" customHeight="1" s="566">
      <c r="A64" s="804" t="inlineStr">
        <is>
          <t xml:space="preserve">3.7.6 </t>
        </is>
      </c>
      <c r="B64" s="806" t="inlineStr">
        <is>
          <t>MA.L2-3.7.6</t>
        </is>
      </c>
      <c r="C64" s="347" t="inlineStr">
        <is>
          <t xml:space="preserve">Supervise the maintenance activities of maintenance personnel without required access authorization. </t>
        </is>
      </c>
      <c r="D64" s="807" t="n"/>
      <c r="E64" s="800" t="n"/>
      <c r="F64" s="800" t="n"/>
      <c r="G64" s="801" t="n"/>
    </row>
    <row r="65" ht="31.5" customHeight="1" s="566">
      <c r="A65" s="804" t="inlineStr">
        <is>
          <t xml:space="preserve">3.8.1 </t>
        </is>
      </c>
      <c r="B65" s="806" t="inlineStr">
        <is>
          <t>MP.L2-3.8.1</t>
        </is>
      </c>
      <c r="C65" s="347" t="inlineStr">
        <is>
          <t xml:space="preserve">Protect (i.e., physically control and securely store) system media containing CUI, both paper and digital. </t>
        </is>
      </c>
      <c r="D65" s="807" t="n"/>
      <c r="E65" s="800" t="n"/>
      <c r="F65" s="800" t="n"/>
      <c r="G65" s="801" t="n"/>
    </row>
    <row r="66" ht="15.75" customHeight="1" s="566">
      <c r="A66" s="804" t="inlineStr">
        <is>
          <t xml:space="preserve">3.8.2 </t>
        </is>
      </c>
      <c r="B66" s="806" t="inlineStr">
        <is>
          <t>MP.L2-3.8.2</t>
        </is>
      </c>
      <c r="C66" s="347" t="inlineStr">
        <is>
          <t xml:space="preserve">Limit access to CUI on system media to authorized users. </t>
        </is>
      </c>
      <c r="D66" s="807" t="n"/>
      <c r="E66" s="800" t="n"/>
      <c r="F66" s="800" t="n"/>
      <c r="G66" s="801" t="n"/>
    </row>
    <row r="67" ht="31.5" customHeight="1" s="566">
      <c r="A67" s="804" t="inlineStr">
        <is>
          <t xml:space="preserve">3.8.3* </t>
        </is>
      </c>
      <c r="B67" s="806" t="inlineStr">
        <is>
          <t>MP.L1-3.8.3</t>
        </is>
      </c>
      <c r="C67" s="347" t="inlineStr">
        <is>
          <t xml:space="preserve">Sanitize or destroy system media containing CUI before disposal or release for reuse. </t>
        </is>
      </c>
      <c r="D67" s="807" t="n"/>
      <c r="E67" s="800" t="n"/>
      <c r="F67" s="800" t="n"/>
      <c r="G67" s="801" t="n"/>
    </row>
    <row r="68" ht="31.5" customHeight="1" s="566">
      <c r="A68" s="804" t="inlineStr">
        <is>
          <t xml:space="preserve">3.8.4 </t>
        </is>
      </c>
      <c r="B68" s="806" t="inlineStr">
        <is>
          <t>MP.L2-3.8.4</t>
        </is>
      </c>
      <c r="C68" s="347" t="inlineStr">
        <is>
          <t xml:space="preserve">Mark media with necessary CUI markings and distribution limitations. </t>
        </is>
      </c>
      <c r="D68" s="807" t="n"/>
      <c r="E68" s="800" t="n"/>
      <c r="F68" s="800" t="n"/>
      <c r="G68" s="801" t="n"/>
    </row>
    <row r="69" ht="31.5" customHeight="1" s="566">
      <c r="A69" s="804" t="inlineStr">
        <is>
          <t xml:space="preserve">3.8.5 </t>
        </is>
      </c>
      <c r="B69" s="806" t="inlineStr">
        <is>
          <t>MP.L2-3.8.5</t>
        </is>
      </c>
      <c r="C69" s="347" t="inlineStr">
        <is>
          <t>Control access to media containing CUI and maintain accountability for media during transport outside of controlled areas.</t>
        </is>
      </c>
      <c r="D69" s="807" t="n"/>
      <c r="E69" s="800" t="n"/>
      <c r="F69" s="800" t="n"/>
      <c r="G69" s="801" t="n"/>
    </row>
    <row r="70" ht="47.25" customHeight="1" s="566">
      <c r="A70" s="804" t="inlineStr">
        <is>
          <t xml:space="preserve">3.8.6 </t>
        </is>
      </c>
      <c r="B70" s="806" t="inlineStr">
        <is>
          <t>MP.L2-3.8.6</t>
        </is>
      </c>
      <c r="C70" s="347" t="inlineStr">
        <is>
          <t xml:space="preserve">Implement cryptographic mechanisms to protect the confidentiality of CUI stored on digital media during transport unless otherwise protected by alternative physical safeguards. </t>
        </is>
      </c>
      <c r="D70" s="807" t="n"/>
      <c r="E70" s="800" t="n"/>
      <c r="F70" s="800" t="n"/>
      <c r="G70" s="801" t="n"/>
    </row>
    <row r="71" ht="15.75" customHeight="1" s="566">
      <c r="A71" s="804" t="inlineStr">
        <is>
          <t xml:space="preserve">3.8.7 </t>
        </is>
      </c>
      <c r="B71" s="806" t="inlineStr">
        <is>
          <t>MP.L2-3.8.7</t>
        </is>
      </c>
      <c r="C71" s="347" t="inlineStr">
        <is>
          <t xml:space="preserve">Control the use of removable media on system components. </t>
        </is>
      </c>
      <c r="D71" s="807" t="n"/>
      <c r="E71" s="800" t="n"/>
      <c r="F71" s="800" t="n"/>
      <c r="G71" s="801" t="n"/>
    </row>
    <row r="72" ht="31.5" customHeight="1" s="566">
      <c r="A72" s="804" t="inlineStr">
        <is>
          <t xml:space="preserve">3.8.8 </t>
        </is>
      </c>
      <c r="B72" s="806" t="inlineStr">
        <is>
          <t>MP.L2-3.8.8</t>
        </is>
      </c>
      <c r="C72" s="347" t="inlineStr">
        <is>
          <t xml:space="preserve">Prohibit the use of portable storage devices when such devices have no identifiable owner. </t>
        </is>
      </c>
      <c r="D72" s="807" t="n"/>
      <c r="E72" s="800" t="n"/>
      <c r="F72" s="800" t="n"/>
      <c r="G72" s="801" t="n"/>
    </row>
    <row r="73" ht="15.75" customHeight="1" s="566">
      <c r="A73" s="804" t="inlineStr">
        <is>
          <t xml:space="preserve">3.8.9 </t>
        </is>
      </c>
      <c r="B73" s="806" t="inlineStr">
        <is>
          <t>MP.L2-3.8.9</t>
        </is>
      </c>
      <c r="C73" s="347" t="inlineStr">
        <is>
          <t xml:space="preserve">Protect the confidentiality of backup CUI at storage locations. </t>
        </is>
      </c>
      <c r="D73" s="807" t="n"/>
      <c r="E73" s="800" t="n"/>
      <c r="F73" s="800" t="n"/>
      <c r="G73" s="801" t="n"/>
    </row>
    <row r="74" ht="31.5" customHeight="1" s="566">
      <c r="A74" s="804" t="inlineStr">
        <is>
          <t xml:space="preserve">3.9.1 </t>
        </is>
      </c>
      <c r="B74" s="806" t="inlineStr">
        <is>
          <t>PS.L2-3.9.1</t>
        </is>
      </c>
      <c r="C74" s="347" t="inlineStr">
        <is>
          <t xml:space="preserve">Screen individuals prior to authorizing access to organizational systems containing CUI. </t>
        </is>
      </c>
      <c r="D74" s="807" t="n"/>
      <c r="E74" s="800" t="n"/>
      <c r="F74" s="800" t="n"/>
      <c r="G74" s="801" t="n"/>
    </row>
    <row r="75" ht="47.25" customHeight="1" s="566">
      <c r="A75" s="804" t="inlineStr">
        <is>
          <t xml:space="preserve">3.9.2 </t>
        </is>
      </c>
      <c r="B75" s="806" t="inlineStr">
        <is>
          <t>PS.L2-3.9.2</t>
        </is>
      </c>
      <c r="C75" s="347" t="inlineStr">
        <is>
          <t xml:space="preserve">Ensure that organizational systems containing CUI are protected during and after personnel actions such as terminations and transfers. </t>
        </is>
      </c>
      <c r="D75" s="807" t="n"/>
      <c r="E75" s="800" t="n"/>
      <c r="F75" s="800" t="n"/>
      <c r="G75" s="801" t="n"/>
    </row>
    <row r="76" ht="31.5" customHeight="1" s="566">
      <c r="A76" s="804" t="inlineStr">
        <is>
          <t xml:space="preserve">3.10.1* </t>
        </is>
      </c>
      <c r="B76" s="806" t="inlineStr">
        <is>
          <t>PE.L1-3.10.1</t>
        </is>
      </c>
      <c r="C76" s="347" t="inlineStr">
        <is>
          <t xml:space="preserve">Limit physical access to organizational systems, equipment, and the respective operating environments to authorized individuals. </t>
        </is>
      </c>
      <c r="D76" s="807" t="n"/>
      <c r="E76" s="800" t="n"/>
      <c r="F76" s="800" t="n"/>
      <c r="G76" s="801" t="n"/>
    </row>
    <row r="77" ht="31.5" customHeight="1" s="566">
      <c r="A77" s="804" t="inlineStr">
        <is>
          <t xml:space="preserve">3.10.2 </t>
        </is>
      </c>
      <c r="B77" s="806" t="inlineStr">
        <is>
          <t>PE.L2-3.10.2</t>
        </is>
      </c>
      <c r="C77" s="347" t="inlineStr">
        <is>
          <t xml:space="preserve">Protect and monitor the physical facility and support infrastructure for organizational systems. </t>
        </is>
      </c>
      <c r="D77" s="807" t="n"/>
      <c r="E77" s="800" t="n"/>
      <c r="F77" s="800" t="n"/>
      <c r="G77" s="801" t="n"/>
    </row>
    <row r="78" ht="15.75" customHeight="1" s="566">
      <c r="A78" s="804" t="inlineStr">
        <is>
          <t xml:space="preserve">3.10.3* </t>
        </is>
      </c>
      <c r="B78" s="806" t="inlineStr">
        <is>
          <t>PE.L1-3.10.3</t>
        </is>
      </c>
      <c r="C78" s="347" t="inlineStr">
        <is>
          <t xml:space="preserve">Escort visitors and monitor visitor activity. </t>
        </is>
      </c>
      <c r="D78" s="807" t="n"/>
      <c r="E78" s="800" t="n"/>
      <c r="F78" s="800" t="n"/>
      <c r="G78" s="801" t="n"/>
    </row>
    <row r="79" ht="15.75" customHeight="1" s="566">
      <c r="A79" s="804" t="inlineStr">
        <is>
          <t xml:space="preserve">3.10.4* </t>
        </is>
      </c>
      <c r="B79" s="806" t="inlineStr">
        <is>
          <t>PE.L1-3.10.4</t>
        </is>
      </c>
      <c r="C79" s="347" t="inlineStr">
        <is>
          <t xml:space="preserve">Maintain audit logs of physical access. </t>
        </is>
      </c>
      <c r="D79" s="807" t="n"/>
      <c r="E79" s="800" t="n"/>
      <c r="F79" s="800" t="n"/>
      <c r="G79" s="801" t="n"/>
    </row>
    <row r="80" ht="15.75" customHeight="1" s="566">
      <c r="A80" s="804" t="inlineStr">
        <is>
          <t xml:space="preserve">3.10.5* </t>
        </is>
      </c>
      <c r="B80" s="806" t="inlineStr">
        <is>
          <t>PE.L1-3.10.5</t>
        </is>
      </c>
      <c r="C80" s="347" t="inlineStr">
        <is>
          <t xml:space="preserve">Control and manage physical access devices. </t>
        </is>
      </c>
      <c r="D80" s="807" t="n"/>
      <c r="E80" s="800" t="n"/>
      <c r="F80" s="800" t="n"/>
      <c r="G80" s="801" t="n"/>
    </row>
    <row r="81" ht="15.75" customHeight="1" s="566">
      <c r="A81" s="804" t="inlineStr">
        <is>
          <t xml:space="preserve">3.10.6 </t>
        </is>
      </c>
      <c r="B81" s="806" t="inlineStr">
        <is>
          <t>PE.L2-3.10.6</t>
        </is>
      </c>
      <c r="C81" s="347" t="inlineStr">
        <is>
          <t xml:space="preserve">Enforce safeguarding measures for CUI at alternate work sites. </t>
        </is>
      </c>
      <c r="D81" s="807" t="n"/>
      <c r="E81" s="800" t="n"/>
      <c r="F81" s="800" t="n"/>
      <c r="G81" s="801" t="n"/>
    </row>
    <row r="82" ht="63" customHeight="1" s="566">
      <c r="A82" s="804" t="inlineStr">
        <is>
          <t xml:space="preserve">3.11.1 </t>
        </is>
      </c>
      <c r="B82" s="806" t="inlineStr">
        <is>
          <t>RA.L2-3.11.1</t>
        </is>
      </c>
      <c r="C82" s="347" t="inlineStr">
        <is>
          <t xml:space="preserve">Periodically assess the risk to organizational operations (including mission, functions, image, or reputation), organizational assets, and individuals, resulting from the operation of organizational systems and the associated processing, storage, or transmission of CUI. </t>
        </is>
      </c>
      <c r="D82" s="807" t="n"/>
      <c r="E82" s="800" t="n"/>
      <c r="F82" s="800" t="n"/>
      <c r="G82" s="801" t="n"/>
    </row>
    <row r="83" ht="47.25" customHeight="1" s="566">
      <c r="A83" s="804" t="inlineStr">
        <is>
          <t xml:space="preserve">3.11.2 </t>
        </is>
      </c>
      <c r="B83" s="806" t="inlineStr">
        <is>
          <t>RA.L2-3.11.2</t>
        </is>
      </c>
      <c r="C83" s="347" t="inlineStr">
        <is>
          <t xml:space="preserve">Scan for vulnerabilities in organizational systems and applications periodically and when new vulnerabilities affecting those systems and applications are identified. </t>
        </is>
      </c>
      <c r="D83" s="807" t="n"/>
      <c r="E83" s="800" t="n"/>
      <c r="F83" s="800" t="n"/>
      <c r="G83" s="801" t="n"/>
    </row>
    <row r="84" ht="15.75" customHeight="1" s="566">
      <c r="A84" s="804" t="inlineStr">
        <is>
          <t xml:space="preserve">3.11.3 </t>
        </is>
      </c>
      <c r="B84" s="806" t="inlineStr">
        <is>
          <t>RA.L2-3.11.3</t>
        </is>
      </c>
      <c r="C84" s="347" t="inlineStr">
        <is>
          <t xml:space="preserve">Remediate vulnerabilities in accordance with risk assessments. </t>
        </is>
      </c>
      <c r="D84" s="807" t="n"/>
      <c r="E84" s="800" t="n"/>
      <c r="F84" s="800" t="n"/>
      <c r="G84" s="801" t="n"/>
    </row>
    <row r="85" ht="31.5" customHeight="1" s="566">
      <c r="A85" s="804" t="inlineStr">
        <is>
          <t xml:space="preserve">3.12.1 </t>
        </is>
      </c>
      <c r="B85" s="806" t="inlineStr">
        <is>
          <t>CA.L2-3.12.1</t>
        </is>
      </c>
      <c r="C85" s="347" t="inlineStr">
        <is>
          <t xml:space="preserve">Periodically assess the security controls in organizational systems to determine if the controls are effective in their application. </t>
        </is>
      </c>
      <c r="D85" s="807" t="n"/>
      <c r="E85" s="800" t="n"/>
      <c r="F85" s="800" t="n"/>
      <c r="G85" s="801" t="n"/>
    </row>
    <row r="86" ht="47.25" customHeight="1" s="566">
      <c r="A86" s="804" t="inlineStr">
        <is>
          <t xml:space="preserve">3.12.2 </t>
        </is>
      </c>
      <c r="B86" s="806" t="inlineStr">
        <is>
          <t>CA.L2-3.12.2</t>
        </is>
      </c>
      <c r="C86" s="347" t="inlineStr">
        <is>
          <t xml:space="preserve">Develop and implement plans of action designed to correct deficiencies and reduce or eliminate vulnerabilities in organizational systems. </t>
        </is>
      </c>
      <c r="D86" s="807" t="n"/>
      <c r="E86" s="800" t="n"/>
      <c r="F86" s="800" t="n"/>
      <c r="G86" s="801" t="n"/>
    </row>
    <row r="87" ht="31.5" customHeight="1" s="566">
      <c r="A87" s="804" t="inlineStr">
        <is>
          <t xml:space="preserve">3.12.3 </t>
        </is>
      </c>
      <c r="B87" s="806" t="inlineStr">
        <is>
          <t>CA.L2-3.12.3</t>
        </is>
      </c>
      <c r="C87" s="347" t="inlineStr">
        <is>
          <t xml:space="preserve">Monitor security controls on an ongoing basis to ensure the continued effectiveness of the controls. </t>
        </is>
      </c>
      <c r="D87" s="807" t="n"/>
      <c r="E87" s="800" t="n"/>
      <c r="F87" s="800" t="n"/>
      <c r="G87" s="801" t="n"/>
    </row>
    <row r="88" ht="63" customHeight="1" s="566">
      <c r="A88" s="804" t="inlineStr">
        <is>
          <t xml:space="preserve">3.12.4 </t>
        </is>
      </c>
      <c r="B88" s="806" t="inlineStr">
        <is>
          <t>CA.L2-3.12.4</t>
        </is>
      </c>
      <c r="C88" s="347" t="inlineStr">
        <is>
          <t xml:space="preserve">Develop, document, and periodically update system security plans that describe system boundaries, system environments of operation, how security requirements are implemented, and the relationships with or connections to other systems. </t>
        </is>
      </c>
      <c r="D88" s="807" t="n"/>
      <c r="E88" s="800" t="n"/>
      <c r="F88" s="800" t="n"/>
      <c r="G88" s="801" t="n"/>
    </row>
    <row r="89" ht="47.25" customHeight="1" s="566">
      <c r="A89" s="804" t="inlineStr">
        <is>
          <t xml:space="preserve">3.13.1* </t>
        </is>
      </c>
      <c r="B89" s="806" t="inlineStr">
        <is>
          <t>SC.L1-3.13.1</t>
        </is>
      </c>
      <c r="C89" s="347" t="inlineStr">
        <is>
          <t xml:space="preserve">Monitor, control, and protect communications (i.e., information transmitted or received by organizational systems) at the external boundaries and key internal boundaries of organizational systems. </t>
        </is>
      </c>
      <c r="D89" s="807" t="n"/>
      <c r="E89" s="800" t="n"/>
      <c r="F89" s="800" t="n"/>
      <c r="G89" s="801" t="n"/>
    </row>
    <row r="90" ht="47.25" customHeight="1" s="566">
      <c r="A90" s="804" t="inlineStr">
        <is>
          <t xml:space="preserve">3.13.2 </t>
        </is>
      </c>
      <c r="B90" s="806" t="inlineStr">
        <is>
          <t>SC.L2-3.13.2</t>
        </is>
      </c>
      <c r="C90" s="347" t="inlineStr">
        <is>
          <t xml:space="preserve">Employ architectural designs, software development techniques, and systems engineering principles that promote effective information security within organizational systems. </t>
        </is>
      </c>
      <c r="D90" s="807" t="n"/>
      <c r="E90" s="800" t="n"/>
      <c r="F90" s="800" t="n"/>
      <c r="G90" s="801" t="n"/>
    </row>
    <row r="91" ht="15.75" customHeight="1" s="566">
      <c r="A91" s="804" t="inlineStr">
        <is>
          <t xml:space="preserve">3.13.3 </t>
        </is>
      </c>
      <c r="B91" s="806" t="inlineStr">
        <is>
          <t>SC.L2-3.13.3</t>
        </is>
      </c>
      <c r="C91" s="347" t="inlineStr">
        <is>
          <t xml:space="preserve">Separate user functionality from system management functionality. </t>
        </is>
      </c>
      <c r="D91" s="807" t="n"/>
      <c r="E91" s="800" t="n"/>
      <c r="F91" s="800" t="n"/>
      <c r="G91" s="801" t="n"/>
    </row>
    <row r="92" ht="31.5" customHeight="1" s="566">
      <c r="A92" s="804" t="inlineStr">
        <is>
          <t xml:space="preserve">3.13.4 </t>
        </is>
      </c>
      <c r="B92" s="806" t="inlineStr">
        <is>
          <t>SC.L2-3.13.4</t>
        </is>
      </c>
      <c r="C92" s="347" t="inlineStr">
        <is>
          <t xml:space="preserve">Prevent unauthorized and unintended information transfer via shared system resources. </t>
        </is>
      </c>
      <c r="D92" s="807" t="n"/>
      <c r="E92" s="800" t="n"/>
      <c r="F92" s="800" t="n"/>
      <c r="G92" s="801" t="n"/>
    </row>
    <row r="93" ht="31.5" customHeight="1" s="566">
      <c r="A93" s="804" t="inlineStr">
        <is>
          <t xml:space="preserve">3.13.5* </t>
        </is>
      </c>
      <c r="B93" s="806" t="inlineStr">
        <is>
          <t>SC.L1-3.13.5</t>
        </is>
      </c>
      <c r="C93" s="347" t="inlineStr">
        <is>
          <t xml:space="preserve">Implement subnetworks for publicly accessible system components that are physically or logically separated from internal networks. </t>
        </is>
      </c>
      <c r="D93" s="807" t="n"/>
      <c r="E93" s="800" t="n"/>
      <c r="F93" s="800" t="n"/>
      <c r="G93" s="801" t="n"/>
    </row>
    <row r="94" ht="47.25" customHeight="1" s="566">
      <c r="A94" s="804" t="inlineStr">
        <is>
          <t xml:space="preserve">3.13.6 </t>
        </is>
      </c>
      <c r="B94" s="806" t="inlineStr">
        <is>
          <t>SC.L2-3.13.6</t>
        </is>
      </c>
      <c r="C94" s="347" t="inlineStr">
        <is>
          <t xml:space="preserve">Deny network communications traffic by default and allow network communications traffic by exception (i.e., deny all, permit by exception). </t>
        </is>
      </c>
      <c r="D94" s="807" t="n"/>
      <c r="E94" s="800" t="n"/>
      <c r="F94" s="800" t="n"/>
      <c r="G94" s="801" t="n"/>
    </row>
    <row r="95" ht="63" customHeight="1" s="566">
      <c r="A95" s="804" t="inlineStr">
        <is>
          <t xml:space="preserve">3.13.7 </t>
        </is>
      </c>
      <c r="B95" s="806" t="inlineStr">
        <is>
          <t>SC.L2-3.13.7</t>
        </is>
      </c>
      <c r="C95" s="347" t="inlineStr">
        <is>
          <t xml:space="preserve">Prevent remote devices from simultaneously establishing non-remote connections with organizational systems and communicating via some other connection to resources in external networks (i.e., split tunneling). </t>
        </is>
      </c>
      <c r="D95" s="807" t="n"/>
      <c r="E95" s="800" t="n"/>
      <c r="F95" s="800" t="n"/>
      <c r="G95" s="801" t="n"/>
    </row>
    <row r="96" ht="47.25" customHeight="1" s="566">
      <c r="A96" s="804" t="inlineStr">
        <is>
          <t xml:space="preserve">3.13.8 </t>
        </is>
      </c>
      <c r="B96" s="806" t="inlineStr">
        <is>
          <t>SC.L2-3.13.8</t>
        </is>
      </c>
      <c r="C96" s="347" t="inlineStr">
        <is>
          <t xml:space="preserve">Implement cryptographic mechanisms to prevent unauthorized disclosure of CUI during transmission unless otherwise protected by alternative physical safeguards. </t>
        </is>
      </c>
      <c r="D96" s="807" t="n"/>
      <c r="E96" s="800" t="n"/>
      <c r="F96" s="800" t="n"/>
      <c r="G96" s="801" t="n"/>
    </row>
    <row r="97" ht="31.5" customHeight="1" s="566">
      <c r="A97" s="804" t="inlineStr">
        <is>
          <t xml:space="preserve">3.13.9 </t>
        </is>
      </c>
      <c r="B97" s="806" t="inlineStr">
        <is>
          <t>SC.L2-3.13.9</t>
        </is>
      </c>
      <c r="C97" s="347" t="inlineStr">
        <is>
          <t>Terminate network connections associated with communications sessions at the end of the sessions or after</t>
        </is>
      </c>
      <c r="D97" s="807" t="n"/>
      <c r="E97" s="800" t="n"/>
      <c r="F97" s="800" t="n"/>
      <c r="G97" s="801" t="n"/>
    </row>
    <row r="98" ht="15.75" customHeight="1" s="566">
      <c r="A98" s="891" t="n"/>
      <c r="B98" s="894" t="n"/>
      <c r="C98" s="347" t="inlineStr">
        <is>
          <t xml:space="preserve">a defined period of inactivity. </t>
        </is>
      </c>
      <c r="D98" s="894" t="n"/>
      <c r="E98" s="894" t="n"/>
      <c r="F98" s="894" t="n"/>
      <c r="G98" s="903" t="n"/>
    </row>
    <row r="99" ht="31.5" customHeight="1" s="566">
      <c r="A99" s="804" t="inlineStr">
        <is>
          <t xml:space="preserve">3.13.10 </t>
        </is>
      </c>
      <c r="B99" s="806" t="inlineStr">
        <is>
          <t>SC.L2-3.13.10</t>
        </is>
      </c>
      <c r="C99" s="347" t="inlineStr">
        <is>
          <t xml:space="preserve">Establish and manage cryptographic keys for cryptography employed in organizational systems. </t>
        </is>
      </c>
      <c r="D99" s="807" t="n"/>
      <c r="E99" s="800" t="n"/>
      <c r="F99" s="800" t="n"/>
      <c r="G99" s="801" t="n"/>
    </row>
    <row r="100" ht="31.5" customHeight="1" s="566">
      <c r="A100" s="804" t="inlineStr">
        <is>
          <t xml:space="preserve">3.13.11 </t>
        </is>
      </c>
      <c r="B100" s="806" t="inlineStr">
        <is>
          <t>SC.L2-3.13.11</t>
        </is>
      </c>
      <c r="C100" s="347" t="inlineStr">
        <is>
          <t xml:space="preserve">Employ FIPS-validated cryptography when used to protect the confidentiality of CUI. </t>
        </is>
      </c>
      <c r="D100" s="807" t="n"/>
      <c r="E100" s="800" t="n"/>
      <c r="F100" s="800" t="n"/>
      <c r="G100" s="801" t="n"/>
    </row>
    <row r="101" ht="31.5" customHeight="1" s="566">
      <c r="A101" s="804" t="inlineStr">
        <is>
          <t xml:space="preserve">3.13.12 </t>
        </is>
      </c>
      <c r="B101" s="806" t="inlineStr">
        <is>
          <t>SC.L2-3.13.12</t>
        </is>
      </c>
      <c r="C101" s="347" t="inlineStr">
        <is>
          <t xml:space="preserve">Prohibit remote activation of collaborative computing devices and provide indication of devices in use to users present at the device. </t>
        </is>
      </c>
      <c r="D101" s="807" t="n"/>
      <c r="E101" s="800" t="n"/>
      <c r="F101" s="800" t="n"/>
      <c r="G101" s="801" t="n"/>
    </row>
    <row r="102" ht="15.75" customHeight="1" s="566">
      <c r="A102" s="804" t="inlineStr">
        <is>
          <t xml:space="preserve">3.13.13 </t>
        </is>
      </c>
      <c r="B102" s="806" t="inlineStr">
        <is>
          <t>SC.L2-3.13.13</t>
        </is>
      </c>
      <c r="C102" s="347" t="inlineStr">
        <is>
          <t xml:space="preserve">Control and monitor the use of mobile code. </t>
        </is>
      </c>
      <c r="D102" s="807" t="n"/>
      <c r="E102" s="800" t="n"/>
      <c r="F102" s="800" t="n"/>
      <c r="G102" s="801" t="n"/>
    </row>
    <row r="103" ht="31.5" customHeight="1" s="566">
      <c r="A103" s="804" t="inlineStr">
        <is>
          <t xml:space="preserve">3.13.14 </t>
        </is>
      </c>
      <c r="B103" s="806" t="inlineStr">
        <is>
          <t>SC.L2-3.13.14</t>
        </is>
      </c>
      <c r="C103" s="347" t="inlineStr">
        <is>
          <t xml:space="preserve">Control and monitor the use of Voice over Internet Protocol (VoIP) technologies. </t>
        </is>
      </c>
      <c r="D103" s="807" t="n"/>
      <c r="E103" s="800" t="n"/>
      <c r="F103" s="800" t="n"/>
      <c r="G103" s="801" t="n"/>
    </row>
    <row r="104" ht="15.75" customHeight="1" s="566">
      <c r="A104" s="804" t="inlineStr">
        <is>
          <t xml:space="preserve">3.13.15 </t>
        </is>
      </c>
      <c r="B104" s="806" t="inlineStr">
        <is>
          <t>SC.L2-3.13.15</t>
        </is>
      </c>
      <c r="C104" s="347" t="inlineStr">
        <is>
          <t xml:space="preserve">Protect the authenticity of communications sessions. </t>
        </is>
      </c>
      <c r="D104" s="807" t="n"/>
      <c r="E104" s="800" t="n"/>
      <c r="F104" s="800" t="n"/>
      <c r="G104" s="801" t="n"/>
    </row>
    <row r="105" ht="15.75" customHeight="1" s="566">
      <c r="A105" s="804" t="inlineStr">
        <is>
          <t xml:space="preserve">3.13.16 </t>
        </is>
      </c>
      <c r="B105" s="806" t="inlineStr">
        <is>
          <t>SC.L2-3.13.16</t>
        </is>
      </c>
      <c r="C105" s="347" t="inlineStr">
        <is>
          <t xml:space="preserve">Protect the confidentiality of CUI at rest. </t>
        </is>
      </c>
      <c r="D105" s="807" t="n"/>
      <c r="E105" s="800" t="n"/>
      <c r="F105" s="800" t="n"/>
      <c r="G105" s="801" t="n"/>
    </row>
    <row r="106" ht="15.75" customHeight="1" s="566">
      <c r="A106" s="804" t="inlineStr">
        <is>
          <t xml:space="preserve">3.14.1* </t>
        </is>
      </c>
      <c r="B106" s="806" t="inlineStr">
        <is>
          <t>SI.L1-3.14.1</t>
        </is>
      </c>
      <c r="C106" s="347" t="inlineStr">
        <is>
          <t xml:space="preserve">Identify, report, and correct system flaws in a timely manner. </t>
        </is>
      </c>
      <c r="D106" s="807" t="n"/>
      <c r="E106" s="800" t="n"/>
      <c r="F106" s="800" t="n"/>
      <c r="G106" s="801" t="n"/>
    </row>
    <row r="107" ht="31.5" customHeight="1" s="566">
      <c r="A107" s="804" t="inlineStr">
        <is>
          <t xml:space="preserve">3.14.2* </t>
        </is>
      </c>
      <c r="B107" s="806" t="inlineStr">
        <is>
          <t>SI.L1-3.14.2</t>
        </is>
      </c>
      <c r="C107" s="347" t="inlineStr">
        <is>
          <t xml:space="preserve">Provide protection from malicious code at designated locations within organizational systems. </t>
        </is>
      </c>
      <c r="D107" s="807" t="n"/>
      <c r="E107" s="800" t="n"/>
      <c r="F107" s="800" t="n"/>
      <c r="G107" s="801" t="n"/>
    </row>
    <row r="108" ht="31.5" customHeight="1" s="566">
      <c r="A108" s="804" t="inlineStr">
        <is>
          <t xml:space="preserve">3.14.3 </t>
        </is>
      </c>
      <c r="B108" s="806" t="inlineStr">
        <is>
          <t>SI.L2-3.14.3</t>
        </is>
      </c>
      <c r="C108" s="347" t="inlineStr">
        <is>
          <t xml:space="preserve">Monitor system security alerts and advisories and take action in response. </t>
        </is>
      </c>
      <c r="D108" s="807" t="n"/>
      <c r="E108" s="800" t="n"/>
      <c r="F108" s="800" t="n"/>
      <c r="G108" s="801" t="n"/>
    </row>
    <row r="109" ht="31.5" customHeight="1" s="566">
      <c r="A109" s="804" t="inlineStr">
        <is>
          <t xml:space="preserve">3.14.4* </t>
        </is>
      </c>
      <c r="B109" s="806" t="inlineStr">
        <is>
          <t>SI.L1-3.14.4</t>
        </is>
      </c>
      <c r="C109" s="347" t="inlineStr">
        <is>
          <t xml:space="preserve">Update malicious code protection mechanisms when new releases are available. </t>
        </is>
      </c>
      <c r="D109" s="807" t="n"/>
      <c r="E109" s="800" t="n"/>
      <c r="F109" s="800" t="n"/>
      <c r="G109" s="801" t="n"/>
    </row>
    <row r="110" ht="47.25" customHeight="1" s="566">
      <c r="A110" s="804" t="inlineStr">
        <is>
          <t xml:space="preserve">3.14.5* </t>
        </is>
      </c>
      <c r="B110" s="806" t="inlineStr">
        <is>
          <t>SI.L1-3.14.5</t>
        </is>
      </c>
      <c r="C110" s="347" t="inlineStr">
        <is>
          <t xml:space="preserve">Perform periodic scans of organizational systems and real-time scans of files from external sources as files are downloaded, opened, or executed. </t>
        </is>
      </c>
      <c r="D110" s="807" t="n"/>
      <c r="E110" s="800" t="n"/>
      <c r="F110" s="800" t="n"/>
      <c r="G110" s="801" t="n"/>
    </row>
    <row r="111" ht="47.25" customHeight="1" s="566">
      <c r="A111" s="804" t="inlineStr">
        <is>
          <t xml:space="preserve">3.14.6 </t>
        </is>
      </c>
      <c r="B111" s="806" t="inlineStr">
        <is>
          <t>SI.L2-3.14.6</t>
        </is>
      </c>
      <c r="C111" s="347" t="inlineStr">
        <is>
          <t xml:space="preserve">Monitor organizational systems, including inbound and outbound communications traffic, to detect attacks and indicators of potential attacks. </t>
        </is>
      </c>
      <c r="D111" s="807" t="n"/>
      <c r="E111" s="800" t="n"/>
      <c r="F111" s="800" t="n"/>
      <c r="G111" s="801" t="n"/>
    </row>
    <row r="112" ht="16.5" customHeight="1" s="566">
      <c r="A112" s="352" t="inlineStr">
        <is>
          <t xml:space="preserve">3.14.7 </t>
        </is>
      </c>
      <c r="B112" s="353" t="inlineStr">
        <is>
          <t>SI.L2-3.14.7</t>
        </is>
      </c>
      <c r="C112" s="354" t="inlineStr">
        <is>
          <t xml:space="preserve">Identify unauthorized use of organizational systems </t>
        </is>
      </c>
      <c r="D112" s="355" t="n"/>
      <c r="E112" s="356" t="n"/>
      <c r="F112" s="356" t="n"/>
      <c r="G112" s="357" t="n"/>
    </row>
  </sheetData>
  <mergeCells count="7">
    <mergeCell ref="A1:B1"/>
    <mergeCell ref="A97:A98"/>
    <mergeCell ref="D97:D98"/>
    <mergeCell ref="B97:B98"/>
    <mergeCell ref="G97:G98"/>
    <mergeCell ref="E97:E98"/>
    <mergeCell ref="F97:F98"/>
  </mergeCells>
  <pageMargins left="0.7" right="0.7" top="0.75" bottom="0.75" header="0.3" footer="0.3"/>
  <pageSetup orientation="portrait"/>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sheetPr>
  <dimension ref="A1:H111"/>
  <sheetViews>
    <sheetView showGridLines="0" topLeftCell="F6" workbookViewId="0">
      <selection activeCell="A1" sqref="A1"/>
    </sheetView>
  </sheetViews>
  <sheetFormatPr baseColWidth="8" defaultColWidth="9.33203125" defaultRowHeight="15" customHeight="1"/>
  <cols>
    <col width="9.33203125" customWidth="1" style="1" min="1" max="1"/>
    <col width="13.83203125" customWidth="1" style="1" min="2" max="2"/>
    <col width="21" customWidth="1" style="1" min="3" max="3"/>
    <col width="16.83203125" customWidth="1" style="1" min="4" max="5"/>
    <col width="87.33203125" customWidth="1" style="1" min="6" max="6"/>
    <col width="73.1640625" customWidth="1" style="1" min="7" max="8"/>
    <col width="9.33203125" customWidth="1" style="1" min="9" max="9"/>
    <col width="9.33203125" customWidth="1" style="1" min="10" max="16384"/>
  </cols>
  <sheetData>
    <row r="1" ht="45.75" customHeight="1" s="566">
      <c r="A1" s="358" t="inlineStr">
        <is>
          <t>Phase</t>
        </is>
      </c>
      <c r="B1" s="359" t="inlineStr">
        <is>
          <t>FAR and Above Sort Order</t>
        </is>
      </c>
      <c r="C1" s="359" t="inlineStr">
        <is>
          <t>NIST SP 800-171 Family</t>
        </is>
      </c>
      <c r="D1" s="359" t="inlineStr">
        <is>
          <t>NIST SP 800-171 Identifier</t>
        </is>
      </c>
      <c r="E1" s="359" t="inlineStr">
        <is>
          <t>NIST SP 800-171 Sort-As</t>
        </is>
      </c>
      <c r="F1" s="359" t="inlineStr">
        <is>
          <t>Potential Assessment Method and Objects: Examine</t>
        </is>
      </c>
      <c r="G1" s="359" t="inlineStr">
        <is>
          <t>Potential Assessment Method and Objects: Interview</t>
        </is>
      </c>
      <c r="H1" s="360" t="inlineStr">
        <is>
          <t>Potential Assessment Method and Objects: Test</t>
        </is>
      </c>
    </row>
    <row r="2" ht="90" customHeight="1" s="566">
      <c r="A2" s="91" t="inlineStr">
        <is>
          <t>1</t>
        </is>
      </c>
      <c r="B2" s="361" t="inlineStr">
        <is>
          <t>1.01.0</t>
        </is>
      </c>
      <c r="C2" s="95" t="inlineStr">
        <is>
          <t>System and Communications Protection</t>
        </is>
      </c>
      <c r="D2" s="95" t="inlineStr">
        <is>
          <t>3.13.1</t>
        </is>
      </c>
      <c r="E2" s="95" t="inlineStr">
        <is>
          <t>03.13.01.0</t>
        </is>
      </c>
      <c r="F2" s="95" t="inlineStr">
        <is>
          <t xml:space="preserve">[SELECT FROM: System and communications protection policy; procedures addressing boundary protection; security plan; list of key internal boundaries of the system; system design documentation; boundary protection hardware and software; enterprise security architecture documentation; system audit logs and records; system configuration settings and associated documentation; other relevant documents or records]. </t>
        </is>
      </c>
      <c r="G2" s="95" t="inlineStr">
        <is>
          <t xml:space="preserve">[SELECT FROM: System or network administrators; personnel with information security responsibilities; system developer; personnel with boundary protection responsibilities]. </t>
        </is>
      </c>
      <c r="H2" s="96" t="inlineStr">
        <is>
          <t xml:space="preserve">[SELECT FROM: Mechanisms implementing boundary protection capability]. </t>
        </is>
      </c>
    </row>
    <row r="3" ht="90" customHeight="1" s="566">
      <c r="A3" s="103" t="inlineStr">
        <is>
          <t>1</t>
        </is>
      </c>
      <c r="B3" s="362" t="inlineStr">
        <is>
          <t>1.02.0</t>
        </is>
      </c>
      <c r="C3" s="107" t="inlineStr">
        <is>
          <t>System and Communications Protection</t>
        </is>
      </c>
      <c r="D3" s="107" t="inlineStr">
        <is>
          <t>3.13.5</t>
        </is>
      </c>
      <c r="E3" s="107" t="inlineStr">
        <is>
          <t>03.13.05.0</t>
        </is>
      </c>
      <c r="F3" s="107" t="inlineStr">
        <is>
          <t xml:space="preserve">[SELECT FROM: System and communications protection policy; procedures addressing boundary protection; security plan; list of key internal boundaries of the system; system design documentation; boundary protection hardware and software; system configuration settings and associated documentation; enterprise security architecture documentation; system audit logs and records; other relevant documents or records]. </t>
        </is>
      </c>
      <c r="G3" s="107" t="inlineStr">
        <is>
          <t xml:space="preserve">[SELECT FROM: System or network administrators; personnel with information security responsibilities; system developer; personnel with boundary protection responsibilities]. </t>
        </is>
      </c>
      <c r="H3" s="108" t="inlineStr">
        <is>
          <t xml:space="preserve">[SELECT FROM: Mechanisms implementing boundary protection capability].  </t>
        </is>
      </c>
    </row>
    <row r="4" ht="75" customHeight="1" s="566">
      <c r="A4" s="103" t="inlineStr">
        <is>
          <t>1</t>
        </is>
      </c>
      <c r="B4" s="362" t="inlineStr">
        <is>
          <t>1.03.0</t>
        </is>
      </c>
      <c r="C4" s="107" t="inlineStr">
        <is>
          <t>Personnel Security</t>
        </is>
      </c>
      <c r="D4" s="107" t="inlineStr">
        <is>
          <t>3.10.1</t>
        </is>
      </c>
      <c r="E4" s="107" t="inlineStr">
        <is>
          <t>03.10.01.0</t>
        </is>
      </c>
      <c r="F4" s="107" t="inlineStr">
        <is>
          <t xml:space="preserve">[SELECT FROM: Physical and environmental protection policy; procedures addressing physical access authorizations; security plan; authorized personnel access list; authorization credentials; physical access list reviews; physical access termination records and associated documentation; other relevant documents or records]. </t>
        </is>
      </c>
      <c r="G4" s="107" t="inlineStr">
        <is>
          <t xml:space="preserve">[SELECT FROM: Personnel with physical access authorization responsibilities; personnel with physical access to system facility; personnel with information security responsibilities]. </t>
        </is>
      </c>
      <c r="H4" s="108" t="inlineStr">
        <is>
          <t xml:space="preserve">[SELECT FROM: Organizational processes for physical access authorizations; mechanisms supporting or implementing physical access authorizations]. </t>
        </is>
      </c>
    </row>
    <row r="5" ht="105" customHeight="1" s="566">
      <c r="A5" s="103" t="inlineStr">
        <is>
          <t>1</t>
        </is>
      </c>
      <c r="B5" s="362" t="inlineStr">
        <is>
          <t>1.04.0</t>
        </is>
      </c>
      <c r="C5" s="107" t="inlineStr">
        <is>
          <t>Physical Protection</t>
        </is>
      </c>
      <c r="D5" s="107" t="inlineStr">
        <is>
          <t>3.10.3</t>
        </is>
      </c>
      <c r="E5" s="107" t="inlineStr">
        <is>
          <t>03.10.03.0</t>
        </is>
      </c>
      <c r="F5" s="107" t="inlineStr">
        <is>
          <t xml:space="preserve">[SELECT FROM: Physical and environmental protection policy; procedures addressing physical access control; security plan; physical access control logs or records; inventory records of physical access control devices; system entry and exit points; records of key and lock combination changes; storage locations for physical access control devices; physical access control devices; list of security safeguards controlling access to designated publicly accessible areas within facility; other relevant documents or records]. </t>
        </is>
      </c>
      <c r="G5" s="107" t="inlineStr">
        <is>
          <t xml:space="preserve">[SELECT FROM: Personnel with physical access control responsibilities; personnel with information security responsibilities]. </t>
        </is>
      </c>
      <c r="H5" s="108" t="inlineStr">
        <is>
          <t xml:space="preserve">[SELECT FROM: Organizational processes for physical access control; mechanisms supporting or implementing physical access control; physical access control devices]. </t>
        </is>
      </c>
    </row>
    <row r="6" ht="105" customHeight="1" s="566">
      <c r="A6" s="103" t="inlineStr">
        <is>
          <t>1</t>
        </is>
      </c>
      <c r="B6" s="362" t="inlineStr">
        <is>
          <t>1.05.0</t>
        </is>
      </c>
      <c r="C6" s="107" t="inlineStr">
        <is>
          <t>Physical Protection</t>
        </is>
      </c>
      <c r="D6" s="107" t="inlineStr">
        <is>
          <t>3.10.4</t>
        </is>
      </c>
      <c r="E6" s="107" t="inlineStr">
        <is>
          <t>03.10.04.0</t>
        </is>
      </c>
      <c r="F6" s="107" t="inlineStr">
        <is>
          <t xml:space="preserve">[SELECT FROM: Physical and environmental protection policy; procedures addressing physical access control; security plan; physical access control logs or records; inventory records of physical access control devices; system entry and exit points; records of key and lock combination changes; storage locations for physical access control devices; physical access control devices; list of security safeguards controlling access to designated publicly accessible areas within facility; other relevant documents or records]. </t>
        </is>
      </c>
      <c r="G6" s="107" t="inlineStr">
        <is>
          <t>[SELECT FROM: Personnel with physical access control responsibilities; personnel with information security responsibilities</t>
        </is>
      </c>
      <c r="H6" s="108" t="inlineStr">
        <is>
          <t xml:space="preserve">[SELECT FROM: Organizational processes for physical access control; mechanisms supporting or implementing physical access control; physical access control devices]. </t>
        </is>
      </c>
    </row>
    <row r="7" ht="105" customHeight="1" s="566">
      <c r="A7" s="103" t="inlineStr">
        <is>
          <t>1</t>
        </is>
      </c>
      <c r="B7" s="362" t="inlineStr">
        <is>
          <t>1.06.0</t>
        </is>
      </c>
      <c r="C7" s="107" t="inlineStr">
        <is>
          <t>Physical Protection</t>
        </is>
      </c>
      <c r="D7" s="107" t="inlineStr">
        <is>
          <t>3.10.5</t>
        </is>
      </c>
      <c r="E7" s="107" t="inlineStr">
        <is>
          <t>03.10.05.0</t>
        </is>
      </c>
      <c r="F7" s="107" t="inlineStr">
        <is>
          <t xml:space="preserve">[SELECT FROM: Physical and environmental protection policy; procedures addressing physical access control; security plan; physical access control logs or records; inventory records of physical access control devices; system entry and exit points; records of key and lock combination changes; storage locations for physical access control devices; physical access control devices; list of security safeguards controlling access to designated publicly accessible areas within facility; other relevant documents or records]. </t>
        </is>
      </c>
      <c r="G7" s="107" t="inlineStr">
        <is>
          <t xml:space="preserve">[SELECT FROM: Personnel with physical access control responsibilities; personnel with information security responsibilities]. </t>
        </is>
      </c>
      <c r="H7" s="108" t="inlineStr">
        <is>
          <t xml:space="preserve">[SELECT FROM: Organizational processes for physical access control; mechanisms supporting or implementing physical access control; physical access control devices]. </t>
        </is>
      </c>
    </row>
    <row r="8" ht="75" customHeight="1" s="566">
      <c r="A8" s="103" t="inlineStr">
        <is>
          <t>1</t>
        </is>
      </c>
      <c r="B8" s="362" t="inlineStr">
        <is>
          <t>1.07.0</t>
        </is>
      </c>
      <c r="C8" s="107" t="inlineStr">
        <is>
          <t>Media Protection</t>
        </is>
      </c>
      <c r="D8" s="107" t="inlineStr">
        <is>
          <t>3.8.3</t>
        </is>
      </c>
      <c r="E8" s="107" t="inlineStr">
        <is>
          <t>03.08.03.0</t>
        </is>
      </c>
      <c r="F8" s="107" t="inlineStr">
        <is>
          <t>[SELECT FROM: System media protection policy; procedures addressing media sanitization and disposal; applicable standards and policies addressing media sanitization; security plan; media sanitization records; system audit logs and records; system design documentation; system configuration settings and associated documentation; other relevant documents or records].</t>
        </is>
      </c>
      <c r="G8" s="107" t="inlineStr">
        <is>
          <t>[SELECT FROM: Personnel with media sanitization responsibilities; personnel with information security responsibilities; system or network administrators].</t>
        </is>
      </c>
      <c r="H8" s="108" t="inlineStr">
        <is>
          <t>[SELECT FROM: Organizational processes for media sanitization; mechanisms supporting or implementing media sanitization].</t>
        </is>
      </c>
    </row>
    <row r="9" ht="120" customHeight="1" s="566">
      <c r="A9" s="103" t="inlineStr">
        <is>
          <t>1</t>
        </is>
      </c>
      <c r="B9" s="362" t="inlineStr">
        <is>
          <t>1.08.0</t>
        </is>
      </c>
      <c r="C9" s="107" t="inlineStr">
        <is>
          <t>System and Information Integrity</t>
        </is>
      </c>
      <c r="D9" s="107" t="inlineStr">
        <is>
          <t>3.14.1</t>
        </is>
      </c>
      <c r="E9" s="107" t="inlineStr">
        <is>
          <t>03.14.01.0</t>
        </is>
      </c>
      <c r="F9" s="107" t="inlineStr">
        <is>
          <t xml:space="preserve">[SELECT FROM: System and information integrity policy; procedures addressing flaw remediation; procedures addressing configuration management; security plan; list of flaws and vulnerabilities potentially affecting the system; list of recent security flaw remediation actions performed on the system (e.g., list of installed patches, service packs, hot fixes, and other software updates to correct system flaws); test results from the installation of software and firmware updates to correct system flaws; installation/change control records for security-relevant software and firmware updates; other relevant documents or records]. </t>
        </is>
      </c>
      <c r="G9" s="107" t="inlineStr">
        <is>
          <t xml:space="preserve">[SELECT FROM: System or network administrators; personnel with information security responsibilities; personnel installing, configuring, and maintaining the system; personnel with responsibility for flaw remediation; personnel with configuration management responsibility]. </t>
        </is>
      </c>
      <c r="H9" s="108" t="inlineStr">
        <is>
          <t xml:space="preserve">[SELECT FROM: Organizational processes for identifying, reporting, and correcting system flaws; organizational process for installing software and firmware updates; mechanisms supporting or implementing reporting, and correcting system flaws; mechanisms supporting or implementing testing software and firmware updates]. </t>
        </is>
      </c>
    </row>
    <row r="10" ht="120" customHeight="1" s="566">
      <c r="A10" s="103" t="inlineStr">
        <is>
          <t>1</t>
        </is>
      </c>
      <c r="B10" s="362" t="inlineStr">
        <is>
          <t>1.09.0</t>
        </is>
      </c>
      <c r="C10" s="107" t="inlineStr">
        <is>
          <t>System and Information Integrity</t>
        </is>
      </c>
      <c r="D10" s="107" t="inlineStr">
        <is>
          <t>3.14.2</t>
        </is>
      </c>
      <c r="E10" s="107" t="inlineStr">
        <is>
          <t>03.14.02.0</t>
        </is>
      </c>
      <c r="F10" s="107" t="inlineStr">
        <is>
          <t>[SELECT FROM: System and information integrity policy; configuration management policy and procedures; procedures addressing malicious code protection; records of malicious code protection updates; malicious code protection mechanisms; security plan; system design documentation; system configuration settings and associated documentation; record of actions initiated by malicious code protection mechanisms in response to malicious code detection; scan results from malicious code protection mechanisms; system audit logs and records; other relevant documents or records].</t>
        </is>
      </c>
      <c r="G10" s="107" t="inlineStr">
        <is>
          <t xml:space="preserve">[SELECT FROM: System or network administrators; personnel with information security responsibilities; personnel installing, configuring, and maintaining the system; personnel with responsibility for malicious code protection; personnel with configuration management responsibility]. </t>
        </is>
      </c>
      <c r="H10" s="108" t="inlineStr">
        <is>
          <t>[SELECT FROM: Organizational processes for employing, updating, and configuring malicious code protection mechanisms; organizational process for addressing false positives and resulting potential impact; mechanisms supporting or implementing employing, updating, and configuring malicious code protection mechanisms; mechanisms supporting or implementing malicious code scanning and subsequent actions].</t>
        </is>
      </c>
    </row>
    <row r="11" ht="120" customHeight="1" s="566">
      <c r="A11" s="103" t="inlineStr">
        <is>
          <t>1</t>
        </is>
      </c>
      <c r="B11" s="362" t="inlineStr">
        <is>
          <t>1.10.0</t>
        </is>
      </c>
      <c r="C11" s="107" t="inlineStr">
        <is>
          <t>System and Information Integrity</t>
        </is>
      </c>
      <c r="D11" s="107" t="inlineStr">
        <is>
          <t>3.14.4</t>
        </is>
      </c>
      <c r="E11" s="107" t="inlineStr">
        <is>
          <t>03.14.04.0</t>
        </is>
      </c>
      <c r="F11" s="107" t="inlineStr">
        <is>
          <t xml:space="preserve">[SELECT FROM: System and information integrity policy; configuration management policy and procedures; procedures addressing malicious code protection; malicious code protection mechanisms; records of malicious code protection updates; security plan; system design documentation; system configuration settings and associated documentation; scan results from malicious code protection mechanisms; record of actions initiated by malicious code protection mechanisms in response to malicious code detection; system audit logs and records; other relevant documents or records]. </t>
        </is>
      </c>
      <c r="G11" s="107" t="inlineStr">
        <is>
          <t xml:space="preserve">[SELECT FROM: System or network administrators; personnel with information security responsibilities; personnel installing, configuring, and maintaining the system; personnel with responsibility for malicious code protection; personnel with configuration management responsibility]. </t>
        </is>
      </c>
      <c r="H11" s="108" t="inlineStr">
        <is>
          <t>[SELECT FROM: Organizational processes for employing, updating, and configuring malicious code protection mechanisms; organizational process for addressing false positives and resulting potential impact; mechanisms supporting or implementing malicious code protection mechanisms (including updates and configurations); mechanisms supporting or implementing malicious code scanning and subsequent actions].</t>
        </is>
      </c>
    </row>
    <row r="12" ht="120" customHeight="1" s="566">
      <c r="A12" s="103" t="inlineStr">
        <is>
          <t>1</t>
        </is>
      </c>
      <c r="B12" s="362" t="inlineStr">
        <is>
          <t>1.11.0</t>
        </is>
      </c>
      <c r="C12" s="107" t="inlineStr">
        <is>
          <t>System and Information Integrity</t>
        </is>
      </c>
      <c r="D12" s="107" t="inlineStr">
        <is>
          <t>3.14.5</t>
        </is>
      </c>
      <c r="E12" s="107" t="inlineStr">
        <is>
          <t>03.14.05.0</t>
        </is>
      </c>
      <c r="F12" s="107" t="inlineStr">
        <is>
          <t xml:space="preserve">[SELECT FROM: System and information integrity policy; configuration management policy and procedures; procedures addressing malicious code protection; malicious code protection mechanisms; records of malicious code protection updates; security plan; system design documentation; system configuration settings and associated documentation; scan results from malicious code protection mechanisms; record of actions initiated by malicious code protection mechanisms in response to malicious code detection; system audit logs and records; other relevant documents or records]. </t>
        </is>
      </c>
      <c r="G12" s="107" t="inlineStr">
        <is>
          <t xml:space="preserve">[SELECT FROM: System or network administrators; personnel with information security responsibilities; personnel installing, configuring, and maintaining the system; personnel with responsibility for malicious code protection; personnel with configuration management responsibility]. </t>
        </is>
      </c>
      <c r="H12" s="108" t="inlineStr">
        <is>
          <t>[SELECT FROM: Organizational processes for employing, updating, and configuring malicious code protection mechanisms; organizational process for addressing false positives and resulting potential impact; mechanisms supporting or implementing malicious code protection mechanisms (including updates and configurations); mechanisms supporting or implementing malicious code scanning and subsequent actions].</t>
        </is>
      </c>
    </row>
    <row r="13" ht="75" customHeight="1" s="566">
      <c r="A13" s="103" t="inlineStr">
        <is>
          <t>1</t>
        </is>
      </c>
      <c r="B13" s="362" t="inlineStr">
        <is>
          <t>1.12.0</t>
        </is>
      </c>
      <c r="C13" s="107" t="inlineStr">
        <is>
          <t>Identification and Authentication</t>
        </is>
      </c>
      <c r="D13" s="107" t="inlineStr">
        <is>
          <t>3.5.1</t>
        </is>
      </c>
      <c r="E13" s="107" t="inlineStr">
        <is>
          <t>03.05.01.0</t>
        </is>
      </c>
      <c r="F13" s="107" t="inlineStr">
        <is>
          <t>[SELECT FROM: Identification and authentication policy; procedures addressing user identification and authentication; security plan, system design documentation; system configuration settings and associated documentation; system audit logs and records; list of system accounts; other relevant documents or records].</t>
        </is>
      </c>
      <c r="G13" s="107" t="inlineStr">
        <is>
          <t>[SELECT FROM: Personnel with system operations responsibilities; personnel with information security responsibilities; system or network administrators; personnel with account management responsibilities; system developers].</t>
        </is>
      </c>
      <c r="H13" s="108" t="inlineStr">
        <is>
          <t>[SELECT FROM: Organizational processes for uniquely identifying and authenticating users; mechanisms supporting or implementing identification and authentication capability].</t>
        </is>
      </c>
    </row>
    <row r="14" ht="90" customHeight="1" s="566">
      <c r="A14" s="103" t="inlineStr">
        <is>
          <t>1</t>
        </is>
      </c>
      <c r="B14" s="362" t="inlineStr">
        <is>
          <t>1.13.0</t>
        </is>
      </c>
      <c r="C14" s="107" t="inlineStr">
        <is>
          <t>Identification and Authentication</t>
        </is>
      </c>
      <c r="D14" s="107" t="inlineStr">
        <is>
          <t>3.5.2</t>
        </is>
      </c>
      <c r="E14" s="107" t="inlineStr">
        <is>
          <t>03.05.02.0</t>
        </is>
      </c>
      <c r="F14" s="107" t="inlineStr">
        <is>
          <t>[SELECT FROM: Identification and authentication policy; procedures addressing authenticator management; security plan; system design documentation; system configuration settings and associated documentation; list of system authenticator types; change control records associated with managing system authenticators; system audit logs and records; other relevant documents or records].</t>
        </is>
      </c>
      <c r="G14" s="107" t="inlineStr">
        <is>
          <t>[SELECT FROM: Personnel with authenticator management responsibilities; personnel with information security responsibilities; system or network administrators].</t>
        </is>
      </c>
      <c r="H14" s="108" t="inlineStr">
        <is>
          <t>[SELECT FROM: Mechanisms supporting or implementing authenticator management capability].</t>
        </is>
      </c>
    </row>
    <row r="15" ht="150" customHeight="1" s="566">
      <c r="A15" s="103" t="inlineStr">
        <is>
          <t>1</t>
        </is>
      </c>
      <c r="B15" s="362" t="inlineStr">
        <is>
          <t>1.14.0</t>
        </is>
      </c>
      <c r="C15" s="107" t="inlineStr">
        <is>
          <t>Access Control</t>
        </is>
      </c>
      <c r="D15" s="107" t="inlineStr">
        <is>
          <t>3.1.1</t>
        </is>
      </c>
      <c r="E15" s="107" t="inlineStr">
        <is>
          <t>03.01.01.0</t>
        </is>
      </c>
      <c r="F15" s="107" t="inlineStr">
        <is>
          <t>[SELECT FROM: Access control policy; procedures addressing account management; security plan; system design documentation; system configuration settings and associated documentation; list of active system accounts and the name of the individual associated with each account; list of conditions for group and role membership; notifications or records of recently transferred, separated, or terminated employees; list of recently disabled system accounts along with the name of the individual associated with each account; access authorization records; account management compliance reviews; system monitoring records; system audit logs and records; other relevant documents or records; list of devices and other systems authorized to connect to organizational systems].</t>
        </is>
      </c>
      <c r="G15" s="107" t="inlineStr">
        <is>
          <t>[SELECT FROM: Personnel with account management responsibilities; system or network administrators; personnel with information security responsibilities].</t>
        </is>
      </c>
      <c r="H15" s="108" t="inlineStr">
        <is>
          <t>[SELECT FROM: Organizational processes for managing system accounts; mechanisms for implementing account management].</t>
        </is>
      </c>
    </row>
    <row r="16" ht="75" customHeight="1" s="566">
      <c r="A16" s="103" t="inlineStr">
        <is>
          <t>1</t>
        </is>
      </c>
      <c r="B16" s="362" t="inlineStr">
        <is>
          <t>1.15.0</t>
        </is>
      </c>
      <c r="C16" s="107" t="inlineStr">
        <is>
          <t>Access Control</t>
        </is>
      </c>
      <c r="D16" s="107" t="inlineStr">
        <is>
          <t>3.1.2</t>
        </is>
      </c>
      <c r="E16" s="107" t="inlineStr">
        <is>
          <t>03.01.02.0</t>
        </is>
      </c>
      <c r="F16" s="107" t="inlineStr">
        <is>
          <t>[SELECT FROM: Access control policy; procedures addressing access enforcement; security plan; system design documentation; list of approved authorizations (user privileges) including remote access authorizations; system configuration settings and associated documentation; system audit logs and records; other relevant documents or records].</t>
        </is>
      </c>
      <c r="G16" s="107" t="inlineStr">
        <is>
          <t>[SELECT FROM: Personnel with access enforcement responsibilities; system or network administrators; personnel with information security responsibilities; system developers].</t>
        </is>
      </c>
      <c r="H16" s="108" t="inlineStr">
        <is>
          <t>[SELECT FROM: Mechanisms implementing access control policy].</t>
        </is>
      </c>
    </row>
    <row r="17" ht="60" customHeight="1" s="566">
      <c r="A17" s="103" t="inlineStr">
        <is>
          <t>1</t>
        </is>
      </c>
      <c r="B17" s="362" t="inlineStr">
        <is>
          <t>1.16.0</t>
        </is>
      </c>
      <c r="C17" s="107" t="inlineStr">
        <is>
          <t>Access Control</t>
        </is>
      </c>
      <c r="D17" s="107" t="inlineStr">
        <is>
          <t>3.1.20</t>
        </is>
      </c>
      <c r="E17" s="107" t="inlineStr">
        <is>
          <t>03.01.20.0</t>
        </is>
      </c>
      <c r="F17" s="107" t="inlineStr">
        <is>
          <t>[SELECT FROM: Access control policy; procedures addressing the use of external systems; terms and conditions for external systems; security plan; list of types of applications accessible from external systems; system configuration settings and associated documentation; other relevant documents or records].</t>
        </is>
      </c>
      <c r="G17" s="107" t="inlineStr">
        <is>
          <t>[SELECT FROM: Personnel with responsibilities for defining terms and conditions for use of external systems to access organizational systems; system or network administrators; personnel with information security responsibilities].</t>
        </is>
      </c>
      <c r="H17" s="108" t="inlineStr">
        <is>
          <t>[SELECT FROM: Mechanisms implementing terms and conditions on use of external systems].</t>
        </is>
      </c>
    </row>
    <row r="18" ht="90.75" customHeight="1" s="566">
      <c r="A18" s="114" t="inlineStr">
        <is>
          <t>1</t>
        </is>
      </c>
      <c r="B18" s="363" t="inlineStr">
        <is>
          <t>1.17.0</t>
        </is>
      </c>
      <c r="C18" s="118" t="inlineStr">
        <is>
          <t>Access Control</t>
        </is>
      </c>
      <c r="D18" s="118" t="inlineStr">
        <is>
          <t>3.1.22</t>
        </is>
      </c>
      <c r="E18" s="118" t="inlineStr">
        <is>
          <t>03.01.22.0</t>
        </is>
      </c>
      <c r="F18" s="118" t="inlineStr">
        <is>
          <t>[SELECT FROM: Access control policy; procedures addressing publicly accessible content; security plan; list of users authorized to post publicly accessible content on organizational systems; training materials and/or records; records of publicly accessible information reviews; records of response to nonpublic information on public websites; system audit logs and records; security awareness training records; other relevant documents or records].</t>
        </is>
      </c>
      <c r="G18" s="118" t="inlineStr">
        <is>
          <t>[SELECT FROM: Personnel with responsibilities for managing publicly accessible information posted on organizational systems; personnel with information security responsibilities].</t>
        </is>
      </c>
      <c r="H18" s="119" t="inlineStr">
        <is>
          <t>[SELECT FROM: Mechanisms implementing management of publicly accessible content].</t>
        </is>
      </c>
    </row>
    <row r="19" ht="60" customHeight="1" s="566">
      <c r="A19" s="145" t="inlineStr">
        <is>
          <t>2</t>
        </is>
      </c>
      <c r="B19" s="364" t="inlineStr">
        <is>
          <t>2.01.0</t>
        </is>
      </c>
      <c r="C19" s="95" t="inlineStr">
        <is>
          <t>Security Assessment</t>
        </is>
      </c>
      <c r="D19" s="95" t="inlineStr">
        <is>
          <t>3.12.1</t>
        </is>
      </c>
      <c r="E19" s="95" t="inlineStr">
        <is>
          <t>03.12.01.0</t>
        </is>
      </c>
      <c r="F19" s="95" t="inlineStr">
        <is>
          <t xml:space="preserve">[SELECT FROM: Security assessment and authorization policy; procedures addressing security assessment planning; procedures addressing security assessments; security assessment plan; security plan; other relevant documents or records]. </t>
        </is>
      </c>
      <c r="G19" s="95" t="inlineStr">
        <is>
          <t xml:space="preserve">[SELECT FROM: Personnel with security assessment responsibilities; personnel with information security responsibilities]. </t>
        </is>
      </c>
      <c r="H19" s="96" t="inlineStr">
        <is>
          <t xml:space="preserve">[SELECT FROM: Mechanisms supporting security assessment, security assessment plan development, and security assessment reporting]. </t>
        </is>
      </c>
    </row>
    <row r="20" ht="60" customHeight="1" s="566">
      <c r="A20" s="148" t="inlineStr">
        <is>
          <t>2</t>
        </is>
      </c>
      <c r="B20" s="365" t="inlineStr">
        <is>
          <t>2.02.0</t>
        </is>
      </c>
      <c r="C20" s="107" t="inlineStr">
        <is>
          <t>Security Assessment</t>
        </is>
      </c>
      <c r="D20" s="107" t="inlineStr">
        <is>
          <t>3.12.4</t>
        </is>
      </c>
      <c r="E20" s="107" t="inlineStr">
        <is>
          <t>03.12.04.0</t>
        </is>
      </c>
      <c r="F20" s="107" t="inlineStr">
        <is>
          <t xml:space="preserve">[SELECT FROM: Security planning policy; procedures addressing security plan development and implementation; procedures addressing security plan reviews and updates; enterprise architecture documentation; security plan; records of security plan reviews and updates; other relevant documents or records]. </t>
        </is>
      </c>
      <c r="G20" s="107" t="inlineStr">
        <is>
          <t xml:space="preserve">[SELECT FROM: Personnel with security planning and plan implementation responsibilities; personnel with information security responsibilities]. </t>
        </is>
      </c>
      <c r="H20" s="108" t="inlineStr">
        <is>
          <t xml:space="preserve">[SELECT FROM: Organizational processes for security plan development, review, update, and approval; mechanisms supporting the security plan]. </t>
        </is>
      </c>
    </row>
    <row r="21" ht="75" customHeight="1" s="566">
      <c r="A21" s="148" t="inlineStr">
        <is>
          <t>2</t>
        </is>
      </c>
      <c r="B21" s="365" t="inlineStr">
        <is>
          <t>2.03.0</t>
        </is>
      </c>
      <c r="C21" s="107" t="inlineStr">
        <is>
          <t>Identification and Authentication</t>
        </is>
      </c>
      <c r="D21" s="107" t="inlineStr">
        <is>
          <t>3.5.3</t>
        </is>
      </c>
      <c r="E21" s="107" t="inlineStr">
        <is>
          <t>03.05.03.0</t>
        </is>
      </c>
      <c r="F21" s="107" t="inlineStr">
        <is>
          <t>[SELECT FROM: Identification and authentication policy; procedures addressing user identification and authentication; security plan; system design documentation; system configuration settings and associated documentation; system audit logs and records; list of system accounts; other relevant documents or records].</t>
        </is>
      </c>
      <c r="G21" s="107" t="inlineStr">
        <is>
          <t>[SELECT FROM: Personnel with system operations responsibilities; personnel with account management responsibilities; personnel with information security responsibilities; system or network administrators; system developers].</t>
        </is>
      </c>
      <c r="H21" s="108" t="inlineStr">
        <is>
          <t>[SELECT FROM: Mechanisms supporting or implementing multifactor authentication capability].</t>
        </is>
      </c>
    </row>
    <row r="22" ht="90" customHeight="1" s="566">
      <c r="A22" s="148" t="inlineStr">
        <is>
          <t>2</t>
        </is>
      </c>
      <c r="B22" s="365" t="inlineStr">
        <is>
          <t>2.04.0</t>
        </is>
      </c>
      <c r="C22" s="107" t="inlineStr">
        <is>
          <t>Maintenance</t>
        </is>
      </c>
      <c r="D22" s="107" t="inlineStr">
        <is>
          <t>3.7.5</t>
        </is>
      </c>
      <c r="E22" s="107" t="inlineStr">
        <is>
          <t>03.07.05.0</t>
        </is>
      </c>
      <c r="F22" s="107" t="inlineStr">
        <is>
          <t>[SELECT FROM: System maintenance policy; procedures addressing nonlocal system maintenance; security plan; system design documentation; system configuration settings and associated documentation; maintenance records; diagnostic records; other relevant documents or records].</t>
        </is>
      </c>
      <c r="G22" s="107" t="inlineStr">
        <is>
          <t>[SELECT FROM: Personnel with system maintenance responsibilities; personnel with information security responsibilities; system or network administrators].</t>
        </is>
      </c>
      <c r="H22" s="108" t="inlineStr">
        <is>
          <t>[select from: Organizational processes for managing nonlocal maintenance; mechanisms implementing, supporting, and managing nonlocal maintenance; mechanisms for strong authentication of nonlocal maintenance diagnostic sessions; mechanisms for terminating nonlocal maintenance sessions and network connections].</t>
        </is>
      </c>
    </row>
    <row r="23" ht="60" customHeight="1" s="566">
      <c r="A23" s="148" t="inlineStr">
        <is>
          <t>2</t>
        </is>
      </c>
      <c r="B23" s="365" t="inlineStr">
        <is>
          <t>2.05.0</t>
        </is>
      </c>
      <c r="C23" s="107" t="inlineStr">
        <is>
          <t>Access Control</t>
        </is>
      </c>
      <c r="D23" s="107" t="inlineStr">
        <is>
          <t>3.1.8</t>
        </is>
      </c>
      <c r="E23" s="107" t="inlineStr">
        <is>
          <t>03.01.08.0</t>
        </is>
      </c>
      <c r="F23" s="107" t="inlineStr">
        <is>
          <t>[SELECT FROM: Access control policy; procedures addressing unsuccessful logon attempts; security plan; system design documentation; system configuration settings and associated documentation; system audit logs and records; other relevant documents or records].</t>
        </is>
      </c>
      <c r="G23" s="107" t="inlineStr">
        <is>
          <t>[SELECT FROM: Personnel with information security responsibilities; system developers; system or network administrators].</t>
        </is>
      </c>
      <c r="H23" s="108" t="inlineStr">
        <is>
          <t>[SELECT FROM: Mechanisms implementing access control policy for unsuccessful logon attempts].</t>
        </is>
      </c>
    </row>
    <row r="24" ht="60" customHeight="1" s="566">
      <c r="A24" s="148" t="inlineStr">
        <is>
          <t>2</t>
        </is>
      </c>
      <c r="B24" s="365" t="inlineStr">
        <is>
          <t>2.06.0</t>
        </is>
      </c>
      <c r="C24" s="107" t="inlineStr">
        <is>
          <t>Physical Protection</t>
        </is>
      </c>
      <c r="D24" s="107" t="inlineStr">
        <is>
          <t>3.10.2</t>
        </is>
      </c>
      <c r="E24" s="107" t="inlineStr">
        <is>
          <t>03.10.02.0</t>
        </is>
      </c>
      <c r="F24" s="107" t="inlineStr">
        <is>
          <t xml:space="preserve">[SELECT FROM: Physical and environmental protection policy; procedures addressing physical access monitoring; security plan; physical access logs or records; physical access monitoring records; physical access log reviews; other relevant documents or records]. </t>
        </is>
      </c>
      <c r="G24" s="107" t="inlineStr">
        <is>
          <t xml:space="preserve">[SELECT FROM: Personnel with physical access monitoring responsibilities; personnel with incident response responsibilities; personnel with information security responsibilities]. </t>
        </is>
      </c>
      <c r="H24" s="108" t="inlineStr">
        <is>
          <t xml:space="preserve">[SELECT FROM: Organizational processes for monitoring physical access; mechanisms supporting or implementing physical access monitoring; mechanisms supporting or implementing the review of physical access logs]. </t>
        </is>
      </c>
    </row>
    <row r="25" ht="75" customHeight="1" s="566">
      <c r="A25" s="148" t="inlineStr">
        <is>
          <t>2</t>
        </is>
      </c>
      <c r="B25" s="365" t="inlineStr">
        <is>
          <t>2.07.0</t>
        </is>
      </c>
      <c r="C25" s="107" t="inlineStr">
        <is>
          <t>Identification and Authentication</t>
        </is>
      </c>
      <c r="D25" s="107" t="inlineStr">
        <is>
          <t>3.5.7</t>
        </is>
      </c>
      <c r="E25" s="107" t="inlineStr">
        <is>
          <t>03.05.07.0</t>
        </is>
      </c>
      <c r="F25" s="107" t="inlineStr">
        <is>
          <t>[SELECT FROM: Identification and authentication policy; password policy; procedures addressing authenticator management; security plan; system design documentation; system configuration settings and associated documentation; password configurations and associated documentation; other relevant documents or records].</t>
        </is>
      </c>
      <c r="G25" s="107" t="inlineStr">
        <is>
          <t>[SELECT FROM: Personnel with authenticator management responsibilities; personnel with information security responsibilities; system or network administrators; system developers].</t>
        </is>
      </c>
      <c r="H25" s="108" t="inlineStr">
        <is>
          <t>[SELECT FROM: Mechanisms supporting or implementing password-based authenticator management capability].</t>
        </is>
      </c>
    </row>
    <row r="26" ht="75" customHeight="1" s="566">
      <c r="A26" s="148" t="inlineStr">
        <is>
          <t>2</t>
        </is>
      </c>
      <c r="B26" s="365" t="inlineStr">
        <is>
          <t>2.08.0</t>
        </is>
      </c>
      <c r="C26" s="107" t="inlineStr">
        <is>
          <t>Identification and Authentication</t>
        </is>
      </c>
      <c r="D26" s="107" t="inlineStr">
        <is>
          <t>3.5.8</t>
        </is>
      </c>
      <c r="E26" s="107" t="inlineStr">
        <is>
          <t>03.05.08.0</t>
        </is>
      </c>
      <c r="F26" s="107" t="inlineStr">
        <is>
          <t>[SELECT FROM: Identification and authentication policy; password policy; procedures addressing authenticator management; security plan; system design documentation; system configuration settings and associated documentation; password configurations and associated documentation; other relevant documents or records].</t>
        </is>
      </c>
      <c r="G26" s="107" t="inlineStr">
        <is>
          <t>[SELECT FROM: Personnel with authenticator management responsibilities; personnel with information security responsibilities; system or network administrators; system developers].</t>
        </is>
      </c>
      <c r="H26" s="108" t="inlineStr">
        <is>
          <t>[SELECT FROM: Mechanisms supporting or implementing password-based authenticator management capability].</t>
        </is>
      </c>
    </row>
    <row r="27" ht="60" customHeight="1" s="566">
      <c r="A27" s="148" t="inlineStr">
        <is>
          <t>2</t>
        </is>
      </c>
      <c r="B27" s="365" t="inlineStr">
        <is>
          <t>2.09.0</t>
        </is>
      </c>
      <c r="C27" s="107" t="inlineStr">
        <is>
          <t>Access Control</t>
        </is>
      </c>
      <c r="D27" s="107" t="inlineStr">
        <is>
          <t>3.1.6</t>
        </is>
      </c>
      <c r="E27" s="107" t="inlineStr">
        <is>
          <t>03.01.06.0</t>
        </is>
      </c>
      <c r="F27" s="107" t="inlineStr">
        <is>
          <t>[SELECT FROM: Access control policy; procedures addressing least privilege; security plan; list of system-generated security functions assigned to system accounts or roles; system configuration settings and associated documentation; system audit logs and records; other relevant documents or records].</t>
        </is>
      </c>
      <c r="G27" s="107" t="inlineStr">
        <is>
          <t>[SELECT FROM: Personnel with responsibilities for defining least privileges necessary to accomplish specified organizational tasks; personnel with information security responsibilities; system or network administrators].</t>
        </is>
      </c>
      <c r="H27" s="108" t="inlineStr">
        <is>
          <t>[SELECT FROM: Mechanisms implementing least privilege functions].</t>
        </is>
      </c>
    </row>
    <row r="28" ht="60" customHeight="1" s="566">
      <c r="A28" s="148" t="inlineStr">
        <is>
          <t>2</t>
        </is>
      </c>
      <c r="B28" s="365" t="inlineStr">
        <is>
          <t>2.10.0</t>
        </is>
      </c>
      <c r="C28" s="107" t="inlineStr">
        <is>
          <t>System and Communications Protection</t>
        </is>
      </c>
      <c r="D28" s="107" t="inlineStr">
        <is>
          <t>3.13.3</t>
        </is>
      </c>
      <c r="E28" s="107" t="inlineStr">
        <is>
          <t>03.13.03.0</t>
        </is>
      </c>
      <c r="F28" s="107" t="inlineStr">
        <is>
          <t xml:space="preserve">[SELECT FROM: System and communications protection policy; procedures addressing application partitioning; system design documentation; system configuration settings and associated documentation; security plan; system audit logs and records; other relevant documents or records]. </t>
        </is>
      </c>
      <c r="G28" s="107" t="inlineStr">
        <is>
          <t xml:space="preserve">[SELECT FROM: System or network administrators; personnel with information security responsibilities; system developer]. </t>
        </is>
      </c>
      <c r="H28" s="108" t="inlineStr">
        <is>
          <t xml:space="preserve">[SELECT FROM: Separation of user functionality from system management functionality]. </t>
        </is>
      </c>
    </row>
    <row r="29" ht="75" customHeight="1" s="566">
      <c r="A29" s="148" t="inlineStr">
        <is>
          <t>2</t>
        </is>
      </c>
      <c r="B29" s="365" t="inlineStr">
        <is>
          <t>2.11.0</t>
        </is>
      </c>
      <c r="C29" s="107" t="inlineStr">
        <is>
          <t>Identification and Authentication</t>
        </is>
      </c>
      <c r="D29" s="107" t="inlineStr">
        <is>
          <t>3.5.9</t>
        </is>
      </c>
      <c r="E29" s="107" t="inlineStr">
        <is>
          <t>03.05.09.0</t>
        </is>
      </c>
      <c r="F29" s="107" t="inlineStr">
        <is>
          <t>[SELECT FROM: Identification and authentication policy; password policy; procedures addressing authenticator management; security plan; system design documentation; system configuration settings and associated documentation; password configurations and associated documentation; other relevant documents or records].</t>
        </is>
      </c>
      <c r="G29" s="107" t="inlineStr">
        <is>
          <t>[SELECT FROM: Personnel with authenticator management responsibilities; personnel with information security responsibilities; system or network administrators; system developers].</t>
        </is>
      </c>
      <c r="H29" s="108" t="inlineStr">
        <is>
          <t>[SELECT FROM: Mechanisms supporting or implementing password-based authenticator management capability].</t>
        </is>
      </c>
    </row>
    <row r="30" ht="60" customHeight="1" s="566">
      <c r="A30" s="148" t="inlineStr">
        <is>
          <t>2</t>
        </is>
      </c>
      <c r="B30" s="365" t="inlineStr">
        <is>
          <t>2.12.0</t>
        </is>
      </c>
      <c r="C30" s="107" t="inlineStr">
        <is>
          <t>Awareness and Training</t>
        </is>
      </c>
      <c r="D30" s="107" t="inlineStr">
        <is>
          <t>3.2.1</t>
        </is>
      </c>
      <c r="E30" s="107" t="inlineStr">
        <is>
          <t>03.02.01.0</t>
        </is>
      </c>
      <c r="F30" s="107" t="inlineStr">
        <is>
          <t>[SELECT FROM: Security awareness and training policy; procedures addressing security awareness training implementation; relevant codes of federal regulations; security awareness training curriculum; security awareness training materials; security plan; training records; other relevant documents or records].</t>
        </is>
      </c>
      <c r="G30" s="107" t="inlineStr">
        <is>
          <t>[SELECT FROM: Personnel with responsibilities for security awareness training; personnel with information security responsibilities; personnel composing the general system user community].</t>
        </is>
      </c>
      <c r="H30" s="108" t="inlineStr">
        <is>
          <t>[SELECT FROM: Mechanisms managing security awareness training; mechanisms managing role-based security training].</t>
        </is>
      </c>
    </row>
    <row r="31" ht="60" customHeight="1" s="566">
      <c r="A31" s="148" t="inlineStr">
        <is>
          <t>2</t>
        </is>
      </c>
      <c r="B31" s="365" t="inlineStr">
        <is>
          <t>2.13.0</t>
        </is>
      </c>
      <c r="C31" s="107" t="inlineStr">
        <is>
          <t>Awareness and Training</t>
        </is>
      </c>
      <c r="D31" s="107" t="inlineStr">
        <is>
          <t>3.2.2</t>
        </is>
      </c>
      <c r="E31" s="107" t="inlineStr">
        <is>
          <t>03.02.02.0</t>
        </is>
      </c>
      <c r="F31" s="107" t="inlineStr">
        <is>
          <t>[SELECT FROM: Security awareness and training policy; procedures addressing security training implementation; codes of federal regulations; security training curriculum; security training materials; security plan; training records; other relevant documents or records].</t>
        </is>
      </c>
      <c r="G31" s="107" t="inlineStr">
        <is>
          <t>[SELECT FROM: Personnel with responsibilities for role-based security training; personnel with assigned system security roles and responsibilities].</t>
        </is>
      </c>
      <c r="H31" s="108" t="inlineStr">
        <is>
          <t>[SELECT FROM: Mechanisms managing role-based security training].</t>
        </is>
      </c>
    </row>
    <row r="32" ht="60" customHeight="1" s="566">
      <c r="A32" s="148" t="inlineStr">
        <is>
          <t>2</t>
        </is>
      </c>
      <c r="B32" s="365" t="inlineStr">
        <is>
          <t>2.14.0</t>
        </is>
      </c>
      <c r="C32" s="107" t="inlineStr">
        <is>
          <t>Awareness and Training</t>
        </is>
      </c>
      <c r="D32" s="107" t="inlineStr">
        <is>
          <t>3.2.3</t>
        </is>
      </c>
      <c r="E32" s="107" t="inlineStr">
        <is>
          <t>03.02.03.0</t>
        </is>
      </c>
      <c r="F32" s="107" t="inlineStr">
        <is>
          <t>[SELECT FROM: Security awareness and training policy; procedures addressing security awareness training implementation; security awareness training curriculum; security awareness training materials; insider threat policy and procedures; security plan; other relevant documents or records].</t>
        </is>
      </c>
      <c r="G32" s="107" t="inlineStr">
        <is>
          <t>[SELECT FROM: Personnel that participate in security awareness training; personnel with responsibilities for basic security awareness training; personnel with information security responsibilities].</t>
        </is>
      </c>
      <c r="H32" s="108" t="inlineStr">
        <is>
          <t>[SELECT FROM: Mechanisms managing insider threat training].</t>
        </is>
      </c>
    </row>
    <row r="33" ht="75" customHeight="1" s="566">
      <c r="A33" s="148" t="inlineStr">
        <is>
          <t>2</t>
        </is>
      </c>
      <c r="B33" s="365" t="inlineStr">
        <is>
          <t>2.15.0</t>
        </is>
      </c>
      <c r="C33" s="107" t="inlineStr">
        <is>
          <t>Risk Assessment</t>
        </is>
      </c>
      <c r="D33" s="107" t="inlineStr">
        <is>
          <t>3.11.2</t>
        </is>
      </c>
      <c r="E33" s="107" t="inlineStr">
        <is>
          <t>03.11.02.0</t>
        </is>
      </c>
      <c r="F33" s="107" t="inlineStr">
        <is>
          <t xml:space="preserve">[SELECT FROM: Risk assessment policy; procedures addressing vulnerability scanning; risk assessment; security plan; security assessment report; vulnerability scanning tools and associated configuration documentation; vulnerability scanning results; patch and vulnerability management records; other relevant documents or records]. </t>
        </is>
      </c>
      <c r="G33" s="107" t="inlineStr">
        <is>
          <t xml:space="preserve">[SELECT FROM: Personnel with risk assessment, security assessment and vulnerability scanning responsibilities; personnel with vulnerability scan analysis and remediation responsibilities; personnel with information security responsibilities; system or network administrators]. </t>
        </is>
      </c>
      <c r="H33" s="108" t="inlineStr">
        <is>
          <t xml:space="preserve">[SELECT FROM: Organizational processes for vulnerability scanning, analysis, remediation, and information sharing; mechanisms supporting or implementing vulnerability scanning, analysis, remediation, and information sharing].  </t>
        </is>
      </c>
    </row>
    <row r="34" ht="60" customHeight="1" s="566">
      <c r="A34" s="148" t="inlineStr">
        <is>
          <t>2</t>
        </is>
      </c>
      <c r="B34" s="365" t="inlineStr">
        <is>
          <t>2.16.0</t>
        </is>
      </c>
      <c r="C34" s="107" t="inlineStr">
        <is>
          <t>Risk Assessment</t>
        </is>
      </c>
      <c r="D34" s="107" t="inlineStr">
        <is>
          <t>3.11.1</t>
        </is>
      </c>
      <c r="E34" s="107" t="inlineStr">
        <is>
          <t>03.11.01.0</t>
        </is>
      </c>
      <c r="F34" s="107" t="inlineStr">
        <is>
          <t xml:space="preserve">[SELECT FROM: Risk assessment policy; security planning policy and procedures; procedures addressing organizational risk assessments; security plan; risk assessment; risk assessment results; risk assessment reviews; risk assessment updates; other relevant documents or records]. </t>
        </is>
      </c>
      <c r="G34" s="107" t="inlineStr">
        <is>
          <t xml:space="preserve">[SELECT FROM: Personnel with risk assessment responsibilities; personnel with information security responsibilities]. </t>
        </is>
      </c>
      <c r="H34" s="108" t="inlineStr">
        <is>
          <t xml:space="preserve">[SELECT FROM: Organizational processes for risk assessment; mechanisms supporting or for conducting, documenting, reviewing, disseminating, and updating the risk assessment].  </t>
        </is>
      </c>
    </row>
    <row r="35" ht="90" customHeight="1" s="566">
      <c r="A35" s="148" t="inlineStr">
        <is>
          <t>2</t>
        </is>
      </c>
      <c r="B35" s="365" t="inlineStr">
        <is>
          <t>2.17.0</t>
        </is>
      </c>
      <c r="C35" s="107" t="inlineStr">
        <is>
          <t>Risk Assessment</t>
        </is>
      </c>
      <c r="D35" s="107" t="inlineStr">
        <is>
          <t>3.11.3</t>
        </is>
      </c>
      <c r="E35" s="107" t="inlineStr">
        <is>
          <t>03.11.03.0</t>
        </is>
      </c>
      <c r="F35" s="107" t="inlineStr">
        <is>
          <t xml:space="preserve">[SELECT FROM: Risk assessment policy; procedures addressing vulnerability scanning; risk assessment; security plan; security assessment report; vulnerability scanning tools and associated configuration documentation; vulnerability scanning results; patch and vulnerability management records; other relevant documents or records]. </t>
        </is>
      </c>
      <c r="G35" s="107" t="inlineStr">
        <is>
          <t xml:space="preserve">[SELECT FROM: Personnel with risk assessment, security assessment and vulnerability scanning responsibilities; personnel with vulnerability scan analysis responsibilities; personnel with vulnerability remediation responsibilities; personnel with information security responsibilities; system or network administrators]. </t>
        </is>
      </c>
      <c r="H35" s="108" t="inlineStr">
        <is>
          <t xml:space="preserve">[SELECT FROM: Organizational processes for vulnerability scanning, analysis, remediation, and information sharing; mechanisms supporting or implementing vulnerability scanning, analysis, remediation, and information sharing].  </t>
        </is>
      </c>
    </row>
    <row r="36" ht="90" customHeight="1" s="566">
      <c r="A36" s="148" t="inlineStr">
        <is>
          <t>2</t>
        </is>
      </c>
      <c r="B36" s="365" t="inlineStr">
        <is>
          <t>2.18.0</t>
        </is>
      </c>
      <c r="C36" s="107" t="inlineStr">
        <is>
          <t>Maintenance</t>
        </is>
      </c>
      <c r="D36" s="107" t="inlineStr">
        <is>
          <t>3.7.1</t>
        </is>
      </c>
      <c r="E36" s="107" t="inlineStr">
        <is>
          <t>03.07.01.0</t>
        </is>
      </c>
      <c r="F36" s="107" t="inlineStr">
        <is>
          <t>[SELECT FROM: System maintenance policy; procedures addressing controlled system maintenance; maintenance records; manufacturer or vendor maintenance specifications; equipment sanitization records; media sanitization records; security plan; other relevant documents or records].</t>
        </is>
      </c>
      <c r="G36" s="107" t="inlineStr">
        <is>
          <t>[select from: Personnel with system maintenance responsibilities; personnel with information security responsibilities; personnel responsible for media sanitization; system or network administrators].</t>
        </is>
      </c>
      <c r="H36" s="108" t="inlineStr">
        <is>
          <t>[SELECT FROM: Organizational processes for scheduling, performing, documenting, reviewing, approving, and monitoring maintenance and repairs for systems; organizational processes for sanitizing system components; mechanisms supporting or implementing controlled maintenance; mechanisms implementing sanitization of system components].</t>
        </is>
      </c>
    </row>
    <row r="37" ht="120" customHeight="1" s="566">
      <c r="A37" s="148" t="inlineStr">
        <is>
          <t>2</t>
        </is>
      </c>
      <c r="B37" s="365" t="inlineStr">
        <is>
          <t>2.19.0</t>
        </is>
      </c>
      <c r="C37" s="107" t="inlineStr">
        <is>
          <t>Maintenance</t>
        </is>
      </c>
      <c r="D37" s="107" t="inlineStr">
        <is>
          <t>3.7.2</t>
        </is>
      </c>
      <c r="E37" s="107" t="inlineStr">
        <is>
          <t>03.07.02.0</t>
        </is>
      </c>
      <c r="F37" s="107" t="inlineStr">
        <is>
          <t>[SELECT FROM: System maintenance policy; procedures addressing system maintenance tools and media; maintenance records; system maintenance tools and associated documentation; maintenance tool inspection records; security plan; other relevant documents or records].</t>
        </is>
      </c>
      <c r="G37" s="107" t="inlineStr">
        <is>
          <t>[SELECT FROM: Personnel with system maintenance responsibilities; personnel with information security responsibilities].</t>
        </is>
      </c>
      <c r="H37" s="108" t="inlineStr">
        <is>
          <t>[SELECT FROM: Organizational processes for approving, controlling, and monitoring maintenance tools; mechanisms supporting or implementing approval, control, and monitoring of maintenance tools; organizational processes for inspecting maintenance tools; mechanisms supporting or implementing inspection of maintenance tools; organizational process for inspecting media for malicious code; mechanisms supporting or implementing inspection of media used for maintenance].</t>
        </is>
      </c>
    </row>
    <row r="38" ht="60" customHeight="1" s="566">
      <c r="A38" s="148" t="inlineStr">
        <is>
          <t>2</t>
        </is>
      </c>
      <c r="B38" s="365" t="inlineStr">
        <is>
          <t>2.20.0</t>
        </is>
      </c>
      <c r="C38" s="107" t="inlineStr">
        <is>
          <t>Maintenance</t>
        </is>
      </c>
      <c r="D38" s="107" t="inlineStr">
        <is>
          <t>3.7.6</t>
        </is>
      </c>
      <c r="E38" s="107" t="inlineStr">
        <is>
          <t>03.07.06.0</t>
        </is>
      </c>
      <c r="F38" s="107" t="inlineStr">
        <is>
          <t>[SELECT FROM: System maintenance policy; procedures addressing maintenance personnel; service provider contracts; service-level agreements; list of authorized personnel; maintenance records; access control records; security plan; other relevant documents or records].</t>
        </is>
      </c>
      <c r="G38" s="107" t="inlineStr">
        <is>
          <t>[SELECT FROM: Personnel with system maintenance responsibilities; personnel with information security responsibilities].</t>
        </is>
      </c>
      <c r="H38" s="108" t="inlineStr">
        <is>
          <t>[SELECT FROM:  Organizational processes for authorizing and managing maintenance personnel; mechanisms supporting or implementing authorization of maintenance personnel].</t>
        </is>
      </c>
    </row>
    <row r="39" ht="60" customHeight="1" s="566">
      <c r="A39" s="148" t="inlineStr">
        <is>
          <t>2</t>
        </is>
      </c>
      <c r="B39" s="365" t="inlineStr">
        <is>
          <t>2.21.0</t>
        </is>
      </c>
      <c r="C39" s="107" t="inlineStr">
        <is>
          <t>System and Communications Protection</t>
        </is>
      </c>
      <c r="D39" s="107" t="inlineStr">
        <is>
          <t>3.13.2</t>
        </is>
      </c>
      <c r="E39" s="107" t="inlineStr">
        <is>
          <t>03.13.02.0</t>
        </is>
      </c>
      <c r="F39" s="107" t="inlineStr">
        <is>
          <t xml:space="preserve">[SELECT FROM: Security planning policy; procedures addressing security plan development and implementation; procedures addressing security plan reviews and updates; enterprise architecture documentation; security plan; records of security plan reviews and updates; other relevant documents or records]. </t>
        </is>
      </c>
      <c r="G39" s="107" t="inlineStr">
        <is>
          <t xml:space="preserve">[SELECT FROM: Personnel with security planning and plan implementation responsibilities; personnel with information security responsibilities]. </t>
        </is>
      </c>
      <c r="H39" s="108" t="inlineStr">
        <is>
          <t xml:space="preserve">[SELECT FROM: Organizational processes for security plan development, review, update, and approval; mechanisms supporting the system security plan]. </t>
        </is>
      </c>
    </row>
    <row r="40" ht="75" customHeight="1" s="566">
      <c r="A40" s="148" t="inlineStr">
        <is>
          <t>2</t>
        </is>
      </c>
      <c r="B40" s="365" t="inlineStr">
        <is>
          <t>2.22.0</t>
        </is>
      </c>
      <c r="C40" s="107" t="inlineStr">
        <is>
          <t>System and Communications Protection</t>
        </is>
      </c>
      <c r="D40" s="107" t="inlineStr">
        <is>
          <t>3.13.11</t>
        </is>
      </c>
      <c r="E40" s="107" t="inlineStr">
        <is>
          <t>03.13.11.0</t>
        </is>
      </c>
      <c r="F40" s="107" t="inlineStr">
        <is>
          <t xml:space="preserve">[SELECT FROM: System and communications protection policy; procedures addressing cryptographic protection; security plan; system design documentation; system configuration settings and associated documentation; cryptographic module validation certificates; list of FIPS-validated cryptographic modules; system audit logs and records; other relevant documents or records]. </t>
        </is>
      </c>
      <c r="G40" s="107" t="inlineStr">
        <is>
          <t xml:space="preserve">[SELECT FROM: System or network administrators; personnel with information security responsibilities; system developer; personnel with responsibilities for cryptographic protection]. </t>
        </is>
      </c>
      <c r="H40" s="108" t="inlineStr">
        <is>
          <t xml:space="preserve">[SELECT FROM: Mechanisms supporting or implementing cryptographic protection].  </t>
        </is>
      </c>
    </row>
    <row r="41" ht="60.75" customHeight="1" s="566">
      <c r="A41" s="154" t="inlineStr">
        <is>
          <t>2</t>
        </is>
      </c>
      <c r="B41" s="366" t="inlineStr">
        <is>
          <t>2.23.0</t>
        </is>
      </c>
      <c r="C41" s="118" t="inlineStr">
        <is>
          <t>Security Assessment</t>
        </is>
      </c>
      <c r="D41" s="118" t="inlineStr">
        <is>
          <t>3.12.2</t>
        </is>
      </c>
      <c r="E41" s="118" t="inlineStr">
        <is>
          <t>03.12.02.0</t>
        </is>
      </c>
      <c r="F41" s="118" t="inlineStr">
        <is>
          <t xml:space="preserve">[SELECT FROM: Security assessment and authorization policy; procedures addressing plan of action; security plan; security assessment plan; security assessment report; security assessment evidence; plan of action; other relevant documents or records]. </t>
        </is>
      </c>
      <c r="G41" s="118" t="inlineStr">
        <is>
          <t xml:space="preserve">[SELECT FROM: Personnel with plan of action development and implementation responsibilities; personnel with information security responsibilities]. </t>
        </is>
      </c>
      <c r="H41" s="119" t="inlineStr">
        <is>
          <t xml:space="preserve">[SELECT FROM: Mechanisms for developing, implementing, and maintaining plan of action]. </t>
        </is>
      </c>
    </row>
    <row r="42" ht="75" customHeight="1" s="566">
      <c r="A42" s="164" t="inlineStr">
        <is>
          <t>3</t>
        </is>
      </c>
      <c r="B42" s="367" t="inlineStr">
        <is>
          <t>3.01.0</t>
        </is>
      </c>
      <c r="C42" s="95" t="inlineStr">
        <is>
          <t>System and Communications Protection</t>
        </is>
      </c>
      <c r="D42" s="95" t="inlineStr">
        <is>
          <t>3.13.10</t>
        </is>
      </c>
      <c r="E42" s="95" t="inlineStr">
        <is>
          <t>03.13.10.0</t>
        </is>
      </c>
      <c r="F42" s="95" t="inlineStr">
        <is>
          <t xml:space="preserve">[SELECT FROM: System and communications protection policy; procedures addressing cryptographic key establishment and management; security plan; system design documentation; cryptographic mechanisms; system configuration settings and associated documentation; system audit logs and records; other relevant documents or records]. </t>
        </is>
      </c>
      <c r="G42" s="95" t="inlineStr">
        <is>
          <t xml:space="preserve">[SELECT FROM: System or network administrators; personnel with information security responsibilities; personnel with responsibilities for cryptographic key establishment and management]. </t>
        </is>
      </c>
      <c r="H42" s="96" t="inlineStr">
        <is>
          <t xml:space="preserve">[SELECT FROM: Mechanisms supporting or implementing cryptographic key establishment and management].  </t>
        </is>
      </c>
    </row>
    <row r="43" ht="75" customHeight="1" s="566">
      <c r="A43" s="166" t="inlineStr">
        <is>
          <t>3</t>
        </is>
      </c>
      <c r="B43" s="368" t="inlineStr">
        <is>
          <t>3.02.0</t>
        </is>
      </c>
      <c r="C43" s="107" t="inlineStr">
        <is>
          <t>Identification and Authentication</t>
        </is>
      </c>
      <c r="D43" s="107" t="inlineStr">
        <is>
          <t>3.5.10</t>
        </is>
      </c>
      <c r="E43" s="107" t="inlineStr">
        <is>
          <t>03.05.10.0</t>
        </is>
      </c>
      <c r="F43" s="107" t="inlineStr">
        <is>
          <t>[SELECT FROM: Identification and authentication policy; password policy; procedures addressing authenticator management; security plan; system design documentation; system configuration settings and associated documentation; password configurations and associated documentation; other relevant documents or records].</t>
        </is>
      </c>
      <c r="G43" s="107" t="inlineStr">
        <is>
          <t>[SELECT FROM: Personnel with authenticator management responsibilities; personnel with information security responsibilities; system or network administrators; system developers].</t>
        </is>
      </c>
      <c r="H43" s="108" t="inlineStr">
        <is>
          <t>[SELECT FROM: Mechanisms supporting or implementing password-based authenticator management capability].</t>
        </is>
      </c>
    </row>
    <row r="44" ht="60" customHeight="1" s="566">
      <c r="A44" s="166" t="inlineStr">
        <is>
          <t>3</t>
        </is>
      </c>
      <c r="B44" s="368" t="inlineStr">
        <is>
          <t>3.03.0</t>
        </is>
      </c>
      <c r="C44" s="107" t="inlineStr">
        <is>
          <t>Access Control</t>
        </is>
      </c>
      <c r="D44" s="107" t="inlineStr">
        <is>
          <t>3.1.17</t>
        </is>
      </c>
      <c r="E44" s="107" t="inlineStr">
        <is>
          <t>03.01.17.0</t>
        </is>
      </c>
      <c r="F44" s="107" t="inlineStr">
        <is>
          <t>[SELECT FROM: Access control policy; system design documentation; procedures addressing wireless implementation and usage (including restrictions); security plan; system configuration settings and associated documentation; system audit logs and records; other relevant documents or records].</t>
        </is>
      </c>
      <c r="G44" s="107" t="inlineStr">
        <is>
          <t>[SELECT FROM: System or network administrators; personnel with information security responsibilities; system developers].</t>
        </is>
      </c>
      <c r="H44" s="108" t="inlineStr">
        <is>
          <t>[SELECT FROM: Mechanisms implementing wireless access protections to the system].</t>
        </is>
      </c>
    </row>
    <row r="45" ht="75" customHeight="1" s="566">
      <c r="A45" s="166" t="inlineStr">
        <is>
          <t>3</t>
        </is>
      </c>
      <c r="B45" s="368" t="inlineStr">
        <is>
          <t>3.04.0</t>
        </is>
      </c>
      <c r="C45" s="107" t="inlineStr">
        <is>
          <t>Access Control</t>
        </is>
      </c>
      <c r="D45" s="107" t="inlineStr">
        <is>
          <t>3.1.16</t>
        </is>
      </c>
      <c r="E45" s="107" t="inlineStr">
        <is>
          <t>03.01.16.0</t>
        </is>
      </c>
      <c r="F45" s="107" t="inlineStr">
        <is>
          <t>[SELECT FROM: Access control policy; configuration management plan; procedures addressing wireless access implementation and usage (including restrictions); security plan; system design documentation; system configuration settings and associated documentation; wireless access authorizations; system audit logs and records; other relevant documents or records].</t>
        </is>
      </c>
      <c r="G45" s="107" t="inlineStr">
        <is>
          <t>[SELECT FROM: Personnel with responsibilities for managing wireless access connections; personnel with information security responsibilities].</t>
        </is>
      </c>
      <c r="H45" s="108" t="inlineStr">
        <is>
          <t>[SELECT FROM: Wireless access management capability for the system].</t>
        </is>
      </c>
    </row>
    <row r="46" ht="75" customHeight="1" s="566">
      <c r="A46" s="166" t="inlineStr">
        <is>
          <t>3</t>
        </is>
      </c>
      <c r="B46" s="368" t="inlineStr">
        <is>
          <t>3.05.0</t>
        </is>
      </c>
      <c r="C46" s="107" t="inlineStr">
        <is>
          <t>Access Control</t>
        </is>
      </c>
      <c r="D46" s="107" t="inlineStr">
        <is>
          <t>3.1.12</t>
        </is>
      </c>
      <c r="E46" s="107" t="inlineStr">
        <is>
          <t>03.01.12.0</t>
        </is>
      </c>
      <c r="F46" s="107" t="inlineStr">
        <is>
          <t>[SELECT FROM: Access control policy; procedures addressing remote access implementation and usage (including restrictions); configuration management plan; security plan; system configuration settings and associated documentation; remote access authorizations; system audit logs and records; other relevant documents or records].</t>
        </is>
      </c>
      <c r="G46" s="107" t="inlineStr">
        <is>
          <t>[SELECT FROM: Personnel with responsibilities for managing remote access connections; system or network administrators; personnel with information security responsibilities].</t>
        </is>
      </c>
      <c r="H46" s="108" t="inlineStr">
        <is>
          <t>[SELECT FROM: Remote access management capability for the system].</t>
        </is>
      </c>
    </row>
    <row r="47" ht="75" customHeight="1" s="566">
      <c r="A47" s="166" t="inlineStr">
        <is>
          <t>3</t>
        </is>
      </c>
      <c r="B47" s="368" t="inlineStr">
        <is>
          <t>3.06.0</t>
        </is>
      </c>
      <c r="C47" s="107" t="inlineStr">
        <is>
          <t>Access Control</t>
        </is>
      </c>
      <c r="D47" s="107" t="inlineStr">
        <is>
          <t>3.1.13</t>
        </is>
      </c>
      <c r="E47" s="107" t="inlineStr">
        <is>
          <t>03.01.13.0</t>
        </is>
      </c>
      <c r="F47" s="107" t="inlineStr">
        <is>
          <t>[SELECT FROM: Access control policy; procedures addressing remote access to the system; security plan; system design documentation; system configuration settings and associated documentation; cryptographic mechanisms and associated configuration documentation; system audit logs and records; other relevant documents or records].</t>
        </is>
      </c>
      <c r="G47" s="107" t="inlineStr">
        <is>
          <t>[SELECT FROM: System or network administrators; personnel with information security responsibilities; system developers].</t>
        </is>
      </c>
      <c r="H47" s="108" t="inlineStr">
        <is>
          <t>[SELECT FROM: Cryptographic mechanisms protecting remote access sessions].</t>
        </is>
      </c>
    </row>
    <row r="48" ht="60" customHeight="1" s="566">
      <c r="A48" s="166" t="inlineStr">
        <is>
          <t>3</t>
        </is>
      </c>
      <c r="B48" s="368" t="inlineStr">
        <is>
          <t>3.07.0</t>
        </is>
      </c>
      <c r="C48" s="107" t="inlineStr">
        <is>
          <t>System and Communications Protection</t>
        </is>
      </c>
      <c r="D48" s="107" t="inlineStr">
        <is>
          <t>3.13.15</t>
        </is>
      </c>
      <c r="E48" s="107" t="inlineStr">
        <is>
          <t>03.13.15.0</t>
        </is>
      </c>
      <c r="F48" s="107" t="inlineStr">
        <is>
          <t xml:space="preserve">[SELECT FROM: System and communications protection policy; procedures addressing session authenticity; security plan; system design documentation; system configuration settings and associated documentation; system audit logs and records; other relevant documents or records]. </t>
        </is>
      </c>
      <c r="G48" s="107" t="inlineStr">
        <is>
          <t xml:space="preserve">[SELECT FROM: System or network administrators; personnel with information security responsibilities]. </t>
        </is>
      </c>
      <c r="H48" s="108" t="inlineStr">
        <is>
          <t xml:space="preserve">[SELECT FROM: Mechanisms supporting or implementing session authenticity].  </t>
        </is>
      </c>
    </row>
    <row r="49" ht="90" customHeight="1" s="566">
      <c r="A49" s="166" t="inlineStr">
        <is>
          <t>3</t>
        </is>
      </c>
      <c r="B49" s="368" t="inlineStr">
        <is>
          <t>3.08.0</t>
        </is>
      </c>
      <c r="C49" s="107" t="inlineStr">
        <is>
          <t>System and Information Integrity</t>
        </is>
      </c>
      <c r="D49" s="107" t="inlineStr">
        <is>
          <t>3.14.3</t>
        </is>
      </c>
      <c r="E49" s="107" t="inlineStr">
        <is>
          <t>03.14.03.0</t>
        </is>
      </c>
      <c r="F49" s="107" t="inlineStr">
        <is>
          <t xml:space="preserve">[SELECT FROM: System and information integrity policy; procedures addressing security alerts, advisories, and directives; security plan; records of security alerts and advisories; other relevant documents or records]. </t>
        </is>
      </c>
      <c r="G49" s="107" t="inlineStr">
        <is>
          <t xml:space="preserve">[SELECT FROM: Personnel with security alert and advisory responsibilities; personnel implementing, operating, maintaining, and using the system; personnel, organizational elements, and external organizations to whom alerts, advisories, and directives are to be disseminated; system or network administrators; personnel with information security responsibilities]. </t>
        </is>
      </c>
      <c r="H49" s="108" t="inlineStr">
        <is>
          <t xml:space="preserve">[SELECT FROM: Organizational processes for defining, receiving, generating, disseminating, and complying with security alerts, advisories, and directives; mechanisms supporting or implementing definition, receipt, generation, and dissemination of security alerts, advisories, and directives; mechanisms supporting or implementing security directives].  </t>
        </is>
      </c>
    </row>
    <row r="50" ht="120" customHeight="1" s="566">
      <c r="A50" s="166" t="inlineStr">
        <is>
          <t>3</t>
        </is>
      </c>
      <c r="B50" s="368" t="inlineStr">
        <is>
          <t>3.09.0</t>
        </is>
      </c>
      <c r="C50" s="107" t="inlineStr">
        <is>
          <t>System and Information Integrity</t>
        </is>
      </c>
      <c r="D50" s="107" t="inlineStr">
        <is>
          <t>3.14.6</t>
        </is>
      </c>
      <c r="E50" s="107" t="inlineStr">
        <is>
          <t>03.14.06.0</t>
        </is>
      </c>
      <c r="F50" s="107" t="inlineStr">
        <is>
          <t xml:space="preserve">[SELECT FROM:  System and information integrity policy; procedures addressing system monitoring tools and techniques; continuous monitoring strategy; system and information integrity policy; procedures addressing system monitoring tools and techniques; facility diagram or layout; security plan; system design documentation; system monitoring tools and techniques documentation; locations within system where monitoring devices are deployed; system protocols; system configuration settings and associated documentation; system audit logs and records; other relevant documents or records]. </t>
        </is>
      </c>
      <c r="G50" s="107" t="inlineStr">
        <is>
          <t xml:space="preserve">[SELECT FROM: System or network administrators; personnel with information security responsibilities; personnel installing, configuring, and maintaining the system; personnel with responsibility monitoring the system; personnel with responsibility for the intrusion detection system]. </t>
        </is>
      </c>
      <c r="H50" s="108" t="inlineStr">
        <is>
          <t xml:space="preserve">[SELECT FROM: Organizational processes for system monitoring; mechanisms supporting or implementing intrusion detection capability and system monitoring; mechanisms supporting or implementing system monitoring capability; organizational processes for intrusion detection and system monitoring; mechanisms supporting or implementing the monitoring of inbound and outbound communications traffic]. </t>
        </is>
      </c>
    </row>
    <row r="51" ht="105" customHeight="1" s="566">
      <c r="A51" s="166" t="inlineStr">
        <is>
          <t>3</t>
        </is>
      </c>
      <c r="B51" s="368" t="inlineStr">
        <is>
          <t>3.10.0</t>
        </is>
      </c>
      <c r="C51" s="107" t="inlineStr">
        <is>
          <t>Incident Response</t>
        </is>
      </c>
      <c r="D51" s="107" t="inlineStr">
        <is>
          <t>3.6.1</t>
        </is>
      </c>
      <c r="E51" s="107" t="inlineStr">
        <is>
          <t>03.06.01.0</t>
        </is>
      </c>
      <c r="F51" s="107" t="inlineStr">
        <is>
          <t>[SELECT FROM: Incident response policy; contingency planning policy; procedures addressing incident handling; procedures addressing incident response assistance; incident response plan; contingency plan; security plan; procedures addressing incident response training; incident response training curriculum; incident response training materials; incident response training records; other relevant documents or records].</t>
        </is>
      </c>
      <c r="G51" s="107" t="inlineStr">
        <is>
          <t>[SELECT FROM: Personnel with incident handling responsibilities; personnel with contingency planning responsibilities; personnel with incident response training and operational responsibilities; personnel with incident response assistance and support responsibilities; personnel with access to incident response support and assistance capability; personnel with information security responsibilities].</t>
        </is>
      </c>
      <c r="H51" s="108" t="inlineStr">
        <is>
          <t>[SELECT FROM: Incident-handling capability for the organization; organizational processes for incident response assistance; mechanisms supporting or implementing incident response assistance].</t>
        </is>
      </c>
    </row>
    <row r="52" ht="75" customHeight="1" s="566">
      <c r="A52" s="166" t="inlineStr">
        <is>
          <t>3</t>
        </is>
      </c>
      <c r="B52" s="368" t="inlineStr">
        <is>
          <t>3.11.0</t>
        </is>
      </c>
      <c r="C52" s="107" t="inlineStr">
        <is>
          <t>Incident Response</t>
        </is>
      </c>
      <c r="D52" s="107" t="inlineStr">
        <is>
          <t>3.6.2</t>
        </is>
      </c>
      <c r="E52" s="107" t="inlineStr">
        <is>
          <t>03.06.02.0</t>
        </is>
      </c>
      <c r="F52" s="107" t="inlineStr">
        <is>
          <t>[SELECT FROM: Incident response policy; procedures addressing incident monitoring; incident response records and documentation; procedures addressing incident reporting; incident reporting records and documentation; incident response plan; security plan; other relevant documents or records].</t>
        </is>
      </c>
      <c r="G52" s="107" t="inlineStr">
        <is>
          <t>[SELECT FROM: Personnel with incident monitoring responsibilities; personnel with incident reporting responsibilities; personnel who have or should have reported incidents; personnel (authorities) to whom incident information is to be reported; personnel with information security responsibilities].</t>
        </is>
      </c>
      <c r="H52" s="108" t="inlineStr">
        <is>
          <t>[SELECT FROM: Incident monitoring capability for the organization; mechanisms supporting or implementing tracking and documenting of system security incidents; organizational processes for incident reporting; mechanisms supporting or implementing incident reporting].</t>
        </is>
      </c>
    </row>
    <row r="53" ht="75" customHeight="1" s="566">
      <c r="A53" s="166" t="inlineStr">
        <is>
          <t>3</t>
        </is>
      </c>
      <c r="B53" s="368" t="inlineStr">
        <is>
          <t>3.12.0</t>
        </is>
      </c>
      <c r="C53" s="107" t="inlineStr">
        <is>
          <t>Incident Response</t>
        </is>
      </c>
      <c r="D53" s="107" t="inlineStr">
        <is>
          <t>3.6.3</t>
        </is>
      </c>
      <c r="E53" s="107" t="inlineStr">
        <is>
          <t>03.06.03.0</t>
        </is>
      </c>
      <c r="F53" s="107" t="inlineStr">
        <is>
          <t>[SELECT FROM: Incident response policy; contingency planning policy; procedures addressing incident response testing; procedures addressing contingency plan testing; incident response testing material; incident response test results; incident response test plan; incident response plan; contingency plan; security plan; other relevant documents or records].</t>
        </is>
      </c>
      <c r="G53" s="107" t="inlineStr">
        <is>
          <t>[SELECT FROM: Personnel with incident response testing responsibilities; personnel with information security responsibilities].</t>
        </is>
      </c>
      <c r="H53" s="282" t="n"/>
    </row>
    <row r="54" ht="60" customHeight="1" s="566">
      <c r="A54" s="166" t="inlineStr">
        <is>
          <t>3</t>
        </is>
      </c>
      <c r="B54" s="368" t="inlineStr">
        <is>
          <t>3.13.0</t>
        </is>
      </c>
      <c r="C54" s="107" t="inlineStr">
        <is>
          <t>Awareness and Training</t>
        </is>
      </c>
      <c r="D54" s="107" t="inlineStr">
        <is>
          <t>3.3.7</t>
        </is>
      </c>
      <c r="E54" s="107" t="inlineStr">
        <is>
          <t>03.03.07.0</t>
        </is>
      </c>
      <c r="F54" s="107" t="inlineStr">
        <is>
          <t>[SELECT FROM: Audit and accountability policy; procedures addressing time stamp generation; system design documentation; security plan; system configuration settings and associated documentation; system audit logs and records; other relevant documents or records].</t>
        </is>
      </c>
      <c r="G54" s="107" t="inlineStr">
        <is>
          <t>[SELECT FROM: Personnel with information security responsibilities; system or network administrators; system developers].</t>
        </is>
      </c>
      <c r="H54" s="108" t="inlineStr">
        <is>
          <t>[SELECT FROM: Mechanisms implementing time stamp generation].</t>
        </is>
      </c>
    </row>
    <row r="55" ht="90" customHeight="1" s="566">
      <c r="A55" s="166" t="inlineStr">
        <is>
          <t>3</t>
        </is>
      </c>
      <c r="B55" s="368" t="inlineStr">
        <is>
          <t>3.14.0</t>
        </is>
      </c>
      <c r="C55" s="107" t="inlineStr">
        <is>
          <t>Access Control</t>
        </is>
      </c>
      <c r="D55" s="107" t="inlineStr">
        <is>
          <t>3.1.18</t>
        </is>
      </c>
      <c r="E55" s="107" t="inlineStr">
        <is>
          <t>03.01.18.0</t>
        </is>
      </c>
      <c r="F55" s="107" t="inlineStr">
        <is>
          <t>[SELECT FROM: Access control policy; authorizations for mobile device connections to organizational systems; procedures addressing access control for mobile device usage (including restrictions); system design documentation; configuration management plan; security plan; system audit logs and records; system configuration settings and associated documentation; other relevant documents or records].</t>
        </is>
      </c>
      <c r="G55" s="107" t="inlineStr">
        <is>
          <t>[SELECT FROM: Personnel using mobile devices to access organizational systems; system or network administrators; personnel with information security responsibilities].</t>
        </is>
      </c>
      <c r="H55" s="108" t="inlineStr">
        <is>
          <t>[SELECT FROM: Access control capability authorizing mobile device connections to organizational systems].</t>
        </is>
      </c>
    </row>
    <row r="56" ht="60" customHeight="1" s="566">
      <c r="A56" s="166" t="inlineStr">
        <is>
          <t>3</t>
        </is>
      </c>
      <c r="B56" s="368" t="inlineStr">
        <is>
          <t>3.15.0</t>
        </is>
      </c>
      <c r="C56" s="107" t="inlineStr">
        <is>
          <t>Access Control</t>
        </is>
      </c>
      <c r="D56" s="107" t="inlineStr">
        <is>
          <t>3.1.10</t>
        </is>
      </c>
      <c r="E56" s="107" t="inlineStr">
        <is>
          <t>03.01.10.0</t>
        </is>
      </c>
      <c r="F56" s="107" t="inlineStr">
        <is>
          <t>[SELECT FROM: Access control policy; procedures addressing session lock; procedures addressing identification and authentication; system design documentation; system configuration settings and associated documentation; security plan; other relevant documents or records].</t>
        </is>
      </c>
      <c r="G56" s="107" t="inlineStr">
        <is>
          <t>[SELECT FROM: System or network administrators; personnel with information security responsibilities; system developers].</t>
        </is>
      </c>
      <c r="H56" s="108" t="inlineStr">
        <is>
          <t>[SELECT FROM: Mechanisms implementing access control policy for session lock].</t>
        </is>
      </c>
    </row>
    <row r="57" ht="75" customHeight="1" s="566">
      <c r="A57" s="166" t="inlineStr">
        <is>
          <t>3</t>
        </is>
      </c>
      <c r="B57" s="368" t="inlineStr">
        <is>
          <t>3.16.0</t>
        </is>
      </c>
      <c r="C57" s="107" t="inlineStr">
        <is>
          <t>Access Control</t>
        </is>
      </c>
      <c r="D57" s="107" t="inlineStr">
        <is>
          <t>3.1.4</t>
        </is>
      </c>
      <c r="E57" s="107" t="inlineStr">
        <is>
          <t>03.01.04.0</t>
        </is>
      </c>
      <c r="F57" s="107" t="inlineStr">
        <is>
          <t>[SELECT FROM: Access control policy; procedures addressing divisions of responsibility and separation of duties; security plan; system configuration settings and associated documentation; list of divisions of responsibility and separation of duties; system access authorizations; system audit logs and records; other relevant documents or records].</t>
        </is>
      </c>
      <c r="G57" s="107" t="inlineStr">
        <is>
          <t>[SELECT FROM: Personnel with responsibilities for defining divisions of responsibility and separation of duties; personnel with information security responsibilities; system or network administrators].</t>
        </is>
      </c>
      <c r="H57" s="108" t="inlineStr">
        <is>
          <t>[SELECT FROM: Mechanisms implementing separation of duties policy].</t>
        </is>
      </c>
    </row>
    <row r="58" ht="195" customHeight="1" s="566">
      <c r="A58" s="166" t="inlineStr">
        <is>
          <t>3</t>
        </is>
      </c>
      <c r="B58" s="368" t="inlineStr">
        <is>
          <t>3.17.0</t>
        </is>
      </c>
      <c r="C58" s="107" t="inlineStr">
        <is>
          <t>Access Control</t>
        </is>
      </c>
      <c r="D58" s="107" t="inlineStr">
        <is>
          <t>3.1.5</t>
        </is>
      </c>
      <c r="E58" s="107" t="inlineStr">
        <is>
          <t>03.01.05.0</t>
        </is>
      </c>
      <c r="F58" s="107" t="inlineStr">
        <is>
          <t>[SELECT FROM: Access control policy; procedures addressing account management; security plan; system design documentation; system configuration settings and associated documentation; list of active system accounts and the name of the individual associated with each account; list of conditions for group and role membership; notifications or records of recently transferred, separated, or terminated employees; list of recently disabled system accounts along with the name of the individual associated with each account; access authorization records; account management compliance reviews; system monitoring/audit records; other relevant documents or records; procedures addressing least privilege; list of security functions (deployed in hardware, software, and firmware) and security-relevant information for which access must be explicitly authorized; list of system-generated privileged accounts; list of system administration personnel].</t>
        </is>
      </c>
      <c r="G58" s="107" t="inlineStr">
        <is>
          <t>[SELECT FROM: Personnel with account management responsibilities; system or network administrators; personnel with information security responsibilities; personnel with responsibilities for defining least privileges necessary to accomplish specified tasks].</t>
        </is>
      </c>
      <c r="H58" s="108" t="inlineStr">
        <is>
          <t>[SELECT FROM: Organizational processes for managing system accounts; mechanisms for implementing account management; mechanisms implementing least privilege functions; mechanisms prohibiting privileged access to the system].</t>
        </is>
      </c>
    </row>
    <row r="59" ht="75.75" customHeight="1" s="566">
      <c r="A59" s="172" t="inlineStr">
        <is>
          <t>3</t>
        </is>
      </c>
      <c r="B59" s="369" t="inlineStr">
        <is>
          <t>3.18.0</t>
        </is>
      </c>
      <c r="C59" s="118" t="inlineStr">
        <is>
          <t>Awareness and Training</t>
        </is>
      </c>
      <c r="D59" s="118" t="inlineStr">
        <is>
          <t>3.3.2</t>
        </is>
      </c>
      <c r="E59" s="118" t="inlineStr">
        <is>
          <t>03.03.02.0</t>
        </is>
      </c>
      <c r="F59" s="118" t="inlineStr">
        <is>
          <t>[SELECT FROM: Audit and accountability policy; procedures addressing audit records and event types; security plan; system design documentation; system configuration settings and associated documentation; system audit logs and records; system events; system incident reports; other relevant documents or records].</t>
        </is>
      </c>
      <c r="G59" s="118" t="inlineStr">
        <is>
          <t>[SELECT FROM: Personnel with audit and accountability responsibilities; personnel with information security responsibilities; system or network administrators].</t>
        </is>
      </c>
      <c r="H59" s="119" t="inlineStr">
        <is>
          <t>[SELECT FROM: Mechanisms implementing system audit logging].</t>
        </is>
      </c>
    </row>
    <row r="60" ht="60" customHeight="1" s="566">
      <c r="A60" s="184" t="inlineStr">
        <is>
          <t>4</t>
        </is>
      </c>
      <c r="B60" s="370" t="inlineStr">
        <is>
          <t>4.01.0</t>
        </is>
      </c>
      <c r="C60" s="95" t="inlineStr">
        <is>
          <t>Awareness and Training</t>
        </is>
      </c>
      <c r="D60" s="95" t="inlineStr">
        <is>
          <t>3.3.1</t>
        </is>
      </c>
      <c r="E60" s="95" t="inlineStr">
        <is>
          <t>03.03.01.0</t>
        </is>
      </c>
      <c r="F60" s="95" t="inlineStr">
        <is>
          <t>[SELECT FROM: Audit and accountability policy; procedures addressing auditable events; security plan; system design documentation; system configuration settings and associated documentation; system audit logs and records; system auditable events; system incident reports; other relevant documents or records].</t>
        </is>
      </c>
      <c r="G60" s="95" t="inlineStr">
        <is>
          <t>[SELECT FROM: Personnel with audit and accountability responsibilities; personnel with information security responsibilities; system or network administrators].</t>
        </is>
      </c>
      <c r="H60" s="96" t="inlineStr">
        <is>
          <t>[SELECT FROM: Mechanisms implementing system audit logging].</t>
        </is>
      </c>
    </row>
    <row r="61" ht="60" customHeight="1" s="566">
      <c r="A61" s="187" t="inlineStr">
        <is>
          <t>4</t>
        </is>
      </c>
      <c r="B61" s="371" t="inlineStr">
        <is>
          <t>4.02.0</t>
        </is>
      </c>
      <c r="C61" s="107" t="inlineStr">
        <is>
          <t>Awareness and Training</t>
        </is>
      </c>
      <c r="D61" s="107" t="inlineStr">
        <is>
          <t>3.3.3</t>
        </is>
      </c>
      <c r="E61" s="107" t="inlineStr">
        <is>
          <t>03.03.03.0</t>
        </is>
      </c>
      <c r="F61" s="107" t="inlineStr">
        <is>
          <t>[SELECT FROM: Audit and accountability policy; procedures addressing audit records and event types; security plan; list of organization-defined event types to be logged; reviewed and updated records of logged event types; system audit logs and records; system incident reports; other relevant documents or records].</t>
        </is>
      </c>
      <c r="G61" s="107" t="inlineStr">
        <is>
          <t>[SELECT FROM: Personnel with audit and accountability responsibilities; personnel with information security responsibilities].</t>
        </is>
      </c>
      <c r="H61" s="108" t="inlineStr">
        <is>
          <t>[SELECT FROM: Mechanisms supporting review and update of logged event types].</t>
        </is>
      </c>
    </row>
    <row r="62" ht="75" customHeight="1" s="566">
      <c r="A62" s="187" t="inlineStr">
        <is>
          <t>4</t>
        </is>
      </c>
      <c r="B62" s="371" t="inlineStr">
        <is>
          <t>4.03.0</t>
        </is>
      </c>
      <c r="C62" s="107" t="inlineStr">
        <is>
          <t>Awareness and Training</t>
        </is>
      </c>
      <c r="D62" s="107" t="inlineStr">
        <is>
          <t>3.3.4</t>
        </is>
      </c>
      <c r="E62" s="107" t="inlineStr">
        <is>
          <t>03.03.04.0</t>
        </is>
      </c>
      <c r="F62" s="107" t="inlineStr">
        <is>
          <t>[SELECT FROM: Audit and accountability policy; procedures addressing response to audit logging processing failures; system design documentation; security plan; system configuration settings and associated documentation; list of personnel to be notified in case of an audit logging processing failure; system incident reports; system audit logs and records; other relevant documents or records].</t>
        </is>
      </c>
      <c r="G62" s="107" t="inlineStr">
        <is>
          <t>[SELECT FROM: Personnel with audit and accountability responsibilities; personnel with information security responsibilities; system or network administrators; system developers].</t>
        </is>
      </c>
      <c r="H62" s="108" t="inlineStr">
        <is>
          <t>[SELECT FROM: Mechanisms implementing system response to audit logging processing failures].</t>
        </is>
      </c>
    </row>
    <row r="63" ht="75" customHeight="1" s="566">
      <c r="A63" s="187" t="inlineStr">
        <is>
          <t>4</t>
        </is>
      </c>
      <c r="B63" s="371" t="inlineStr">
        <is>
          <t>4.04.0</t>
        </is>
      </c>
      <c r="C63" s="107" t="inlineStr">
        <is>
          <t>Awareness and Training</t>
        </is>
      </c>
      <c r="D63" s="107" t="inlineStr">
        <is>
          <t>3.3.5</t>
        </is>
      </c>
      <c r="E63" s="107" t="inlineStr">
        <is>
          <t>03.03.05.0</t>
        </is>
      </c>
      <c r="F63" s="107" t="inlineStr">
        <is>
          <t>[SELECT FROM: Audit and accountability policy; procedures addressing audit record review, analysis, and reporting; security plan; system design documentation; system configuration settings and associated documentation; system audit logs and records across different repositories; other relevant documents or records].</t>
        </is>
      </c>
      <c r="G63" s="107" t="inlineStr">
        <is>
          <t>[SELECT FROM: Personnel with audit record review, analysis, and reporting responsibilities; personnel with information security responsibilities].</t>
        </is>
      </c>
      <c r="H63" s="108" t="inlineStr">
        <is>
          <t>: [SELECT FROM: Mechanisms supporting analysis and correlation of audit records].</t>
        </is>
      </c>
    </row>
    <row r="64" ht="90" customHeight="1" s="566">
      <c r="A64" s="187" t="inlineStr">
        <is>
          <t>4</t>
        </is>
      </c>
      <c r="B64" s="371" t="inlineStr">
        <is>
          <t>4.05.0</t>
        </is>
      </c>
      <c r="C64" s="107" t="inlineStr">
        <is>
          <t>System and Information Integrity</t>
        </is>
      </c>
      <c r="D64" s="107" t="inlineStr">
        <is>
          <t>3.14.7</t>
        </is>
      </c>
      <c r="E64" s="107" t="inlineStr">
        <is>
          <t>03.14.07.0</t>
        </is>
      </c>
      <c r="F64" s="107" t="inlineStr">
        <is>
          <t>[SELECT FROM: Continuous monitoring strategy; system and information integrity policy; procedures addressing system monitoring tools and techniques; facility diagram/layout; security plan; system design documentation; system monitoring tools and techniques documentation; locations within system where monitoring devices are deployed; system configuration settings and associated documentation; other relevant documents or records].</t>
        </is>
      </c>
      <c r="G64" s="107" t="inlineStr">
        <is>
          <t>[SELECT FROM: System or network administrators; personnel with information security responsibilities; personnel installing, configuring, and maintaining the system; personnel with responsibility for monitoring the system].</t>
        </is>
      </c>
      <c r="H64" s="108" t="inlineStr">
        <is>
          <t>[SELECT FROM: Organizational processes for system monitoring; mechanisms supporting or implementing system monitoring capability].</t>
        </is>
      </c>
    </row>
    <row r="65" ht="75" customHeight="1" s="566">
      <c r="A65" s="187" t="inlineStr">
        <is>
          <t>4</t>
        </is>
      </c>
      <c r="B65" s="371" t="inlineStr">
        <is>
          <t>4.06.0</t>
        </is>
      </c>
      <c r="C65" s="107" t="inlineStr">
        <is>
          <t>Awareness and Training</t>
        </is>
      </c>
      <c r="D65" s="107" t="inlineStr">
        <is>
          <t>3.3.6</t>
        </is>
      </c>
      <c r="E65" s="107" t="inlineStr">
        <is>
          <t>03.03.06.0</t>
        </is>
      </c>
      <c r="F65" s="107" t="inlineStr">
        <is>
          <t>[SELECT FROM: Audit and accountability policy; procedures addressing audit record reduction and report generation; system design documentation; security plan; system configuration settings and associated documentation; audit record reduction, review, analysis, and reporting tools; system audit logs and records; other relevant documents or records].</t>
        </is>
      </c>
      <c r="G65" s="107" t="inlineStr">
        <is>
          <t>[SELECT FROM: Personnel with audit record reduction and report generation responsibilities; personnel with information security responsibilities].</t>
        </is>
      </c>
      <c r="H65" s="108" t="inlineStr">
        <is>
          <t>[SELECT FROM: Audit record reduction and report generation capability].</t>
        </is>
      </c>
    </row>
    <row r="66" ht="120" customHeight="1" s="566">
      <c r="A66" s="187" t="inlineStr">
        <is>
          <t>4</t>
        </is>
      </c>
      <c r="B66" s="371" t="inlineStr">
        <is>
          <t>4.07.0</t>
        </is>
      </c>
      <c r="C66" s="107" t="inlineStr">
        <is>
          <t>Configuration Management</t>
        </is>
      </c>
      <c r="D66" s="107" t="inlineStr">
        <is>
          <t>3.4.8</t>
        </is>
      </c>
      <c r="E66" s="107" t="inlineStr">
        <is>
          <t>03.04.08.0</t>
        </is>
      </c>
      <c r="F66" s="107" t="inlineStr">
        <is>
          <t>[SELECT FROM: Configuration management policy; procedures addressing least functionality in the system; security plan; configuration management plan; system design documentation; system configuration settings and associated documentation; list of software programs not authorized to execute on the system; list of software programs authorized to execute on the system; security configuration checklists; review and update records associated with list of authorized or unauthorized software programs; change control records; system audit logs and records; other relevant documents or records].</t>
        </is>
      </c>
      <c r="G66" s="107" t="inlineStr">
        <is>
          <t>[SELECT FROM: Personnel with responsibilities for identifying software authorized or not authorized to execute on the system; personnel with information security responsibilities; system or network administrators].</t>
        </is>
      </c>
      <c r="H66" s="108" t="inlineStr">
        <is>
          <t>[SELECT FROM: Organizational process for identifying, reviewing, and updating programs authorized or not authorized to execute on the system; process for implementing blacklisting or whitelisting; mechanisms supporting or implementing blacklisting or whitelisting].</t>
        </is>
      </c>
    </row>
    <row r="67" ht="90" customHeight="1" s="566">
      <c r="A67" s="187" t="inlineStr">
        <is>
          <t>4</t>
        </is>
      </c>
      <c r="B67" s="371" t="inlineStr">
        <is>
          <t>4.08.0</t>
        </is>
      </c>
      <c r="C67" s="107" t="inlineStr">
        <is>
          <t>Configuration Management</t>
        </is>
      </c>
      <c r="D67" s="107" t="inlineStr">
        <is>
          <t>3.4.9</t>
        </is>
      </c>
      <c r="E67" s="107" t="inlineStr">
        <is>
          <t>03.04.09.0</t>
        </is>
      </c>
      <c r="F67" s="107" t="inlineStr">
        <is>
          <t>[SELECT FROM: Configuration management policy; procedures addressing user installed software; configuration management plan; security plan; system design documentation; system configuration settings and associated documentation; list of rules governing user-installed software; system monitoring records; system audit logs and records; continuous monitoring strategy; other relevant documents or records].</t>
        </is>
      </c>
      <c r="G67" s="107" t="inlineStr">
        <is>
          <t>[SELECT FROM: Personnel with responsibilities for governing user-installed software; personnel operating, using, or maintaining the system; personnel monitoring compliance with user-installed software policy; personnel with information security responsibilities; system or network administrators].</t>
        </is>
      </c>
      <c r="H67" s="108" t="inlineStr">
        <is>
          <t>[SELECT FROM: Organizational processes governing user-installed software on the system; mechanisms enforcing rules or methods for governing the installation of software by users; mechanisms monitoring policy compliance].</t>
        </is>
      </c>
    </row>
    <row r="68" ht="135" customHeight="1" s="566">
      <c r="A68" s="187" t="inlineStr">
        <is>
          <t>4</t>
        </is>
      </c>
      <c r="B68" s="371" t="inlineStr">
        <is>
          <t>4.09.0</t>
        </is>
      </c>
      <c r="C68" s="107" t="inlineStr">
        <is>
          <t>Configuration Management</t>
        </is>
      </c>
      <c r="D68" s="107" t="inlineStr">
        <is>
          <t>3.4.7</t>
        </is>
      </c>
      <c r="E68" s="107" t="inlineStr">
        <is>
          <t>03.04.07.0</t>
        </is>
      </c>
      <c r="F68" s="107" t="inlineStr">
        <is>
          <t>[SELECT FROM: Configuration management policy; procedures addressing least functionality in the system; configuration management plan; security plan; system design documentation; system configuration settings and associated documentation;  specifications for preventing software program execution; security configuration checklists; documented reviews of programs, functions, ports, protocols, and/or services; change control records; system audit logs and records; other relevant documents or records].</t>
        </is>
      </c>
      <c r="G68" s="107" t="inlineStr">
        <is>
          <t>[SELECT FROM: Personnel with responsibilities for reviewing programs, functions, ports, protocols, and services on the system; personnel with information security responsibilities; system or network administrators; system developers].</t>
        </is>
      </c>
      <c r="H68" s="108" t="inlineStr">
        <is>
          <t>[SELECT FROM: Organizational processes for reviewing and disabling nonessential programs, functions, ports, protocols, or services; mechanisms implementing review and handling of nonessential programs, functions, ports, protocols, or services; organizational processes preventing program execution on the system; organizational processes for software program usage and restrictions; mechanisms supporting or implementing software program usage and restrictions; mechanisms preventing program execution on the system].</t>
        </is>
      </c>
    </row>
    <row r="69" ht="75" customHeight="1" s="566">
      <c r="A69" s="187" t="inlineStr">
        <is>
          <t>4</t>
        </is>
      </c>
      <c r="B69" s="371" t="inlineStr">
        <is>
          <t>4.10.0</t>
        </is>
      </c>
      <c r="C69" s="107" t="inlineStr">
        <is>
          <t>System and Communications Protection</t>
        </is>
      </c>
      <c r="D69" s="107" t="inlineStr">
        <is>
          <t>3.13.12</t>
        </is>
      </c>
      <c r="E69" s="107" t="inlineStr">
        <is>
          <t>03.13.12.0</t>
        </is>
      </c>
      <c r="F69" s="107" t="inlineStr">
        <is>
          <t xml:space="preserve">[SELECT FROM: System and communications protection policy; procedures addressing collaborative computing; access control policy and procedures; security plan; system design documentation; system configuration settings and associated documentation; system audit logs and records; other relevant documents or records]. </t>
        </is>
      </c>
      <c r="G69" s="107" t="inlineStr">
        <is>
          <t xml:space="preserve">[SELECT FROM: System or network administrators; personnel with information security responsibilities; system developer; personnel with responsibilities for managing collaborative computing devices]. </t>
        </is>
      </c>
      <c r="H69" s="108" t="inlineStr">
        <is>
          <t xml:space="preserve">[SELECT FROM: Mechanisms supporting or implementing management of remote activation of collaborative computing devices; mechanisms providing an indication of use of collaborative computing devices].  </t>
        </is>
      </c>
    </row>
    <row r="70" ht="60" customHeight="1" s="566">
      <c r="A70" s="187" t="inlineStr">
        <is>
          <t>4</t>
        </is>
      </c>
      <c r="B70" s="371" t="inlineStr">
        <is>
          <t>4.11.0</t>
        </is>
      </c>
      <c r="C70" s="107" t="inlineStr">
        <is>
          <t>System and Communications Protection</t>
        </is>
      </c>
      <c r="D70" s="107" t="inlineStr">
        <is>
          <t>3.13.4</t>
        </is>
      </c>
      <c r="E70" s="107" t="inlineStr">
        <is>
          <t>03.13.04.0</t>
        </is>
      </c>
      <c r="F70" s="107" t="inlineStr">
        <is>
          <t xml:space="preserve">[SELECT FROM: System and communications protection policy; procedures addressing application partitioning; security plan; system design documentation; system configuration settings and associated documentation; system audit logs and records; other relevant documents or records]. </t>
        </is>
      </c>
      <c r="G70" s="107" t="inlineStr">
        <is>
          <t xml:space="preserve">[SELECT FROM: System or network administrators; personnel with information security responsibilities; system developer]. </t>
        </is>
      </c>
      <c r="H70" s="108" t="inlineStr">
        <is>
          <t xml:space="preserve">[SELECT FROM: Separation of user functionality from system management functionality]. </t>
        </is>
      </c>
    </row>
    <row r="71" ht="75" customHeight="1" s="566">
      <c r="A71" s="187" t="inlineStr">
        <is>
          <t>4</t>
        </is>
      </c>
      <c r="B71" s="371" t="inlineStr">
        <is>
          <t>4.12.0</t>
        </is>
      </c>
      <c r="C71" s="107" t="inlineStr">
        <is>
          <t>Awareness and Training</t>
        </is>
      </c>
      <c r="D71" s="107" t="inlineStr">
        <is>
          <t>3.3.8</t>
        </is>
      </c>
      <c r="E71" s="107" t="inlineStr">
        <is>
          <t>03.03.08.0</t>
        </is>
      </c>
      <c r="F71" s="107" t="inlineStr">
        <is>
          <t>[SELECT FROM: Audit and accountability policy; access control policy and procedures; procedures addressing protection of audit information; security plan; system design documentation; system configuration settings and associated documentation, system audit logs and records; audit logging tools; other relevant documents or records].</t>
        </is>
      </c>
      <c r="G71" s="107" t="inlineStr">
        <is>
          <t>[SELECT FROM: Personnel with audit and accountability responsibilities; personnel with information security responsibilities; system or network administrators; system developers].</t>
        </is>
      </c>
      <c r="H71" s="108" t="inlineStr">
        <is>
          <t>[SELECT FROM: Mechanisms implementing audit information protection].</t>
        </is>
      </c>
    </row>
    <row r="72" ht="105" customHeight="1" s="566">
      <c r="A72" s="187" t="inlineStr">
        <is>
          <t>4</t>
        </is>
      </c>
      <c r="B72" s="371" t="inlineStr">
        <is>
          <t>4.13.0</t>
        </is>
      </c>
      <c r="C72" s="107" t="inlineStr">
        <is>
          <t>Awareness and Training</t>
        </is>
      </c>
      <c r="D72" s="107" t="inlineStr">
        <is>
          <t>3.3.9</t>
        </is>
      </c>
      <c r="E72" s="107" t="inlineStr">
        <is>
          <t>03.03.09.0</t>
        </is>
      </c>
      <c r="F72" s="107" t="inlineStr">
        <is>
          <t>[SELECT FROM: Audit and accountability policy; access control policy and procedures; procedures addressing protection of audit information; security plan; system design documentation; system configuration settings and associated documentation; access authorizations; system-generated list of privileged users with access to management of audit logging functionality; access control list; system audit logs and records; other relevant documents or records].</t>
        </is>
      </c>
      <c r="G72" s="107" t="inlineStr">
        <is>
          <t>[SELECT FROM: Personnel with audit and accountability responsibilities; personnel with information security responsibilities; system or network administrators; system developers].</t>
        </is>
      </c>
      <c r="H72" s="108" t="inlineStr">
        <is>
          <t>[SELECT FROM: Mechanisms managing access to audit logging functionality].</t>
        </is>
      </c>
    </row>
    <row r="73" ht="120" customHeight="1" s="566">
      <c r="A73" s="187" t="inlineStr">
        <is>
          <t>4</t>
        </is>
      </c>
      <c r="B73" s="371" t="inlineStr">
        <is>
          <t>4.14.0</t>
        </is>
      </c>
      <c r="C73" s="107" t="inlineStr">
        <is>
          <t>Configuration Management</t>
        </is>
      </c>
      <c r="D73" s="107" t="inlineStr">
        <is>
          <t>3.4.1</t>
        </is>
      </c>
      <c r="E73" s="107" t="inlineStr">
        <is>
          <t>03.04.01.0</t>
        </is>
      </c>
      <c r="F73" s="107" t="inlineStr">
        <is>
          <t>[SELECT FROM: Configuration management policy; procedures addressing the baseline configuration of the system; procedures addressing system inventory; security plan; configuration management plan; system inventory records; inventory review and update records; enterprise architecture documentation; system design documentation; system architecture and configuration documentation; system configuration settings and associated documentation; change control records; system component installation records; system component removal records; other relevant documents or records].</t>
        </is>
      </c>
      <c r="G73" s="107" t="inlineStr">
        <is>
          <t>[SELECT FROM:  Personnel with configuration management responsibilities; personnel with responsibilities for establishing the system inventory; personnel with responsibilities for updating the system inventory; personnel with information security responsibilities; system or network administrators].</t>
        </is>
      </c>
      <c r="H73" s="108" t="inlineStr">
        <is>
          <t>[SELECT FROM:  Organizational processes for managing baseline configurations; mechanisms supporting configuration control of the baseline configuration; organizational processes for developing and documenting an inventory of system components; organizational processes for updating inventory of system components; mechanisms supporting or implementing the system inventory; mechanisms implementing updating of the system inventory].</t>
        </is>
      </c>
    </row>
    <row r="74" ht="105" customHeight="1" s="566">
      <c r="A74" s="187" t="inlineStr">
        <is>
          <t>4</t>
        </is>
      </c>
      <c r="B74" s="371" t="inlineStr">
        <is>
          <t>4.15.0</t>
        </is>
      </c>
      <c r="C74" s="107" t="inlineStr">
        <is>
          <t>Configuration Management</t>
        </is>
      </c>
      <c r="D74" s="107" t="inlineStr">
        <is>
          <t>3.4.2</t>
        </is>
      </c>
      <c r="E74" s="107" t="inlineStr">
        <is>
          <t>03.04.02.0</t>
        </is>
      </c>
      <c r="F74" s="107" t="inlineStr">
        <is>
          <t>[SELECT FROM:  Configuration management policy; procedures addressing configuration settings for the system; configuration management plan; security plan; system design documentation; system configuration settings and associated documentation; security configuration checklists; evidence supporting approved deviations from established configuration settings; change control records; system audit logs and records; other relevant documents or records].</t>
        </is>
      </c>
      <c r="G74" s="107" t="inlineStr">
        <is>
          <t>[SELECT FROM: Personnel with security configuration management responsibilities; personnel with information security responsibilities; system or network administrators].</t>
        </is>
      </c>
      <c r="H74" s="108" t="inlineStr">
        <is>
          <t>[SELECT FROM: Organizational processes for managing configuration settings; mechanisms that implement, monitor, and/or control system configuration settings; mechanisms that identify and/or document deviations from established configuration settings].</t>
        </is>
      </c>
    </row>
    <row r="75" ht="60" customHeight="1" s="566">
      <c r="A75" s="187" t="inlineStr">
        <is>
          <t>4</t>
        </is>
      </c>
      <c r="B75" s="371" t="inlineStr">
        <is>
          <t>4.16.0</t>
        </is>
      </c>
      <c r="C75" s="107" t="inlineStr">
        <is>
          <t>Identification and Authentication</t>
        </is>
      </c>
      <c r="D75" s="107" t="inlineStr">
        <is>
          <t>3.5.11</t>
        </is>
      </c>
      <c r="E75" s="107" t="inlineStr">
        <is>
          <t>03.05.11.0</t>
        </is>
      </c>
      <c r="F75" s="107" t="inlineStr">
        <is>
          <t>[SELECT FROM: Identification and authentication policy; procedures addressing authenticator feedback; security plan; system design documentation; system configuration settings and associated documentation; system audit logs and records; other relevant documents or records].</t>
        </is>
      </c>
      <c r="G75" s="107" t="inlineStr">
        <is>
          <t>[SELECT FROM: Personnel with information security responsibilities; system or network administrators; system developers].</t>
        </is>
      </c>
      <c r="H75" s="108" t="inlineStr">
        <is>
          <t>[SELECT FROM:  Mechanisms supporting or implementing the obscuring of feedback of authentication information during authentication].</t>
        </is>
      </c>
    </row>
    <row r="76" ht="60" customHeight="1" s="566">
      <c r="A76" s="187" t="inlineStr">
        <is>
          <t>4</t>
        </is>
      </c>
      <c r="B76" s="371" t="inlineStr">
        <is>
          <t>4.17.0</t>
        </is>
      </c>
      <c r="C76" s="107" t="inlineStr">
        <is>
          <t>Access Control</t>
        </is>
      </c>
      <c r="D76" s="107" t="inlineStr">
        <is>
          <t>3.1.21</t>
        </is>
      </c>
      <c r="E76" s="107" t="inlineStr">
        <is>
          <t>03.01.21.0</t>
        </is>
      </c>
      <c r="F76" s="107" t="inlineStr">
        <is>
          <t>[SELECT FROM: Access control policy; procedures addressing the use of external systems; security plan; system configuration settings and associated documentation; system connection or processing agreements; account management documents; other relevant documents or records].</t>
        </is>
      </c>
      <c r="G76" s="107" t="inlineStr">
        <is>
          <t>[SELECT FROM: Personnel with responsibilities for restricting or prohibiting use of organization-controlled storage devices on external systems; system or network administrators; personnel with information security responsibilities].</t>
        </is>
      </c>
      <c r="H76" s="108" t="inlineStr">
        <is>
          <t>[SELECT FROM: Mechanisms implementing restrictions on use of portable storage devices].</t>
        </is>
      </c>
    </row>
    <row r="77" ht="75" customHeight="1" s="566">
      <c r="A77" s="187" t="inlineStr">
        <is>
          <t>4</t>
        </is>
      </c>
      <c r="B77" s="371" t="inlineStr">
        <is>
          <t>4.18.0</t>
        </is>
      </c>
      <c r="C77" s="107" t="inlineStr">
        <is>
          <t>Media Protection</t>
        </is>
      </c>
      <c r="D77" s="107" t="inlineStr">
        <is>
          <t>3.8.7</t>
        </is>
      </c>
      <c r="E77" s="107" t="inlineStr">
        <is>
          <t>03.08.07.0</t>
        </is>
      </c>
      <c r="F77" s="107" t="inlineStr">
        <is>
          <t>[SELECT FROM: System media protection policy; system use policy; procedures addressing media usage restrictions; security plan; rules of behavior; system design documentation; system configuration settings and associated documentation; system audit logs and records; other relevant documents or records].</t>
        </is>
      </c>
      <c r="G77" s="107" t="inlineStr">
        <is>
          <t>[SELECT FROM: Personnel with system media use responsibilities; personnel with information security responsibilities; system or network administrators].</t>
        </is>
      </c>
      <c r="H77" s="108" t="inlineStr">
        <is>
          <t>[SELECT FROM: Organizational processes for media use; mechanisms restricting or prohibiting use of system media on systems or system components].</t>
        </is>
      </c>
    </row>
    <row r="78" ht="75" customHeight="1" s="566">
      <c r="A78" s="187" t="inlineStr">
        <is>
          <t>4</t>
        </is>
      </c>
      <c r="B78" s="371" t="inlineStr">
        <is>
          <t>4.19.0</t>
        </is>
      </c>
      <c r="C78" s="107" t="inlineStr">
        <is>
          <t>Media Protection</t>
        </is>
      </c>
      <c r="D78" s="107" t="inlineStr">
        <is>
          <t>3.8.8</t>
        </is>
      </c>
      <c r="E78" s="107" t="inlineStr">
        <is>
          <t>03.08.08.0</t>
        </is>
      </c>
      <c r="F78" s="107" t="inlineStr">
        <is>
          <t>[SELECT FROM: System media protection policy; system use policy; procedures addressing media usage restrictions; security plan; rules of behavior; system design documentation; system configuration settings and associated documentation; system audit logs and records; other relevant documents or records].</t>
        </is>
      </c>
      <c r="G78" s="107" t="inlineStr">
        <is>
          <t>[SELECT FROM: Personnel with system media use responsibilities; personnel with information security responsibilities; system or network administrators].</t>
        </is>
      </c>
      <c r="H78" s="108" t="inlineStr">
        <is>
          <t>[SELECT FROM:  Organizational processes for media use; mechanisms prohibiting use of media on systems or system components].</t>
        </is>
      </c>
    </row>
    <row r="79" ht="45" customHeight="1" s="566">
      <c r="A79" s="187" t="inlineStr">
        <is>
          <t>4</t>
        </is>
      </c>
      <c r="B79" s="371" t="inlineStr">
        <is>
          <t>4.20.0</t>
        </is>
      </c>
      <c r="C79" s="107" t="inlineStr">
        <is>
          <t>Maintenance</t>
        </is>
      </c>
      <c r="D79" s="107" t="inlineStr">
        <is>
          <t>3.7.4</t>
        </is>
      </c>
      <c r="E79" s="107" t="inlineStr">
        <is>
          <t>03.07.04.0</t>
        </is>
      </c>
      <c r="F79" s="107" t="inlineStr">
        <is>
          <t>[SELECT FROM: System maintenance policy; procedures addressing system maintenance tools; system maintenance tools and associated documentation; maintenance records; security plan; other relevant documents or records].</t>
        </is>
      </c>
      <c r="G79" s="107" t="inlineStr">
        <is>
          <t>[SELECT FROM: Personnel with system maintenance responsibilities; personnel with information security responsibilities].</t>
        </is>
      </c>
      <c r="H79" s="108" t="inlineStr">
        <is>
          <t>[select from:  Organizational process for inspecting media for malicious code; mechanisms supporting or implementing inspection of media used for maintenance].</t>
        </is>
      </c>
    </row>
    <row r="80" ht="60" customHeight="1" s="566">
      <c r="A80" s="187" t="inlineStr">
        <is>
          <t>4</t>
        </is>
      </c>
      <c r="B80" s="371" t="inlineStr">
        <is>
          <t>4.21.0</t>
        </is>
      </c>
      <c r="C80" s="107" t="inlineStr">
        <is>
          <t>Media Protection</t>
        </is>
      </c>
      <c r="D80" s="107" t="inlineStr">
        <is>
          <t>3.8.2</t>
        </is>
      </c>
      <c r="E80" s="107" t="inlineStr">
        <is>
          <t>03.08.02.0</t>
        </is>
      </c>
      <c r="F80" s="107" t="inlineStr">
        <is>
          <t>[SELECT FROM: System media protection policy; procedures addressing media storage; physical and environmental protection policy and procedures; access control policy and procedures; security plan; system media; designated controlled areas; other relevant documents or records].</t>
        </is>
      </c>
      <c r="G80" s="107" t="inlineStr">
        <is>
          <t>[SELECT FROM: Personnel with system media protection and storage responsibilities; personnel with information security responsibilities].</t>
        </is>
      </c>
      <c r="H80" s="108" t="inlineStr">
        <is>
          <t>[SELECT FROM: Organizational processes for storing media; mechanisms supporting or implementing secure media storage and media protection].</t>
        </is>
      </c>
    </row>
    <row r="81" ht="75" customHeight="1" s="566">
      <c r="A81" s="187" t="inlineStr">
        <is>
          <t>4</t>
        </is>
      </c>
      <c r="B81" s="371" t="inlineStr">
        <is>
          <t>4.22.0</t>
        </is>
      </c>
      <c r="C81" s="107" t="inlineStr">
        <is>
          <t>Access Control</t>
        </is>
      </c>
      <c r="D81" s="107" t="inlineStr">
        <is>
          <t>3.1.19</t>
        </is>
      </c>
      <c r="E81" s="107" t="inlineStr">
        <is>
          <t>03.01.19.0</t>
        </is>
      </c>
      <c r="F81" s="107" t="inlineStr">
        <is>
          <t>[SELECT FROM: Access control policy; procedures addressing access control for mobile devices; system design documentation; system configuration settings and associated documentation; encryption mechanisms and associated configuration documentation; security plan; system audit logs and records; other relevant documents or records].</t>
        </is>
      </c>
      <c r="G81" s="107" t="inlineStr">
        <is>
          <t>[SELECT FROM: Personnel with access control responsibilities for mobile devices; system or network administrators; personnel with information security responsibilities].</t>
        </is>
      </c>
      <c r="H81" s="108" t="inlineStr">
        <is>
          <t>[SELECT FROM: Encryption mechanisms protecting confidentiality of information on mobile devices].</t>
        </is>
      </c>
    </row>
    <row r="82" ht="60.75" customHeight="1" s="566">
      <c r="A82" s="193" t="inlineStr">
        <is>
          <t>4</t>
        </is>
      </c>
      <c r="B82" s="372" t="inlineStr">
        <is>
          <t>4.23.0</t>
        </is>
      </c>
      <c r="C82" s="118" t="inlineStr">
        <is>
          <t>Media Protection</t>
        </is>
      </c>
      <c r="D82" s="118" t="inlineStr">
        <is>
          <t>3.8.1</t>
        </is>
      </c>
      <c r="E82" s="118" t="inlineStr">
        <is>
          <t>03.08.01.0</t>
        </is>
      </c>
      <c r="F82" s="118" t="inlineStr">
        <is>
          <t>[SELECT FROM: System media protection policy; procedures addressing media access restrictions; access control policy and procedures; physical and environmental protection policy and procedures; security plan; media storage facilities; access control records; other relevant documents or records].</t>
        </is>
      </c>
      <c r="G82" s="118" t="inlineStr">
        <is>
          <t>[SELECT FROM: Personnel with system media protection responsibilities; personnel with information security responsibilities; system or network administrators].</t>
        </is>
      </c>
      <c r="H82" s="119" t="inlineStr">
        <is>
          <t>[SELECT FROM: Organizational processes for restricting information media; mechanisms supporting or implementing media access restrictions].</t>
        </is>
      </c>
    </row>
    <row r="83" ht="60" customHeight="1" s="566">
      <c r="A83" s="201" t="inlineStr">
        <is>
          <t>5</t>
        </is>
      </c>
      <c r="B83" s="373" t="inlineStr">
        <is>
          <t>5.01.0</t>
        </is>
      </c>
      <c r="C83" s="95" t="inlineStr">
        <is>
          <t>System and Communications Protection</t>
        </is>
      </c>
      <c r="D83" s="95" t="inlineStr">
        <is>
          <t>3.13.6</t>
        </is>
      </c>
      <c r="E83" s="95" t="inlineStr">
        <is>
          <t>03.13.06.0</t>
        </is>
      </c>
      <c r="F83" s="95" t="inlineStr">
        <is>
          <t xml:space="preserve">[SELECT FROM: System and communications protection policy; procedures addressing boundary protection; security plan; system design documentation; system configuration settings and associated documentation; system audit logs and records; other relevant documents or records]. </t>
        </is>
      </c>
      <c r="G83" s="95" t="inlineStr">
        <is>
          <t xml:space="preserve">[SELECT FROM: System or network administrators; personnel with information security responsibilities; system developer; personnel with boundary protection responsibilities]. </t>
        </is>
      </c>
      <c r="H83" s="96" t="inlineStr">
        <is>
          <t xml:space="preserve">[SELECT FROM: Mechanisms implementing traffic management at managed interfaces]. </t>
        </is>
      </c>
    </row>
    <row r="84" ht="75" customHeight="1" s="566">
      <c r="A84" s="203" t="inlineStr">
        <is>
          <t>5</t>
        </is>
      </c>
      <c r="B84" s="374" t="inlineStr">
        <is>
          <t>5.02.0</t>
        </is>
      </c>
      <c r="C84" s="107" t="inlineStr">
        <is>
          <t>System and Communications Protection</t>
        </is>
      </c>
      <c r="D84" s="107" t="inlineStr">
        <is>
          <t>3.13.7</t>
        </is>
      </c>
      <c r="E84" s="107" t="inlineStr">
        <is>
          <t>03.13.07.0</t>
        </is>
      </c>
      <c r="F84" s="107" t="inlineStr">
        <is>
          <t xml:space="preserve">[SELECT FROM: System and communications protection policy; procedures addressing boundary protection; security plan; system design documentation; system hardware and software; system architecture; system configuration settings and associated documentation; system audit logs and records; other relevant documents or records]. </t>
        </is>
      </c>
      <c r="G84" s="107" t="inlineStr">
        <is>
          <t xml:space="preserve">[SELECT FROM: System or network administrators; personnel with information security responsibilities; system developer; personnel with boundary protection responsibilities]. </t>
        </is>
      </c>
      <c r="H84" s="108" t="inlineStr">
        <is>
          <t xml:space="preserve">[SELECT FROM: Mechanisms implementing boundary protection capability; mechanisms supporting or restricting non-remote connections].  </t>
        </is>
      </c>
    </row>
    <row r="85" ht="75" customHeight="1" s="566">
      <c r="A85" s="203" t="inlineStr">
        <is>
          <t>5</t>
        </is>
      </c>
      <c r="B85" s="374" t="inlineStr">
        <is>
          <t>5.03.0</t>
        </is>
      </c>
      <c r="C85" s="107" t="inlineStr">
        <is>
          <t>Access Control</t>
        </is>
      </c>
      <c r="D85" s="107" t="inlineStr">
        <is>
          <t>3.1.7</t>
        </is>
      </c>
      <c r="E85" s="107" t="inlineStr">
        <is>
          <t>03.01.07.0</t>
        </is>
      </c>
      <c r="F85" s="107" t="inlineStr">
        <is>
          <t>[SELECT FROM: Access control policy; procedures addressing least privilege; security plan; system design documentation; list of privileged functions and associated user account assignments; system configuration settings and associated documentation; system audit logs and records; other relevant documents or records].</t>
        </is>
      </c>
      <c r="G85" s="107" t="inlineStr">
        <is>
          <t>[SELECT FROM: Personnel with responsibilities for defining least privileges necessary to accomplish specified tasks; personnel with information security responsibilities; system developers].</t>
        </is>
      </c>
      <c r="H85" s="108" t="inlineStr">
        <is>
          <t>[SELECT FROM: Mechanisms implementing least privilege functions for non-privileged users; mechanisms auditing the execution of privileged functions].</t>
        </is>
      </c>
    </row>
    <row r="86" ht="105" customHeight="1" s="566">
      <c r="A86" s="203" t="inlineStr">
        <is>
          <t>5</t>
        </is>
      </c>
      <c r="B86" s="374" t="inlineStr">
        <is>
          <t>5.04.0</t>
        </is>
      </c>
      <c r="C86" s="107" t="inlineStr">
        <is>
          <t>Configuration Management</t>
        </is>
      </c>
      <c r="D86" s="107" t="inlineStr">
        <is>
          <t>3.4.5</t>
        </is>
      </c>
      <c r="E86" s="107" t="inlineStr">
        <is>
          <t>03.04.05.0</t>
        </is>
      </c>
      <c r="F86" s="107" t="inlineStr">
        <is>
          <t>[SELECT FROM: Configuration management policy; procedures addressing access restrictions for changes to the system; security plan; configuration management plan; system design documentation; system architecture and configuration documentation; system configuration settings and associated documentation; logical access approvals; physical access approvals; access credentials; change control records; system audit logs and records; other relevant documents or records].</t>
        </is>
      </c>
      <c r="G86" s="107" t="inlineStr">
        <is>
          <t>[SELECT FROM: Personnel with logical access control responsibilities; personnel with physical access control responsibilities; personnel with information security responsibilities; system or network administrators].</t>
        </is>
      </c>
      <c r="H86" s="108" t="inlineStr">
        <is>
          <t>[SELECT FROM: Organizational processes for managing access restrictions associated with changes to the system; mechanisms supporting, implementing, and enforcing access restrictions associated with changes to the system].</t>
        </is>
      </c>
    </row>
    <row r="87" ht="75" customHeight="1" s="566">
      <c r="A87" s="203" t="inlineStr">
        <is>
          <t>5</t>
        </is>
      </c>
      <c r="B87" s="374" t="inlineStr">
        <is>
          <t>5.05.0</t>
        </is>
      </c>
      <c r="C87" s="107" t="inlineStr">
        <is>
          <t>Configuration Management</t>
        </is>
      </c>
      <c r="D87" s="107" t="inlineStr">
        <is>
          <t>3.4.6</t>
        </is>
      </c>
      <c r="E87" s="107" t="inlineStr">
        <is>
          <t>03.04.06.0</t>
        </is>
      </c>
      <c r="F87" s="107" t="inlineStr">
        <is>
          <t>[SELECT FROM: Configuration management policy; configuration management plan; procedures addressing least functionality in the system; security plan; system design documentation; system configuration settings and associated documentation; security configuration checklists; other relevant documents or records].</t>
        </is>
      </c>
      <c r="G87" s="107" t="inlineStr">
        <is>
          <t>[SELECT FROM: Personnel with security configuration management responsibilities; personnel with information security responsibilities; system or network administrators].</t>
        </is>
      </c>
      <c r="H87" s="108" t="inlineStr">
        <is>
          <t>[SELECT FROM: Organizational processes prohibiting or restricting functions, ports, protocols, or services; mechanisms implementing restrictions or prohibition of functions, ports, protocols, or services].</t>
        </is>
      </c>
    </row>
    <row r="88" ht="90" customHeight="1" s="566">
      <c r="A88" s="203" t="inlineStr">
        <is>
          <t>5</t>
        </is>
      </c>
      <c r="B88" s="374" t="inlineStr">
        <is>
          <t>5.06.0</t>
        </is>
      </c>
      <c r="C88" s="107" t="inlineStr">
        <is>
          <t>Configuration Management</t>
        </is>
      </c>
      <c r="D88" s="107" t="inlineStr">
        <is>
          <t>3.4.3</t>
        </is>
      </c>
      <c r="E88" s="107" t="inlineStr">
        <is>
          <t>03.04.03.0</t>
        </is>
      </c>
      <c r="F88" s="107" t="inlineStr">
        <is>
          <t>[SELECT FROM: Configuration management policy; procedures addressing system configuration change control; configuration management plan; system architecture and configuration documentation; security plan; change control records; system audit logs and records; change control audit and review reports; agenda/minutes from configuration change control oversight meetings; other relevant documents or records].</t>
        </is>
      </c>
      <c r="G88" s="107" t="inlineStr">
        <is>
          <t>[SELECT FROM: Personnel with configuration change control responsibilities; personnel with information security responsibilities; system or network administrators; members of change control board or similar].</t>
        </is>
      </c>
      <c r="H88" s="108" t="inlineStr">
        <is>
          <t>[SELECT FROM: Organizational processes for configuration change control; mechanisms that implement configuration change control].</t>
        </is>
      </c>
    </row>
    <row r="89" ht="75" customHeight="1" s="566">
      <c r="A89" s="203" t="inlineStr">
        <is>
          <t>5</t>
        </is>
      </c>
      <c r="B89" s="374" t="inlineStr">
        <is>
          <t>5.07.0</t>
        </is>
      </c>
      <c r="C89" s="107" t="inlineStr">
        <is>
          <t>Configuration Management</t>
        </is>
      </c>
      <c r="D89" s="107" t="inlineStr">
        <is>
          <t>3.4.4</t>
        </is>
      </c>
      <c r="E89" s="107" t="inlineStr">
        <is>
          <t>03.04.04.0</t>
        </is>
      </c>
      <c r="F89" s="107" t="inlineStr">
        <is>
          <t>[SELECT FROM: Configuration management policy; procedures addressing security impact analysis for changes to the system; configuration management plan; security impact analysis documentation; security plan; analysis tools and associated outputs; change control records; system audit logs and records; other relevant documents or records].</t>
        </is>
      </c>
      <c r="G89" s="107" t="inlineStr">
        <is>
          <t>[SELECT FROM: Personnel with responsibility for conducting security impact analysis; personnel with information security responsibilities; system or network administrators].</t>
        </is>
      </c>
      <c r="H89" s="108" t="inlineStr">
        <is>
          <t>[SELECT FROM: Organizational processes for security impact analysis].</t>
        </is>
      </c>
    </row>
    <row r="90" ht="75" customHeight="1" s="566">
      <c r="A90" s="203" t="inlineStr">
        <is>
          <t>5</t>
        </is>
      </c>
      <c r="B90" s="374" t="inlineStr">
        <is>
          <t>5.08.0</t>
        </is>
      </c>
      <c r="C90" s="107" t="inlineStr">
        <is>
          <t>Security Assessment</t>
        </is>
      </c>
      <c r="D90" s="107" t="inlineStr">
        <is>
          <t>3.12.3</t>
        </is>
      </c>
      <c r="E90" s="107" t="inlineStr">
        <is>
          <t>03.12.03.0</t>
        </is>
      </c>
      <c r="F90" s="107" t="inlineStr">
        <is>
          <t xml:space="preserve">[SELECT FROM: Security planning policy; organizational procedures addressing security plan development and implementation; procedures addressing security plan reviews and updates; enterprise architecture documentation; security plan; records of security plan reviews and updates; other relevant documents or records]. </t>
        </is>
      </c>
      <c r="G90" s="107" t="inlineStr">
        <is>
          <t xml:space="preserve">[SELECT FROM: Personnel with security planning and plan implementation responsibilities; personnel with information security responsibilities]. </t>
        </is>
      </c>
      <c r="H90" s="108" t="inlineStr">
        <is>
          <t xml:space="preserve">[SELECT FROM: Organizational processes for security plan development, review, update, and approval; mechanisms supporting the security plan]. </t>
        </is>
      </c>
    </row>
    <row r="91" ht="60" customHeight="1" s="566">
      <c r="A91" s="203" t="inlineStr">
        <is>
          <t>5</t>
        </is>
      </c>
      <c r="B91" s="374" t="inlineStr">
        <is>
          <t>5.09.0</t>
        </is>
      </c>
      <c r="C91" s="107" t="inlineStr">
        <is>
          <t>Media Protection</t>
        </is>
      </c>
      <c r="D91" s="107" t="inlineStr">
        <is>
          <t>3.8.4</t>
        </is>
      </c>
      <c r="E91" s="107" t="inlineStr">
        <is>
          <t>03.08.04.0</t>
        </is>
      </c>
      <c r="F91" s="107" t="inlineStr">
        <is>
          <t>[SELECT FROM: System media protection policy; procedures addressing media marking; physical and environmental protection policy and procedures; security plan; list of system media marking security attributes; designated controlled areas; other relevant documents or records].</t>
        </is>
      </c>
      <c r="G91" s="107" t="inlineStr">
        <is>
          <t>[SELECT FROM: Personnel with system media protection and marking responsibilities; personnel with information security responsibilities].</t>
        </is>
      </c>
      <c r="H91" s="108" t="inlineStr">
        <is>
          <t>[SELECT FROM: Organizational processes for marking information media; mechanisms supporting or implementing media marking].</t>
        </is>
      </c>
    </row>
    <row r="92" ht="90" customHeight="1" s="566">
      <c r="A92" s="203" t="inlineStr">
        <is>
          <t>5</t>
        </is>
      </c>
      <c r="B92" s="374" t="inlineStr">
        <is>
          <t>5.10.0</t>
        </is>
      </c>
      <c r="C92" s="107" t="inlineStr">
        <is>
          <t>Access Control</t>
        </is>
      </c>
      <c r="D92" s="107" t="inlineStr">
        <is>
          <t>3.1.9</t>
        </is>
      </c>
      <c r="E92" s="107" t="inlineStr">
        <is>
          <t>03.01.09.0</t>
        </is>
      </c>
      <c r="F92" s="107" t="inlineStr">
        <is>
          <t>SELECT FROM: Access control policy; privacy and security policies, procedures addressing system use notification; documented approval of system use notification messages or banners; system audit logs and records; system design documentation; user acknowledgements of notification message or banner; security plan; system use notification messages; system configuration settings and associated documentation; other relevant documents or records].</t>
        </is>
      </c>
      <c r="G92" s="107" t="inlineStr">
        <is>
          <t>[SELECT FROM: System or network administrators; personnel with information security responsibilities; personnel with responsibility for providing legal advice; system developers].</t>
        </is>
      </c>
      <c r="H92" s="108" t="inlineStr">
        <is>
          <t>[SELECT FROM: Mechanisms implementing system use notification].</t>
        </is>
      </c>
    </row>
    <row r="93" ht="90" customHeight="1" s="566">
      <c r="A93" s="203" t="inlineStr">
        <is>
          <t>5</t>
        </is>
      </c>
      <c r="B93" s="374" t="inlineStr">
        <is>
          <t>5.11.0</t>
        </is>
      </c>
      <c r="C93" s="107" t="inlineStr">
        <is>
          <t>System and Communications Protection</t>
        </is>
      </c>
      <c r="D93" s="107" t="inlineStr">
        <is>
          <t>3.13.16</t>
        </is>
      </c>
      <c r="E93" s="107" t="inlineStr">
        <is>
          <t>03.13.16.0</t>
        </is>
      </c>
      <c r="F93" s="107" t="inlineStr">
        <is>
          <t xml:space="preserve">[SELECT FROM: System and communications protection policy; procedures addressing protection of information at rest; security plan; system design documentation; list of information at rest requiring confidentiality protections; system configuration settings and associated documentation; cryptographic mechanisms and associated configuration documentation; other relevant documents or records]. </t>
        </is>
      </c>
      <c r="G93" s="107" t="inlineStr">
        <is>
          <t xml:space="preserve">[SELECT FROM: System or network administrators; personnel with information security responsibilities; system developer]. </t>
        </is>
      </c>
      <c r="H93" s="108" t="inlineStr">
        <is>
          <t xml:space="preserve">[SELECT FROM: Mechanisms supporting or implementing confidentiality protections for information at rest].  </t>
        </is>
      </c>
    </row>
    <row r="94" ht="45" customHeight="1" s="566">
      <c r="A94" s="203" t="inlineStr">
        <is>
          <t>5</t>
        </is>
      </c>
      <c r="B94" s="374" t="inlineStr">
        <is>
          <t>5.12.0</t>
        </is>
      </c>
      <c r="C94" s="107" t="inlineStr">
        <is>
          <t>Media Protection</t>
        </is>
      </c>
      <c r="D94" s="107" t="inlineStr">
        <is>
          <t>3.8.9</t>
        </is>
      </c>
      <c r="E94" s="107" t="inlineStr">
        <is>
          <t>03.08.09.0</t>
        </is>
      </c>
      <c r="F94" s="107" t="inlineStr">
        <is>
          <t>[SELECT FROM: Procedures addressing system backup; security plan; backup storage location(s); system backup logs or records; other relevant documents or records].</t>
        </is>
      </c>
      <c r="G94" s="107" t="inlineStr">
        <is>
          <t>[[SELECT FROM: Personnel with system backup responsibilities; personnel with information security responsibilities].</t>
        </is>
      </c>
      <c r="H94" s="108" t="inlineStr">
        <is>
          <t>[SELECT FROM: Organizational processes for conducting system backups; mechanisms supporting or implementing system backups].</t>
        </is>
      </c>
    </row>
    <row r="95" ht="90" customHeight="1" s="566">
      <c r="A95" s="203" t="inlineStr">
        <is>
          <t>5</t>
        </is>
      </c>
      <c r="B95" s="374" t="inlineStr">
        <is>
          <t>5.13.0</t>
        </is>
      </c>
      <c r="C95" s="107" t="inlineStr">
        <is>
          <t>Access Control</t>
        </is>
      </c>
      <c r="D95" s="107" t="inlineStr">
        <is>
          <t>3.1.3</t>
        </is>
      </c>
      <c r="E95" s="107" t="inlineStr">
        <is>
          <t>03.01.03.0</t>
        </is>
      </c>
      <c r="F95" s="107" t="inlineStr">
        <is>
          <t>[SELECT FROM: Access control policy; information flow control policies; procedures addressing information flow enforcement; security plan; system design documentation; system configuration settings and associated documentation; list of information flow authorizations; system baseline configuration; system audit logs and records; other relevant documents or records].</t>
        </is>
      </c>
      <c r="G95" s="107" t="inlineStr">
        <is>
          <t>[SELECT FROM: System or network administrators; personnel with information security responsibilities; system developers].</t>
        </is>
      </c>
      <c r="H95" s="108" t="inlineStr">
        <is>
          <t>[SELECT FROM: Mechanisms implementing information flow enforcement policy].</t>
        </is>
      </c>
    </row>
    <row r="96" ht="60" customHeight="1" s="566">
      <c r="A96" s="203" t="inlineStr">
        <is>
          <t>5</t>
        </is>
      </c>
      <c r="B96" s="374" t="inlineStr">
        <is>
          <t>5.14.0</t>
        </is>
      </c>
      <c r="C96" s="107" t="inlineStr">
        <is>
          <t>Media Protection</t>
        </is>
      </c>
      <c r="D96" s="107" t="inlineStr">
        <is>
          <t>3.8.5</t>
        </is>
      </c>
      <c r="E96" s="107" t="inlineStr">
        <is>
          <t>03.08.05.0</t>
        </is>
      </c>
      <c r="F96" s="107" t="inlineStr">
        <is>
          <t>SELECT FROM: System media protection policy; procedures addressing media storage; physical and environmental protection policy and procedures; access control policy and procedures; security plan; system media; designated controlled areas; other relevant documents or records].</t>
        </is>
      </c>
      <c r="G96" s="107" t="inlineStr">
        <is>
          <t xml:space="preserve"> [SELECT FROM: Personnel with system media protection and storage responsibilities; personnel with information security responsibilities; system or network administrators].</t>
        </is>
      </c>
      <c r="H96" s="108" t="inlineStr">
        <is>
          <t>[SELECT FROM: Organizational processes for storing media; mechanisms supporting or implementing media storage and media protection].</t>
        </is>
      </c>
    </row>
    <row r="97" ht="75" customHeight="1" s="566">
      <c r="A97" s="203" t="inlineStr">
        <is>
          <t>5</t>
        </is>
      </c>
      <c r="B97" s="374" t="inlineStr">
        <is>
          <t>5.15.0</t>
        </is>
      </c>
      <c r="C97" s="107" t="inlineStr">
        <is>
          <t>System and Communications Protection</t>
        </is>
      </c>
      <c r="D97" s="107" t="inlineStr">
        <is>
          <t>3.13.8</t>
        </is>
      </c>
      <c r="E97" s="107" t="inlineStr">
        <is>
          <t>03.13.08.0</t>
        </is>
      </c>
      <c r="F97" s="107" t="inlineStr">
        <is>
          <t xml:space="preserve">[SELECT FROM: System and communications protection policy; procedures addressing transmission confidentiality and integrity; security plan; system design documentation; system configuration settings and associated documentation; system audit logs and records; other relevant documents or records]. </t>
        </is>
      </c>
      <c r="G97" s="107" t="inlineStr">
        <is>
          <t xml:space="preserve">[SELECT FROM: System or network administrators; personnel with information security responsibilities; system developer]. </t>
        </is>
      </c>
      <c r="H97" s="108" t="inlineStr">
        <is>
          <t xml:space="preserve">[SELECT FROM: Cryptographic mechanisms or mechanisms supporting or implementing transmission confidentiality; organizational processes for defining and implementing alternative physical safeguards]. </t>
        </is>
      </c>
    </row>
    <row r="98" ht="60" customHeight="1" s="566">
      <c r="A98" s="203" t="inlineStr">
        <is>
          <t>5</t>
        </is>
      </c>
      <c r="B98" s="374" t="inlineStr">
        <is>
          <t>5.16.0</t>
        </is>
      </c>
      <c r="C98" s="107" t="inlineStr">
        <is>
          <t>Media Protection</t>
        </is>
      </c>
      <c r="D98" s="107" t="inlineStr">
        <is>
          <t>3.8.6</t>
        </is>
      </c>
      <c r="E98" s="107" t="inlineStr">
        <is>
          <t>03.08.06.0</t>
        </is>
      </c>
      <c r="F98" s="107" t="inlineStr">
        <is>
          <t>[SELECT FROM: System media protection policy; procedures addressing media transport; system design documentation; security plan; system configuration settings and associated documentation; system media transport records; system audit logs and records; other relevant documents or records].</t>
        </is>
      </c>
      <c r="G98" s="107" t="inlineStr">
        <is>
          <t>[SELECT FROM: Personnel with system media transport responsibilities; personnel with information security responsibilities].</t>
        </is>
      </c>
      <c r="H98" s="108" t="inlineStr">
        <is>
          <t>[SELECT FROM: Cryptographic mechanisms protecting information on digital media during transportation outside controlled areas].</t>
        </is>
      </c>
    </row>
    <row r="99" ht="45" customHeight="1" s="566">
      <c r="A99" s="203" t="inlineStr">
        <is>
          <t>5</t>
        </is>
      </c>
      <c r="B99" s="374" t="inlineStr">
        <is>
          <t>5.17.0</t>
        </is>
      </c>
      <c r="C99" s="107" t="inlineStr">
        <is>
          <t>Personnel Security</t>
        </is>
      </c>
      <c r="D99" s="107" t="inlineStr">
        <is>
          <t>3.9.1</t>
        </is>
      </c>
      <c r="E99" s="107" t="inlineStr">
        <is>
          <t>03.09.01.0</t>
        </is>
      </c>
      <c r="F99" s="107" t="inlineStr">
        <is>
          <t>[SELECT FROM: Personnel security policy; procedures addressing personnel screening; records of screened personnel; security plan; other relevant documents or records].</t>
        </is>
      </c>
      <c r="G99" s="107" t="inlineStr">
        <is>
          <t>[SELECT FROM: Personnel with personnel security responsibilities; personnel with information security responsibilities].</t>
        </is>
      </c>
      <c r="H99" s="108" t="inlineStr">
        <is>
          <t>[SELECT FROM: Organizational processes for personnel screening].</t>
        </is>
      </c>
    </row>
    <row r="100" ht="60" customHeight="1" s="566">
      <c r="A100" s="203" t="inlineStr">
        <is>
          <t>5</t>
        </is>
      </c>
      <c r="B100" s="374" t="inlineStr">
        <is>
          <t>5.18.0</t>
        </is>
      </c>
      <c r="C100" s="107" t="inlineStr">
        <is>
          <t>Personnel Security</t>
        </is>
      </c>
      <c r="D100" s="107" t="inlineStr">
        <is>
          <t>3.9.2</t>
        </is>
      </c>
      <c r="E100" s="107" t="inlineStr">
        <is>
          <t>03.09.02.0</t>
        </is>
      </c>
      <c r="F100" s="107" t="inlineStr">
        <is>
          <t>[SELECT FROM: Personnel security policy; procedures addressing personnel transfer and termination; records of personnel transfer and termination actions; list of system accounts; records of terminated or revoked authenticators and credentials; records of exit interviews; other relevant documents or records].</t>
        </is>
      </c>
      <c r="G100" s="107" t="inlineStr">
        <is>
          <t>[SELECT FROM: Personnel with personnel security responsibilities; personnel with account management responsibilities; system or network administrators; personnel with information security responsibilities].</t>
        </is>
      </c>
      <c r="H100" s="108" t="inlineStr">
        <is>
          <t>[SELECT FROM:  Organizational processes for personnel transfer and termination; mechanisms supporting or implementing personnel transfer and termination notifications; mechanisms for disabling system access and revoking authenticators].</t>
        </is>
      </c>
    </row>
    <row r="101" ht="90" customHeight="1" s="566">
      <c r="A101" s="203" t="inlineStr">
        <is>
          <t>5</t>
        </is>
      </c>
      <c r="B101" s="374" t="inlineStr">
        <is>
          <t>5.19.0</t>
        </is>
      </c>
      <c r="C101" s="107" t="inlineStr">
        <is>
          <t>Maintenance</t>
        </is>
      </c>
      <c r="D101" s="107" t="inlineStr">
        <is>
          <t>3.7.3</t>
        </is>
      </c>
      <c r="E101" s="107" t="inlineStr">
        <is>
          <t>03.07.03.0</t>
        </is>
      </c>
      <c r="F101" s="107" t="inlineStr">
        <is>
          <t>[SELECT FROM: System maintenance policy; procedures addressing controlled system maintenance; maintenance records; manufacturer or vendor maintenance specifications; equipment sanitization records; media sanitization records; security plan; other relevant documents or records].</t>
        </is>
      </c>
      <c r="G101" s="107" t="inlineStr">
        <is>
          <t>[SELECT FROM: Personnel with system maintenance responsibilities; personnel with information security responsibilities; personnel responsible for media sanitization; system or network administrators].</t>
        </is>
      </c>
      <c r="H101" s="108" t="inlineStr">
        <is>
          <t>[select from: Organizational processes for scheduling, performing, documenting, reviewing, approving, and monitoring maintenance and repairs for systems; organizational processes for sanitizing system components; mechanisms supporting or implementing controlled maintenance; mechanisms implementing sanitization of system components].</t>
        </is>
      </c>
    </row>
    <row r="102" ht="60" customHeight="1" s="566">
      <c r="A102" s="203" t="inlineStr">
        <is>
          <t>5</t>
        </is>
      </c>
      <c r="B102" s="374" t="inlineStr">
        <is>
          <t>5.20.0</t>
        </is>
      </c>
      <c r="C102" s="107" t="inlineStr">
        <is>
          <t>Access Control</t>
        </is>
      </c>
      <c r="D102" s="107" t="inlineStr">
        <is>
          <t>3.1.11</t>
        </is>
      </c>
      <c r="E102" s="107" t="inlineStr">
        <is>
          <t>03.01.11.0</t>
        </is>
      </c>
      <c r="F102" s="107" t="inlineStr">
        <is>
          <t>[SELECT FROM: Access control policy; procedures addressing session termination; system design documentation; security plan; system configuration settings and associated documentation; list of conditions or trigger events requiring session disconnect; system audit logs and records; other relevant documents or records].</t>
        </is>
      </c>
      <c r="G102" s="107" t="inlineStr">
        <is>
          <t>[SELECT FROM: System or network administrators; personnel with information security responsibilities; system developers].</t>
        </is>
      </c>
      <c r="H102" s="108" t="inlineStr">
        <is>
          <t>[SELECT FROM: Mechanisms implementing user session termination].</t>
        </is>
      </c>
    </row>
    <row r="103" ht="60" customHeight="1" s="566">
      <c r="A103" s="203" t="inlineStr">
        <is>
          <t>5</t>
        </is>
      </c>
      <c r="B103" s="374" t="inlineStr">
        <is>
          <t>5.21.0</t>
        </is>
      </c>
      <c r="C103" s="107" t="inlineStr">
        <is>
          <t>System and Communications Protection</t>
        </is>
      </c>
      <c r="D103" s="107" t="inlineStr">
        <is>
          <t>3.13.9</t>
        </is>
      </c>
      <c r="E103" s="107" t="inlineStr">
        <is>
          <t>03.13.09.0</t>
        </is>
      </c>
      <c r="F103" s="107" t="inlineStr">
        <is>
          <t xml:space="preserve">[SELECT FROM: System and communications protection policy; procedures addressing network disconnect; system design documentation; security plan; system configuration settings and associated documentation; system audit logs and records; other relevant documents or records]. </t>
        </is>
      </c>
      <c r="G103" s="107" t="inlineStr">
        <is>
          <t xml:space="preserve">[SELECT FROM: System or network administrators; personnel with information security responsibilities; system developer]. </t>
        </is>
      </c>
      <c r="H103" s="108" t="inlineStr">
        <is>
          <t xml:space="preserve">[SELECT FROM: Mechanisms supporting or implementing network disconnect capability].  </t>
        </is>
      </c>
    </row>
    <row r="104" ht="75" customHeight="1" s="566">
      <c r="A104" s="203" t="inlineStr">
        <is>
          <t>5</t>
        </is>
      </c>
      <c r="B104" s="374" t="inlineStr">
        <is>
          <t>5.22.0</t>
        </is>
      </c>
      <c r="C104" s="107" t="inlineStr">
        <is>
          <t>Identification and Authentication</t>
        </is>
      </c>
      <c r="D104" s="107" t="inlineStr">
        <is>
          <t>3.5.4</t>
        </is>
      </c>
      <c r="E104" s="107" t="inlineStr">
        <is>
          <t>03.05.04.0</t>
        </is>
      </c>
      <c r="F104" s="107" t="inlineStr">
        <is>
          <t>[SELECT FROM: Identification and authentication policy; procedures addressing user identification and authentication; security plan; system design documentation; system configuration settings and associated documentation; system audit logs and records; list of privileged system accounts; other relevant documents or records].</t>
        </is>
      </c>
      <c r="G104" s="107" t="inlineStr">
        <is>
          <t>[SELECT FROM: Personnel with system operations responsibilities; personnel with account management responsibilities; personnel with information security responsibilities; system or network administrators; system developers].</t>
        </is>
      </c>
      <c r="H104" s="108" t="inlineStr">
        <is>
          <t>[SELECT FROM: Mechanisms supporting or implementing identification and authentication capability or replay resistant authentication mechanisms].</t>
        </is>
      </c>
    </row>
    <row r="105" ht="75" customHeight="1" s="566">
      <c r="A105" s="203" t="inlineStr">
        <is>
          <t>5</t>
        </is>
      </c>
      <c r="B105" s="374" t="inlineStr">
        <is>
          <t>5.23.0</t>
        </is>
      </c>
      <c r="C105" s="107" t="inlineStr">
        <is>
          <t>Identification and Authentication</t>
        </is>
      </c>
      <c r="D105" s="107" t="inlineStr">
        <is>
          <t>3.5.5</t>
        </is>
      </c>
      <c r="E105" s="107" t="inlineStr">
        <is>
          <t>03.05.05.0</t>
        </is>
      </c>
      <c r="F105" s="107" t="inlineStr">
        <is>
          <t>[SELECT FROM: Identification and authentication policy; procedures addressing identifier management; procedures addressing account management; security plan; system design documentation; system configuration settings and associated documentation; list of system accounts; list of identifiers generated from physical access control devices; other relevant documents or records].</t>
        </is>
      </c>
      <c r="G105" s="107" t="inlineStr">
        <is>
          <t>[SELECT FROM: Personnel with identifier management responsibilities; personnel with information security responsibilities; system or network administrators; system developers].</t>
        </is>
      </c>
      <c r="H105" s="108" t="inlineStr">
        <is>
          <t>[SELECT FROM: Mechanisms supporting or implementing identifier management].</t>
        </is>
      </c>
    </row>
    <row r="106" ht="75" customHeight="1" s="566">
      <c r="A106" s="203" t="inlineStr">
        <is>
          <t>5</t>
        </is>
      </c>
      <c r="B106" s="374" t="inlineStr">
        <is>
          <t>5.24.0</t>
        </is>
      </c>
      <c r="C106" s="107" t="inlineStr">
        <is>
          <t>Identification and Authentication</t>
        </is>
      </c>
      <c r="D106" s="107" t="inlineStr">
        <is>
          <t>3.5.6</t>
        </is>
      </c>
      <c r="E106" s="107" t="inlineStr">
        <is>
          <t>03.05.06.0</t>
        </is>
      </c>
      <c r="F106" s="107" t="inlineStr">
        <is>
          <t>[SELECT FROM: Identification and authentication policy; procedures addressing identifier management; procedures addressing account management; security plan; system design documentation; system configuration settings and associated documentation; list of system accounts; list of identifiers generated from physical access control devices; other relevant documents or records].</t>
        </is>
      </c>
      <c r="G106" s="107" t="inlineStr">
        <is>
          <t>[SELECT FROM: Personnel with identifier management responsibilities; personnel with information security responsibilities; system or network administrators; system developers].</t>
        </is>
      </c>
      <c r="H106" s="108" t="inlineStr">
        <is>
          <t>[SELECT FROM: Mechanisms supporting or implementing identifier management].</t>
        </is>
      </c>
    </row>
    <row r="107" ht="90" customHeight="1" s="566">
      <c r="A107" s="203" t="inlineStr">
        <is>
          <t>5</t>
        </is>
      </c>
      <c r="B107" s="374" t="inlineStr">
        <is>
          <t>5.25.0</t>
        </is>
      </c>
      <c r="C107" s="107" t="inlineStr">
        <is>
          <t>System and Communications Protection</t>
        </is>
      </c>
      <c r="D107" s="107" t="inlineStr">
        <is>
          <t>3.13.13</t>
        </is>
      </c>
      <c r="E107" s="107" t="inlineStr">
        <is>
          <t>03.13.13.0</t>
        </is>
      </c>
      <c r="F107" s="107" t="inlineStr">
        <is>
          <t xml:space="preserve">[SELECT FROM: System and communications protection policy; procedures addressing mobile code; mobile code usage restrictions, mobile code implementation policy and procedures; security plan; list of acceptable mobile code and mobile code technologies; list of unacceptable mobile code and mobile technologies; authorization records; system monitoring records; system audit logs and records; other relevant documents or records]. </t>
        </is>
      </c>
      <c r="G107" s="107" t="inlineStr">
        <is>
          <t xml:space="preserve">[SELECT FROM: System or network administrators; personnel with information security responsibilities; personnel with responsibilities for managing mobile code]. </t>
        </is>
      </c>
      <c r="H107" s="108" t="inlineStr">
        <is>
          <t xml:space="preserve">[SELECT FROM: Organizational process for controlling, authorizing, monitoring, and restricting mobile code; mechanisms supporting or implementing the management of mobile code; mechanisms supporting or implementing the monitoring of mobile code].  </t>
        </is>
      </c>
    </row>
    <row r="108" ht="75" customHeight="1" s="566">
      <c r="A108" s="203" t="inlineStr">
        <is>
          <t>5</t>
        </is>
      </c>
      <c r="B108" s="374" t="inlineStr">
        <is>
          <t>5.26.0</t>
        </is>
      </c>
      <c r="C108" s="107" t="inlineStr">
        <is>
          <t>System and Communications Protection</t>
        </is>
      </c>
      <c r="D108" s="107" t="inlineStr">
        <is>
          <t>3.13.14</t>
        </is>
      </c>
      <c r="E108" s="107" t="inlineStr">
        <is>
          <t>03.13.14.0</t>
        </is>
      </c>
      <c r="F108" s="107" t="inlineStr">
        <is>
          <t xml:space="preserve">[SELECT FROM: System and communications protection policy; procedures addressing VoIP; VoIP usage restrictions; VoIP implementation guidance; security plan; system design documentation; system configuration settings and associated documentation; system monitoring records; system audit logs and records; other relevant documents or records]. </t>
        </is>
      </c>
      <c r="G108" s="107" t="inlineStr">
        <is>
          <t xml:space="preserve">[SELECT FROM: System or network administrators; personnel with information security responsibilities; personnel with responsibilities for managing VoIP]. </t>
        </is>
      </c>
      <c r="H108" s="108" t="inlineStr">
        <is>
          <t xml:space="preserve">[SELECT FROM: Organizational process for authorizing, monitoring, and controlling VoIP; mechanisms supporting or implementing authorizing, monitoring, and controlling VoIP].  </t>
        </is>
      </c>
    </row>
    <row r="109" ht="75" customHeight="1" s="566">
      <c r="A109" s="203" t="inlineStr">
        <is>
          <t>5</t>
        </is>
      </c>
      <c r="B109" s="374" t="inlineStr">
        <is>
          <t>5.27.0</t>
        </is>
      </c>
      <c r="C109" s="107" t="inlineStr">
        <is>
          <t>Access Control</t>
        </is>
      </c>
      <c r="D109" s="107" t="inlineStr">
        <is>
          <t>3.1.14</t>
        </is>
      </c>
      <c r="E109" s="107" t="inlineStr">
        <is>
          <t>03.01.14.0</t>
        </is>
      </c>
      <c r="F109" s="107" t="inlineStr">
        <is>
          <t>[SELECT FROM: Access control policy; procedures addressing remote access to the system; security plan; system design documentation; list of all managed network access control points; system configuration settings and associated documentation; system audit logs and records; other relevant documents or records].</t>
        </is>
      </c>
      <c r="G109" s="107" t="inlineStr">
        <is>
          <t>[SELECT FROM: System or network administrators; personnel with information security responsibilities].</t>
        </is>
      </c>
      <c r="H109" s="108" t="inlineStr">
        <is>
          <t>[SELECT FROM: Mechanisms routing all remote accesses through managed network access control points].</t>
        </is>
      </c>
    </row>
    <row r="110" ht="60" customHeight="1" s="566">
      <c r="A110" s="203" t="inlineStr">
        <is>
          <t>5</t>
        </is>
      </c>
      <c r="B110" s="374" t="inlineStr">
        <is>
          <t>5.28.0</t>
        </is>
      </c>
      <c r="C110" s="107" t="inlineStr">
        <is>
          <t>Access Control</t>
        </is>
      </c>
      <c r="D110" s="107" t="inlineStr">
        <is>
          <t>3.1.15</t>
        </is>
      </c>
      <c r="E110" s="107" t="inlineStr">
        <is>
          <t>03.01.15.0</t>
        </is>
      </c>
      <c r="F110" s="107" t="inlineStr">
        <is>
          <t>[SELECT FROM: Access control policy; procedures addressing remote access to the system; system configuration settings and associated documentation; security plan; system audit logs and records; other relevant documents or records].</t>
        </is>
      </c>
      <c r="G110" s="107" t="inlineStr">
        <is>
          <t>[SELECT FROM: System or network administrators; personnel with information security responsibilities].</t>
        </is>
      </c>
      <c r="H110" s="108" t="inlineStr">
        <is>
          <t>[SELECT FROM: Mechanisms implementing remote access management].</t>
        </is>
      </c>
    </row>
    <row r="111" ht="60.75" customHeight="1" s="566">
      <c r="A111" s="209" t="inlineStr">
        <is>
          <t>5</t>
        </is>
      </c>
      <c r="B111" s="375" t="inlineStr">
        <is>
          <t>5.29.0</t>
        </is>
      </c>
      <c r="C111" s="118" t="inlineStr">
        <is>
          <t>Physical Protection</t>
        </is>
      </c>
      <c r="D111" s="118" t="inlineStr">
        <is>
          <t>3.10.6</t>
        </is>
      </c>
      <c r="E111" s="118" t="inlineStr">
        <is>
          <t>03.10.06.0</t>
        </is>
      </c>
      <c r="F111" s="118" t="inlineStr">
        <is>
          <t xml:space="preserve">[SELECT FROM: Physical and environmental protection policy; procedures addressing alternate work sites for personnel; security plan; list of safeguards required for alternate work sites; assessments of safeguards at alternate work sites; other relevant documents or records]. </t>
        </is>
      </c>
      <c r="G111" s="118" t="inlineStr">
        <is>
          <t xml:space="preserve">[SELECT FROM: Personnel approving use of alternate work sites; personnel using alternate work sites; personnel assessing controls at alternate work sites; personnel with information security responsibilities]. </t>
        </is>
      </c>
      <c r="H111" s="119" t="inlineStr">
        <is>
          <t xml:space="preserve">[SELECT FROM: Organizational processes for security at alternate work sites; mechanisms supporting alternate work sites; safeguards employed at alternate work sites; means of communications between personnel at alternate work sites and security personnel].  </t>
        </is>
      </c>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22.xml><?xml version="1.0" encoding="utf-8"?>
<worksheet xmlns="http://schemas.openxmlformats.org/spreadsheetml/2006/main">
  <sheetPr>
    <outlinePr summaryBelow="1" summaryRight="1"/>
    <pageSetUpPr/>
  </sheetPr>
  <dimension ref="A1:E126"/>
  <sheetViews>
    <sheetView showGridLines="0" topLeftCell="A55" workbookViewId="0">
      <selection activeCell="L103" sqref="L103"/>
    </sheetView>
  </sheetViews>
  <sheetFormatPr baseColWidth="8" defaultColWidth="9" defaultRowHeight="12.75" customHeight="1"/>
  <cols>
    <col width="39" customWidth="1" style="1" min="1" max="1"/>
    <col width="58.6640625" customWidth="1" style="1" min="2" max="2"/>
    <col width="9" customWidth="1" style="1" min="3" max="6"/>
    <col width="9" customWidth="1" style="1" min="7" max="16384"/>
  </cols>
  <sheetData>
    <row r="1" ht="16.5" customHeight="1" s="566">
      <c r="A1" s="376" t="inlineStr">
        <is>
          <t>Organizational Index Grouping</t>
        </is>
      </c>
      <c r="B1" s="337" t="inlineStr">
        <is>
          <t>CUI Categories</t>
        </is>
      </c>
      <c r="C1" s="253" t="n"/>
      <c r="D1" s="81" t="n"/>
      <c r="E1" s="81" t="n"/>
    </row>
    <row r="2" ht="14.25" customHeight="1" s="566">
      <c r="A2" s="808" t="inlineStr">
        <is>
          <t>Critical Infrastructure</t>
        </is>
      </c>
      <c r="B2" s="377" t="inlineStr">
        <is>
          <t>Ammonium Nitrate</t>
        </is>
      </c>
      <c r="C2" s="253" t="n"/>
      <c r="D2" s="81" t="n"/>
      <c r="E2" s="81" t="n"/>
    </row>
    <row r="3" ht="13.7" customHeight="1" s="566">
      <c r="A3" s="890" t="n"/>
      <c r="B3" s="378" t="inlineStr">
        <is>
          <t>Chemical-terrorism Vulnerability Information</t>
        </is>
      </c>
      <c r="C3" s="253" t="n"/>
      <c r="D3" s="81" t="n"/>
      <c r="E3" s="81" t="n"/>
    </row>
    <row r="4" ht="13.7" customHeight="1" s="566">
      <c r="A4" s="890" t="n"/>
      <c r="B4" s="378" t="inlineStr">
        <is>
          <t>Critical Energy Infrastructure Information</t>
        </is>
      </c>
      <c r="C4" s="253" t="n"/>
      <c r="D4" s="81" t="n"/>
      <c r="E4" s="81" t="n"/>
    </row>
    <row r="5" ht="13.7" customHeight="1" s="566">
      <c r="A5" s="890" t="n"/>
      <c r="B5" s="378" t="inlineStr">
        <is>
          <t>Emergency Management</t>
        </is>
      </c>
      <c r="C5" s="253" t="n"/>
      <c r="D5" s="81" t="n"/>
      <c r="E5" s="81" t="n"/>
    </row>
    <row r="6" ht="13.7" customHeight="1" s="566">
      <c r="A6" s="890" t="n"/>
      <c r="B6" s="378" t="inlineStr">
        <is>
          <t>General Critical Infrastructure Information</t>
        </is>
      </c>
      <c r="C6" s="253" t="n"/>
      <c r="D6" s="81" t="n"/>
      <c r="E6" s="81" t="n"/>
    </row>
    <row r="7" ht="13.7" customHeight="1" s="566">
      <c r="A7" s="890" t="n"/>
      <c r="B7" s="378" t="inlineStr">
        <is>
          <t>Information Systems Vulnerability Information</t>
        </is>
      </c>
      <c r="C7" s="253" t="n"/>
      <c r="D7" s="81" t="n"/>
      <c r="E7" s="81" t="n"/>
    </row>
    <row r="8" ht="13.7" customHeight="1" s="566">
      <c r="A8" s="890" t="n"/>
      <c r="B8" s="378" t="inlineStr">
        <is>
          <t>Physical Security</t>
        </is>
      </c>
      <c r="C8" s="253" t="n"/>
      <c r="D8" s="81" t="n"/>
      <c r="E8" s="81" t="n"/>
    </row>
    <row r="9" ht="13.7" customHeight="1" s="566">
      <c r="A9" s="890" t="n"/>
      <c r="B9" s="378" t="inlineStr">
        <is>
          <t>Protected Critical Infrastructure Information</t>
        </is>
      </c>
      <c r="C9" s="253" t="n"/>
      <c r="D9" s="81" t="n"/>
      <c r="E9" s="81" t="n"/>
    </row>
    <row r="10" ht="13.7" customHeight="1" s="566">
      <c r="A10" s="890" t="n"/>
      <c r="B10" s="378" t="inlineStr">
        <is>
          <t>SAFETY Act Information</t>
        </is>
      </c>
      <c r="C10" s="253" t="n"/>
      <c r="D10" s="81" t="n"/>
      <c r="E10" s="81" t="n"/>
    </row>
    <row r="11" ht="13.7" customHeight="1" s="566">
      <c r="A11" s="890" t="n"/>
      <c r="B11" s="378" t="inlineStr">
        <is>
          <t>Toxic Substances</t>
        </is>
      </c>
      <c r="C11" s="253" t="n"/>
      <c r="D11" s="81" t="n"/>
      <c r="E11" s="81" t="n"/>
    </row>
    <row r="12" ht="13.5" customHeight="1" s="566">
      <c r="A12" s="891" t="n"/>
      <c r="B12" s="379" t="inlineStr">
        <is>
          <t>Water Assessments</t>
        </is>
      </c>
      <c r="C12" s="253" t="n"/>
      <c r="D12" s="81" t="n"/>
      <c r="E12" s="81" t="n"/>
    </row>
    <row r="13" ht="14.25" customHeight="1" s="566">
      <c r="A13" s="808" t="inlineStr">
        <is>
          <t>Defense</t>
        </is>
      </c>
      <c r="B13" s="377" t="inlineStr">
        <is>
          <t>Controlled Technical Information</t>
        </is>
      </c>
      <c r="C13" s="253" t="n"/>
      <c r="D13" s="81" t="n"/>
      <c r="E13" s="81" t="n"/>
    </row>
    <row r="14" ht="13.7" customHeight="1" s="566">
      <c r="A14" s="890" t="n"/>
      <c r="B14" s="378" t="inlineStr">
        <is>
          <t>DoD Critical Infrastructure Security Information</t>
        </is>
      </c>
      <c r="C14" s="253" t="n"/>
      <c r="D14" s="81" t="n"/>
      <c r="E14" s="81" t="n"/>
    </row>
    <row r="15" ht="13.7" customHeight="1" s="566">
      <c r="A15" s="890" t="n"/>
      <c r="B15" s="378" t="inlineStr">
        <is>
          <t>Naval Nuclear Propulsion Information</t>
        </is>
      </c>
      <c r="C15" s="253" t="n"/>
      <c r="D15" s="81" t="n"/>
      <c r="E15" s="81" t="n"/>
    </row>
    <row r="16" ht="13.5" customHeight="1" s="566">
      <c r="A16" s="891" t="n"/>
      <c r="B16" s="379" t="inlineStr">
        <is>
          <t>Unclassified Controlled Nuclear Information - Defense</t>
        </is>
      </c>
      <c r="C16" s="253" t="n"/>
      <c r="D16" s="81" t="n"/>
      <c r="E16" s="81" t="n"/>
    </row>
    <row r="17" ht="14.25" customHeight="1" s="566">
      <c r="A17" s="808" t="inlineStr">
        <is>
          <t>Export Control</t>
        </is>
      </c>
      <c r="B17" s="377" t="inlineStr">
        <is>
          <t>Export Controlled</t>
        </is>
      </c>
      <c r="C17" s="253" t="n"/>
      <c r="D17" s="81" t="n"/>
      <c r="E17" s="81" t="n"/>
    </row>
    <row r="18" ht="13.5" customHeight="1" s="566">
      <c r="A18" s="891" t="n"/>
      <c r="B18" s="379" t="inlineStr">
        <is>
          <t>Export Controlled Research</t>
        </is>
      </c>
      <c r="C18" s="253" t="n"/>
      <c r="D18" s="81" t="n"/>
      <c r="E18" s="81" t="n"/>
    </row>
    <row r="19" ht="14.25" customHeight="1" s="566">
      <c r="A19" s="808" t="inlineStr">
        <is>
          <t>Financial</t>
        </is>
      </c>
      <c r="B19" s="377" t="inlineStr">
        <is>
          <t>Bank Secrecy</t>
        </is>
      </c>
      <c r="C19" s="253" t="n"/>
      <c r="D19" s="81" t="n"/>
      <c r="E19" s="81" t="n"/>
    </row>
    <row r="20" ht="13.7" customHeight="1" s="566">
      <c r="A20" s="890" t="n"/>
      <c r="B20" s="378" t="inlineStr">
        <is>
          <t>Budget</t>
        </is>
      </c>
      <c r="C20" s="253" t="n"/>
      <c r="D20" s="81" t="n"/>
      <c r="E20" s="81" t="n"/>
    </row>
    <row r="21" ht="13.7" customHeight="1" s="566">
      <c r="A21" s="890" t="n"/>
      <c r="B21" s="378" t="inlineStr">
        <is>
          <t>Comptroller General</t>
        </is>
      </c>
      <c r="C21" s="253" t="n"/>
      <c r="D21" s="81" t="n"/>
      <c r="E21" s="81" t="n"/>
    </row>
    <row r="22" ht="13.7" customHeight="1" s="566">
      <c r="A22" s="890" t="n"/>
      <c r="B22" s="378" t="inlineStr">
        <is>
          <t>Consumer Complaint Information</t>
        </is>
      </c>
      <c r="C22" s="253" t="n"/>
      <c r="D22" s="81" t="n"/>
      <c r="E22" s="81" t="n"/>
    </row>
    <row r="23" ht="13.7" customHeight="1" s="566">
      <c r="A23" s="890" t="n"/>
      <c r="B23" s="378" t="inlineStr">
        <is>
          <t>Electronic Funds Transfer</t>
        </is>
      </c>
      <c r="C23" s="253" t="n"/>
      <c r="D23" s="81" t="n"/>
      <c r="E23" s="81" t="n"/>
    </row>
    <row r="24" ht="13.7" customHeight="1" s="566">
      <c r="A24" s="890" t="n"/>
      <c r="B24" s="378" t="inlineStr">
        <is>
          <t>Federal Housing Finance Non-Public Information</t>
        </is>
      </c>
      <c r="C24" s="253" t="n"/>
      <c r="D24" s="81" t="n"/>
      <c r="E24" s="81" t="n"/>
    </row>
    <row r="25" ht="13.7" customHeight="1" s="566">
      <c r="A25" s="890" t="n"/>
      <c r="B25" s="378" t="inlineStr">
        <is>
          <t>Financial Supervision Information</t>
        </is>
      </c>
      <c r="C25" s="253" t="n"/>
      <c r="D25" s="81" t="n"/>
      <c r="E25" s="81" t="n"/>
    </row>
    <row r="26" ht="13.7" customHeight="1" s="566">
      <c r="A26" s="890" t="n"/>
      <c r="B26" s="378" t="inlineStr">
        <is>
          <t>General Financial Information</t>
        </is>
      </c>
      <c r="C26" s="253" t="n"/>
      <c r="D26" s="81" t="n"/>
      <c r="E26" s="81" t="n"/>
    </row>
    <row r="27" ht="13.7" customHeight="1" s="566">
      <c r="A27" s="890" t="n"/>
      <c r="B27" s="378" t="inlineStr">
        <is>
          <t>International Financial Institutions</t>
        </is>
      </c>
      <c r="C27" s="253" t="n"/>
      <c r="D27" s="81" t="n"/>
      <c r="E27" s="81" t="n"/>
    </row>
    <row r="28" ht="13.7" customHeight="1" s="566">
      <c r="A28" s="890" t="n"/>
      <c r="B28" s="378" t="inlineStr">
        <is>
          <t>Mergers</t>
        </is>
      </c>
      <c r="C28" s="253" t="n"/>
      <c r="D28" s="81" t="n"/>
      <c r="E28" s="81" t="n"/>
    </row>
    <row r="29" ht="13.7" customHeight="1" s="566">
      <c r="A29" s="890" t="n"/>
      <c r="B29" s="378" t="inlineStr">
        <is>
          <t>Net Worth</t>
        </is>
      </c>
      <c r="C29" s="253" t="n"/>
      <c r="D29" s="81" t="n"/>
      <c r="E29" s="81" t="n"/>
    </row>
    <row r="30" ht="13.5" customHeight="1" s="566">
      <c r="A30" s="891" t="n"/>
      <c r="B30" s="379" t="inlineStr">
        <is>
          <t>Retirement</t>
        </is>
      </c>
      <c r="C30" s="253" t="n"/>
      <c r="D30" s="81" t="n"/>
      <c r="E30" s="81" t="n"/>
    </row>
    <row r="31" ht="14.25" customHeight="1" s="566">
      <c r="A31" s="808" t="inlineStr">
        <is>
          <t>Immigration</t>
        </is>
      </c>
      <c r="B31" s="377" t="inlineStr">
        <is>
          <t>Asylee</t>
        </is>
      </c>
      <c r="C31" s="253" t="n"/>
      <c r="D31" s="81" t="n"/>
      <c r="E31" s="81" t="n"/>
    </row>
    <row r="32" ht="13.7" customHeight="1" s="566">
      <c r="A32" s="890" t="n"/>
      <c r="B32" s="378" t="inlineStr">
        <is>
          <t>Battered Spouse or Child</t>
        </is>
      </c>
      <c r="C32" s="253" t="n"/>
      <c r="D32" s="81" t="n"/>
      <c r="E32" s="81" t="n"/>
    </row>
    <row r="33" ht="13.7" customHeight="1" s="566">
      <c r="A33" s="890" t="n"/>
      <c r="B33" s="378" t="inlineStr">
        <is>
          <t>Permanent Resident Status</t>
        </is>
      </c>
      <c r="C33" s="253" t="n"/>
      <c r="D33" s="81" t="n"/>
      <c r="E33" s="81" t="n"/>
    </row>
    <row r="34" ht="13.7" customHeight="1" s="566">
      <c r="A34" s="890" t="n"/>
      <c r="B34" s="378" t="inlineStr">
        <is>
          <t>Status Adjustment</t>
        </is>
      </c>
      <c r="C34" s="253" t="n"/>
      <c r="D34" s="81" t="n"/>
      <c r="E34" s="81" t="n"/>
    </row>
    <row r="35" ht="13.7" customHeight="1" s="566">
      <c r="A35" s="890" t="n"/>
      <c r="B35" s="378" t="inlineStr">
        <is>
          <t>Temporary Protected Status</t>
        </is>
      </c>
      <c r="C35" s="253" t="n"/>
      <c r="D35" s="81" t="n"/>
      <c r="E35" s="81" t="n"/>
    </row>
    <row r="36" ht="13.7" customHeight="1" s="566">
      <c r="A36" s="890" t="n"/>
      <c r="B36" s="378" t="inlineStr">
        <is>
          <t>Victims of Human Trafficking</t>
        </is>
      </c>
      <c r="C36" s="253" t="n"/>
      <c r="D36" s="81" t="n"/>
      <c r="E36" s="81" t="n"/>
    </row>
    <row r="37" ht="13.5" customHeight="1" s="566">
      <c r="A37" s="891" t="n"/>
      <c r="B37" s="379" t="inlineStr">
        <is>
          <t>Visas</t>
        </is>
      </c>
      <c r="C37" s="253" t="n"/>
      <c r="D37" s="81" t="n"/>
      <c r="E37" s="81" t="n"/>
    </row>
    <row r="38" ht="14.25" customHeight="1" s="566">
      <c r="A38" s="808" t="inlineStr">
        <is>
          <t>Intelligence</t>
        </is>
      </c>
      <c r="B38" s="377" t="inlineStr">
        <is>
          <t>Agriculture</t>
        </is>
      </c>
      <c r="C38" s="253" t="n"/>
      <c r="D38" s="81" t="n"/>
      <c r="E38" s="81" t="n"/>
    </row>
    <row r="39" ht="13.7" customHeight="1" s="566">
      <c r="A39" s="890" t="n"/>
      <c r="B39" s="378" t="inlineStr">
        <is>
          <t>Foreign Intelligence Surveillance Act</t>
        </is>
      </c>
      <c r="C39" s="253" t="n"/>
      <c r="D39" s="81" t="n"/>
      <c r="E39" s="81" t="n"/>
    </row>
    <row r="40" ht="13.7" customHeight="1" s="566">
      <c r="A40" s="890" t="n"/>
      <c r="B40" s="378" t="inlineStr">
        <is>
          <t>Foreign Intelligence Surveillance Act Business Records</t>
        </is>
      </c>
      <c r="C40" s="253" t="n"/>
      <c r="D40" s="81" t="n"/>
      <c r="E40" s="81" t="n"/>
    </row>
    <row r="41" ht="13.7" customHeight="1" s="566">
      <c r="A41" s="890" t="n"/>
      <c r="B41" s="378" t="inlineStr">
        <is>
          <t>General Intelligence</t>
        </is>
      </c>
      <c r="C41" s="253" t="n"/>
      <c r="D41" s="81" t="n"/>
      <c r="E41" s="81" t="n"/>
    </row>
    <row r="42" ht="13.7" customHeight="1" s="566">
      <c r="A42" s="890" t="n"/>
      <c r="B42" s="378" t="inlineStr">
        <is>
          <t>Geodetic Product Information</t>
        </is>
      </c>
      <c r="C42" s="253" t="n"/>
      <c r="D42" s="81" t="n"/>
      <c r="E42" s="81" t="n"/>
    </row>
    <row r="43" ht="13.7" customHeight="1" s="566">
      <c r="A43" s="890" t="n"/>
      <c r="B43" s="378" t="inlineStr">
        <is>
          <t>Intelligence Financial Records</t>
        </is>
      </c>
      <c r="C43" s="253" t="n"/>
      <c r="D43" s="81" t="n"/>
      <c r="E43" s="81" t="n"/>
    </row>
    <row r="44" ht="13.7" customHeight="1" s="566">
      <c r="A44" s="890" t="n"/>
      <c r="B44" s="378" t="inlineStr">
        <is>
          <t>Internal Data</t>
        </is>
      </c>
      <c r="C44" s="253" t="n"/>
      <c r="D44" s="81" t="n"/>
      <c r="E44" s="81" t="n"/>
    </row>
    <row r="45" ht="13.5" customHeight="1" s="566">
      <c r="A45" s="891" t="n"/>
      <c r="B45" s="379" t="inlineStr">
        <is>
          <t>Operations Security</t>
        </is>
      </c>
      <c r="C45" s="253" t="n"/>
      <c r="D45" s="81" t="n"/>
      <c r="E45" s="81" t="n"/>
    </row>
    <row r="46" ht="13.5" customHeight="1" s="566">
      <c r="A46" s="380" t="inlineStr">
        <is>
          <t>International Agreements</t>
        </is>
      </c>
      <c r="B46" s="381" t="inlineStr">
        <is>
          <t>International Agreement Information</t>
        </is>
      </c>
      <c r="C46" s="253" t="n"/>
      <c r="D46" s="81" t="n"/>
      <c r="E46" s="81" t="n"/>
    </row>
    <row r="47" ht="14.25" customHeight="1" s="566">
      <c r="A47" s="808" t="inlineStr">
        <is>
          <t>Law Enforcement</t>
        </is>
      </c>
      <c r="B47" s="377" t="inlineStr">
        <is>
          <t>Accident Investigation</t>
        </is>
      </c>
      <c r="C47" s="253" t="n"/>
      <c r="D47" s="81" t="n"/>
      <c r="E47" s="81" t="n"/>
    </row>
    <row r="48" ht="13.7" customHeight="1" s="566">
      <c r="A48" s="890" t="n"/>
      <c r="B48" s="378" t="inlineStr">
        <is>
          <t>Campaign Funds</t>
        </is>
      </c>
      <c r="C48" s="253" t="n"/>
      <c r="D48" s="81" t="n"/>
      <c r="E48" s="81" t="n"/>
    </row>
    <row r="49" ht="13.7" customHeight="1" s="566">
      <c r="A49" s="890" t="n"/>
      <c r="B49" s="378" t="inlineStr">
        <is>
          <t>Committed Person</t>
        </is>
      </c>
      <c r="C49" s="253" t="n"/>
      <c r="D49" s="81" t="n"/>
      <c r="E49" s="81" t="n"/>
    </row>
    <row r="50" ht="13.7" customHeight="1" s="566">
      <c r="A50" s="890" t="n"/>
      <c r="B50" s="378" t="inlineStr">
        <is>
          <t>Communications</t>
        </is>
      </c>
      <c r="C50" s="253" t="n"/>
      <c r="D50" s="81" t="n"/>
      <c r="E50" s="81" t="n"/>
    </row>
    <row r="51" ht="13.7" customHeight="1" s="566">
      <c r="A51" s="890" t="n"/>
      <c r="B51" s="378" t="inlineStr">
        <is>
          <t>Controlled Substances</t>
        </is>
      </c>
      <c r="C51" s="253" t="n"/>
      <c r="D51" s="81" t="n"/>
      <c r="E51" s="81" t="n"/>
    </row>
    <row r="52" ht="13.7" customHeight="1" s="566">
      <c r="A52" s="890" t="n"/>
      <c r="B52" s="378" t="inlineStr">
        <is>
          <t>Criminal History Records Information</t>
        </is>
      </c>
      <c r="C52" s="253" t="n"/>
      <c r="D52" s="81" t="n"/>
      <c r="E52" s="81" t="n"/>
    </row>
    <row r="53" ht="13.7" customHeight="1" s="566">
      <c r="A53" s="890" t="n"/>
      <c r="B53" s="378" t="inlineStr">
        <is>
          <t>DNA</t>
        </is>
      </c>
      <c r="C53" s="253" t="n"/>
      <c r="D53" s="81" t="n"/>
      <c r="E53" s="81" t="n"/>
    </row>
    <row r="54" ht="13.7" customHeight="1" s="566">
      <c r="A54" s="890" t="n"/>
      <c r="B54" s="378" t="inlineStr">
        <is>
          <t>General Law Enforcement</t>
        </is>
      </c>
      <c r="C54" s="253" t="n"/>
      <c r="D54" s="81" t="n"/>
      <c r="E54" s="81" t="n"/>
    </row>
    <row r="55" ht="13.7" customHeight="1" s="566">
      <c r="A55" s="890" t="n"/>
      <c r="B55" s="378" t="inlineStr">
        <is>
          <t>Informant</t>
        </is>
      </c>
      <c r="C55" s="253" t="n"/>
      <c r="D55" s="81" t="n"/>
      <c r="E55" s="81" t="n"/>
    </row>
    <row r="56" ht="13.7" customHeight="1" s="566">
      <c r="A56" s="890" t="n"/>
      <c r="B56" s="378" t="inlineStr">
        <is>
          <t>Investigation</t>
        </is>
      </c>
      <c r="C56" s="253" t="n"/>
      <c r="D56" s="81" t="n"/>
      <c r="E56" s="81" t="n"/>
    </row>
    <row r="57" ht="13.7" customHeight="1" s="566">
      <c r="A57" s="890" t="n"/>
      <c r="B57" s="378" t="inlineStr">
        <is>
          <t>Juvenile</t>
        </is>
      </c>
      <c r="C57" s="253" t="n"/>
      <c r="D57" s="81" t="n"/>
      <c r="E57" s="81" t="n"/>
    </row>
    <row r="58" ht="13.7" customHeight="1" s="566">
      <c r="A58" s="890" t="n"/>
      <c r="B58" s="378" t="inlineStr">
        <is>
          <t>Law Enforcement Financial Records</t>
        </is>
      </c>
      <c r="C58" s="253" t="n"/>
      <c r="D58" s="81" t="n"/>
      <c r="E58" s="81" t="n"/>
    </row>
    <row r="59" ht="13.7" customHeight="1" s="566">
      <c r="A59" s="890" t="n"/>
      <c r="B59" s="378" t="inlineStr">
        <is>
          <t>National Security Letter</t>
        </is>
      </c>
      <c r="C59" s="253" t="n"/>
      <c r="D59" s="81" t="n"/>
      <c r="E59" s="81" t="n"/>
    </row>
    <row r="60" ht="13.7" customHeight="1" s="566">
      <c r="A60" s="890" t="n"/>
      <c r="B60" s="378" t="inlineStr">
        <is>
          <t>Pen Register/Trap &amp; Trace</t>
        </is>
      </c>
      <c r="C60" s="253" t="n"/>
      <c r="D60" s="81" t="n"/>
      <c r="E60" s="81" t="n"/>
    </row>
    <row r="61" ht="13.7" customHeight="1" s="566">
      <c r="A61" s="890" t="n"/>
      <c r="B61" s="378" t="inlineStr">
        <is>
          <t>Reward</t>
        </is>
      </c>
      <c r="C61" s="253" t="n"/>
      <c r="D61" s="81" t="n"/>
      <c r="E61" s="81" t="n"/>
    </row>
    <row r="62" ht="13.7" customHeight="1" s="566">
      <c r="A62" s="890" t="n"/>
      <c r="B62" s="378" t="inlineStr">
        <is>
          <t>Sex Crime Victim</t>
        </is>
      </c>
      <c r="C62" s="253" t="n"/>
      <c r="D62" s="81" t="n"/>
      <c r="E62" s="81" t="n"/>
    </row>
    <row r="63" ht="13.7" customHeight="1" s="566">
      <c r="A63" s="890" t="n"/>
      <c r="B63" s="378" t="inlineStr">
        <is>
          <t>Terrorist Screening</t>
        </is>
      </c>
      <c r="C63" s="253" t="n"/>
      <c r="D63" s="81" t="n"/>
      <c r="E63" s="81" t="n"/>
    </row>
    <row r="64" ht="13.5" customHeight="1" s="566">
      <c r="A64" s="891" t="n"/>
      <c r="B64" s="379" t="inlineStr">
        <is>
          <t>Whistleblower Identity</t>
        </is>
      </c>
      <c r="C64" s="253" t="n"/>
      <c r="D64" s="81" t="n"/>
      <c r="E64" s="81" t="n"/>
    </row>
    <row r="65" ht="14.25" customHeight="1" s="566">
      <c r="A65" s="808" t="inlineStr">
        <is>
          <t>Legal</t>
        </is>
      </c>
      <c r="B65" s="377" t="inlineStr">
        <is>
          <t>Administrative Proceedings</t>
        </is>
      </c>
      <c r="C65" s="253" t="n"/>
      <c r="D65" s="81" t="n"/>
      <c r="E65" s="81" t="n"/>
    </row>
    <row r="66" ht="13.7" customHeight="1" s="566">
      <c r="A66" s="890" t="n"/>
      <c r="B66" s="378" t="inlineStr">
        <is>
          <t>Child Pornography</t>
        </is>
      </c>
      <c r="C66" s="253" t="n"/>
      <c r="D66" s="81" t="n"/>
      <c r="E66" s="81" t="n"/>
    </row>
    <row r="67" ht="13.7" customHeight="1" s="566">
      <c r="A67" s="890" t="n"/>
      <c r="B67" s="378" t="inlineStr">
        <is>
          <t>Child Victim/Witness</t>
        </is>
      </c>
      <c r="C67" s="253" t="n"/>
      <c r="D67" s="81" t="n"/>
      <c r="E67" s="81" t="n"/>
    </row>
    <row r="68" ht="13.7" customHeight="1" s="566">
      <c r="A68" s="890" t="n"/>
      <c r="B68" s="378" t="inlineStr">
        <is>
          <t>Collective Bargaining</t>
        </is>
      </c>
      <c r="C68" s="253" t="n"/>
      <c r="D68" s="81" t="n"/>
      <c r="E68" s="81" t="n"/>
    </row>
    <row r="69" ht="13.7" customHeight="1" s="566">
      <c r="A69" s="890" t="n"/>
      <c r="B69" s="378" t="inlineStr">
        <is>
          <t>Federal Grand Jury</t>
        </is>
      </c>
      <c r="C69" s="253" t="n"/>
      <c r="D69" s="81" t="n"/>
      <c r="E69" s="81" t="n"/>
    </row>
    <row r="70" ht="13.7" customHeight="1" s="566">
      <c r="A70" s="890" t="n"/>
      <c r="B70" s="378" t="inlineStr">
        <is>
          <t>Legal Privilege</t>
        </is>
      </c>
      <c r="C70" s="253" t="n"/>
      <c r="D70" s="81" t="n"/>
      <c r="E70" s="81" t="n"/>
    </row>
    <row r="71" ht="13.7" customHeight="1" s="566">
      <c r="A71" s="890" t="n"/>
      <c r="B71" s="378" t="inlineStr">
        <is>
          <t>Legislative Materials</t>
        </is>
      </c>
      <c r="C71" s="253" t="n"/>
      <c r="D71" s="81" t="n"/>
      <c r="E71" s="81" t="n"/>
    </row>
    <row r="72" ht="13.7" customHeight="1" s="566">
      <c r="A72" s="890" t="n"/>
      <c r="B72" s="378" t="inlineStr">
        <is>
          <t>Presentence Report</t>
        </is>
      </c>
      <c r="C72" s="253" t="n"/>
      <c r="D72" s="81" t="n"/>
      <c r="E72" s="81" t="n"/>
    </row>
    <row r="73" ht="13.7" customHeight="1" s="566">
      <c r="A73" s="890" t="n"/>
      <c r="B73" s="378" t="inlineStr">
        <is>
          <t>Prior Arrest</t>
        </is>
      </c>
      <c r="C73" s="253" t="n"/>
      <c r="D73" s="81" t="n"/>
      <c r="E73" s="81" t="n"/>
    </row>
    <row r="74" ht="13.7" customHeight="1" s="566">
      <c r="A74" s="890" t="n"/>
      <c r="B74" s="378" t="inlineStr">
        <is>
          <t>Protective Order</t>
        </is>
      </c>
      <c r="C74" s="253" t="n"/>
      <c r="D74" s="81" t="n"/>
      <c r="E74" s="81" t="n"/>
    </row>
    <row r="75" ht="13.7" customHeight="1" s="566">
      <c r="A75" s="890" t="n"/>
      <c r="B75" s="378" t="inlineStr">
        <is>
          <t>Victim</t>
        </is>
      </c>
      <c r="C75" s="253" t="n"/>
      <c r="D75" s="81" t="n"/>
      <c r="E75" s="81" t="n"/>
    </row>
    <row r="76" ht="13.5" customHeight="1" s="566">
      <c r="A76" s="891" t="n"/>
      <c r="B76" s="379" t="inlineStr">
        <is>
          <t>Witness Protection</t>
        </is>
      </c>
      <c r="C76" s="253" t="n"/>
      <c r="D76" s="81" t="n"/>
      <c r="E76" s="81" t="n"/>
    </row>
    <row r="77" ht="14.25" customHeight="1" s="566">
      <c r="A77" s="808" t="inlineStr">
        <is>
          <t>Natural and Cultural Resources</t>
        </is>
      </c>
      <c r="B77" s="377" t="inlineStr">
        <is>
          <t>Archaeological Resources</t>
        </is>
      </c>
      <c r="C77" s="253" t="n"/>
      <c r="D77" s="81" t="n"/>
      <c r="E77" s="81" t="n"/>
    </row>
    <row r="78" ht="13.7" customHeight="1" s="566">
      <c r="A78" s="890" t="n"/>
      <c r="B78" s="378" t="inlineStr">
        <is>
          <t>Historic Properties</t>
        </is>
      </c>
      <c r="C78" s="253" t="n"/>
      <c r="D78" s="81" t="n"/>
      <c r="E78" s="81" t="n"/>
    </row>
    <row r="79" ht="13.5" customHeight="1" s="566">
      <c r="A79" s="891" t="n"/>
      <c r="B79" s="379" t="inlineStr">
        <is>
          <t>National Park System Resources</t>
        </is>
      </c>
      <c r="C79" s="253" t="n"/>
      <c r="D79" s="81" t="n"/>
      <c r="E79" s="81" t="n"/>
    </row>
    <row r="80" ht="14.25" customHeight="1" s="566">
      <c r="A80" s="808" t="inlineStr">
        <is>
          <t>North Atlantic Treaty Organization (NATO)</t>
        </is>
      </c>
      <c r="B80" s="377" t="inlineStr">
        <is>
          <t>NATO Restricted</t>
        </is>
      </c>
      <c r="C80" s="253" t="n"/>
      <c r="D80" s="81" t="n"/>
      <c r="E80" s="81" t="n"/>
    </row>
    <row r="81" ht="13.5" customHeight="1" s="566">
      <c r="A81" s="891" t="n"/>
      <c r="B81" s="379" t="inlineStr">
        <is>
          <t>NATO Unclassified</t>
        </is>
      </c>
      <c r="C81" s="253" t="n"/>
      <c r="D81" s="81" t="n"/>
      <c r="E81" s="81" t="n"/>
    </row>
    <row r="82" ht="14.25" customHeight="1" s="566">
      <c r="A82" s="808" t="inlineStr">
        <is>
          <t>Nuclear</t>
        </is>
      </c>
      <c r="B82" s="377" t="inlineStr">
        <is>
          <t>General Nuclear</t>
        </is>
      </c>
      <c r="C82" s="253" t="n"/>
      <c r="D82" s="81" t="n"/>
      <c r="E82" s="81" t="n"/>
    </row>
    <row r="83" ht="13.7" customHeight="1" s="566">
      <c r="A83" s="890" t="n"/>
      <c r="B83" s="378" t="inlineStr">
        <is>
          <t>Nuclear Recommendation Material</t>
        </is>
      </c>
      <c r="C83" s="253" t="n"/>
      <c r="D83" s="81" t="n"/>
      <c r="E83" s="81" t="n"/>
    </row>
    <row r="84" ht="13.7" customHeight="1" s="566">
      <c r="A84" s="890" t="n"/>
      <c r="B84" s="378" t="inlineStr">
        <is>
          <t>Nuclear Security-Related Information</t>
        </is>
      </c>
      <c r="C84" s="253" t="n"/>
      <c r="D84" s="81" t="n"/>
      <c r="E84" s="81" t="n"/>
    </row>
    <row r="85" ht="13.7" customHeight="1" s="566">
      <c r="A85" s="890" t="n"/>
      <c r="B85" s="378" t="inlineStr">
        <is>
          <t>Safeguards Information</t>
        </is>
      </c>
      <c r="C85" s="253" t="n"/>
      <c r="D85" s="81" t="n"/>
      <c r="E85" s="81" t="n"/>
    </row>
    <row r="86" ht="13.5" customHeight="1" s="566">
      <c r="A86" s="891" t="n"/>
      <c r="B86" s="379" t="inlineStr">
        <is>
          <t>Unclassified Controlled Nuclear Information - Energy</t>
        </is>
      </c>
      <c r="C86" s="253" t="n"/>
      <c r="D86" s="81" t="n"/>
      <c r="E86" s="81" t="n"/>
    </row>
    <row r="87" ht="14.25" customHeight="1" s="566">
      <c r="A87" s="808" t="inlineStr">
        <is>
          <t>Patent</t>
        </is>
      </c>
      <c r="B87" s="377" t="inlineStr">
        <is>
          <t>Patent Applications</t>
        </is>
      </c>
      <c r="C87" s="253" t="n"/>
      <c r="D87" s="81" t="n"/>
      <c r="E87" s="81" t="n"/>
    </row>
    <row r="88" ht="13.7" customHeight="1" s="566">
      <c r="A88" s="890" t="n"/>
      <c r="B88" s="378" t="inlineStr">
        <is>
          <t>Inventions</t>
        </is>
      </c>
      <c r="C88" s="253" t="n"/>
      <c r="D88" s="81" t="n"/>
      <c r="E88" s="81" t="n"/>
    </row>
    <row r="89" ht="13.5" customHeight="1" s="566">
      <c r="A89" s="891" t="n"/>
      <c r="B89" s="379" t="inlineStr">
        <is>
          <t>Secrecy Orders</t>
        </is>
      </c>
      <c r="C89" s="253" t="n"/>
      <c r="D89" s="81" t="n"/>
      <c r="E89" s="81" t="n"/>
    </row>
    <row r="90" ht="14.25" customHeight="1" s="566">
      <c r="A90" s="808" t="inlineStr">
        <is>
          <t>Privacy</t>
        </is>
      </c>
      <c r="B90" s="377" t="inlineStr">
        <is>
          <t>Contract Use</t>
        </is>
      </c>
      <c r="C90" s="253" t="n"/>
      <c r="D90" s="81" t="n"/>
      <c r="E90" s="81" t="n"/>
    </row>
    <row r="91" ht="13.7" customHeight="1" s="566">
      <c r="A91" s="890" t="n"/>
      <c r="B91" s="378" t="inlineStr">
        <is>
          <t>Death Records</t>
        </is>
      </c>
      <c r="C91" s="253" t="n"/>
      <c r="D91" s="81" t="n"/>
      <c r="E91" s="81" t="n"/>
    </row>
    <row r="92" ht="13.7" customHeight="1" s="566">
      <c r="A92" s="890" t="n"/>
      <c r="B92" s="378" t="inlineStr">
        <is>
          <t>General Privacy</t>
        </is>
      </c>
      <c r="C92" s="253" t="n"/>
      <c r="D92" s="81" t="n"/>
      <c r="E92" s="81" t="n"/>
    </row>
    <row r="93" ht="13.7" customHeight="1" s="566">
      <c r="A93" s="890" t="n"/>
      <c r="B93" s="378" t="inlineStr">
        <is>
          <t>Genetic Information</t>
        </is>
      </c>
      <c r="C93" s="253" t="n"/>
      <c r="D93" s="81" t="n"/>
      <c r="E93" s="81" t="n"/>
    </row>
    <row r="94" ht="13.7" customHeight="1" s="566">
      <c r="A94" s="890" t="n"/>
      <c r="B94" s="378" t="inlineStr">
        <is>
          <t>Health Information</t>
        </is>
      </c>
      <c r="C94" s="253" t="n"/>
      <c r="D94" s="81" t="n"/>
      <c r="E94" s="81" t="n"/>
    </row>
    <row r="95" ht="13.7" customHeight="1" s="566">
      <c r="A95" s="890" t="n"/>
      <c r="B95" s="378" t="inlineStr">
        <is>
          <t>Inspector General Protected</t>
        </is>
      </c>
      <c r="C95" s="253" t="n"/>
      <c r="D95" s="81" t="n"/>
      <c r="E95" s="81" t="n"/>
    </row>
    <row r="96" ht="13.7" customHeight="1" s="566">
      <c r="A96" s="890" t="n"/>
      <c r="B96" s="378" t="inlineStr">
        <is>
          <t>Military Personnel Records</t>
        </is>
      </c>
      <c r="C96" s="253" t="n"/>
      <c r="D96" s="81" t="n"/>
      <c r="E96" s="81" t="n"/>
    </row>
    <row r="97" ht="13.7" customHeight="1" s="566">
      <c r="A97" s="890" t="n"/>
      <c r="B97" s="378" t="inlineStr">
        <is>
          <t>Personnel Records</t>
        </is>
      </c>
      <c r="C97" s="253" t="n"/>
      <c r="D97" s="81" t="n"/>
      <c r="E97" s="81" t="n"/>
    </row>
    <row r="98" ht="13.5" customHeight="1" s="566">
      <c r="A98" s="891" t="n"/>
      <c r="B98" s="379" t="inlineStr">
        <is>
          <t>Student Records</t>
        </is>
      </c>
      <c r="C98" s="253" t="n"/>
      <c r="D98" s="81" t="n"/>
      <c r="E98" s="81" t="n"/>
    </row>
    <row r="99" ht="14.25" customHeight="1" s="566">
      <c r="A99" s="808" t="inlineStr">
        <is>
          <t>Procurement and Acquisition</t>
        </is>
      </c>
      <c r="B99" s="377" t="inlineStr">
        <is>
          <t>General Procurement and Acquisition</t>
        </is>
      </c>
      <c r="C99" s="253" t="n"/>
      <c r="D99" s="81" t="n"/>
      <c r="E99" s="81" t="n"/>
    </row>
    <row r="100" ht="13.7" customHeight="1" s="566">
      <c r="A100" s="890" t="n"/>
      <c r="B100" s="378" t="inlineStr">
        <is>
          <t>Small Business Research and Technology</t>
        </is>
      </c>
      <c r="C100" s="253" t="n"/>
      <c r="D100" s="81" t="n"/>
      <c r="E100" s="81" t="n"/>
    </row>
    <row r="101" ht="13.5" customHeight="1" s="566">
      <c r="A101" s="891" t="n"/>
      <c r="B101" s="379" t="inlineStr">
        <is>
          <t>Source Selection</t>
        </is>
      </c>
      <c r="C101" s="253" t="n"/>
      <c r="D101" s="81" t="n"/>
      <c r="E101" s="81" t="n"/>
    </row>
    <row r="102" ht="14.25" customHeight="1" s="566">
      <c r="A102" s="808" t="inlineStr">
        <is>
          <t>Proprietary Business Information</t>
        </is>
      </c>
      <c r="B102" s="377" t="inlineStr">
        <is>
          <t>Entity Registration Information</t>
        </is>
      </c>
      <c r="C102" s="253" t="n"/>
      <c r="D102" s="81" t="n"/>
      <c r="E102" s="81" t="n"/>
    </row>
    <row r="103" ht="13.7" customHeight="1" s="566">
      <c r="A103" s="890" t="n"/>
      <c r="B103" s="378" t="inlineStr">
        <is>
          <t>General Proprietary Business Information</t>
        </is>
      </c>
      <c r="C103" s="253" t="n"/>
      <c r="D103" s="81" t="n"/>
      <c r="E103" s="81" t="n"/>
    </row>
    <row r="104" ht="25.5" customHeight="1" s="566">
      <c r="A104" s="890" t="n"/>
      <c r="B104" s="378" t="inlineStr">
        <is>
          <t>Ocean Common Carrier and Marine Terminal Operator Agreements</t>
        </is>
      </c>
      <c r="C104" s="253" t="n"/>
      <c r="D104" s="81" t="n"/>
      <c r="E104" s="81" t="n"/>
    </row>
    <row r="105" ht="13.7" customHeight="1" s="566">
      <c r="A105" s="890" t="n"/>
      <c r="B105" s="378" t="inlineStr">
        <is>
          <t>Ocean Common Carrier Service Contracts</t>
        </is>
      </c>
      <c r="C105" s="253" t="n"/>
      <c r="D105" s="81" t="n"/>
      <c r="E105" s="81" t="n"/>
    </row>
    <row r="106" ht="13.7" customHeight="1" s="566">
      <c r="A106" s="890" t="n"/>
      <c r="B106" s="378" t="inlineStr">
        <is>
          <t>Proprietary Manufacturer</t>
        </is>
      </c>
      <c r="C106" s="253" t="n"/>
      <c r="D106" s="81" t="n"/>
      <c r="E106" s="81" t="n"/>
    </row>
    <row r="107" ht="13.5" customHeight="1" s="566">
      <c r="A107" s="891" t="n"/>
      <c r="B107" s="379" t="inlineStr">
        <is>
          <t>Proprietary Postal</t>
        </is>
      </c>
      <c r="C107" s="253" t="n"/>
      <c r="D107" s="81" t="n"/>
      <c r="E107" s="81" t="n"/>
    </row>
    <row r="108" ht="14.25" customHeight="1" s="566">
      <c r="A108" s="808" t="inlineStr">
        <is>
          <t>Provisional</t>
        </is>
      </c>
      <c r="B108" s="377" t="inlineStr">
        <is>
          <t>Homeland Security Agreement Information</t>
        </is>
      </c>
      <c r="C108" s="253" t="n"/>
      <c r="D108" s="81" t="n"/>
      <c r="E108" s="81" t="n"/>
    </row>
    <row r="109" ht="13.7" customHeight="1" s="566">
      <c r="A109" s="890" t="n"/>
      <c r="B109" s="378" t="inlineStr">
        <is>
          <t>Homeland Security Enforcement Information</t>
        </is>
      </c>
      <c r="C109" s="253" t="n"/>
      <c r="D109" s="81" t="n"/>
      <c r="E109" s="81" t="n"/>
    </row>
    <row r="110" ht="13.7" customHeight="1" s="566">
      <c r="A110" s="890" t="n"/>
      <c r="B110" s="378" t="inlineStr">
        <is>
          <t>Information Systems Vulnerability Information - Homeland</t>
        </is>
      </c>
      <c r="C110" s="253" t="n"/>
      <c r="D110" s="81" t="n"/>
      <c r="E110" s="81" t="n"/>
    </row>
    <row r="111" ht="13.7" customHeight="1" s="566">
      <c r="A111" s="890" t="n"/>
      <c r="B111" s="378" t="inlineStr">
        <is>
          <t>International Agreement Information - Homeland</t>
        </is>
      </c>
      <c r="C111" s="253" t="n"/>
      <c r="D111" s="81" t="n"/>
      <c r="E111" s="81" t="n"/>
    </row>
    <row r="112" ht="13.7" customHeight="1" s="566">
      <c r="A112" s="890" t="n"/>
      <c r="B112" s="378" t="inlineStr">
        <is>
          <t>Operations Security Information</t>
        </is>
      </c>
      <c r="C112" s="253" t="n"/>
      <c r="D112" s="81" t="n"/>
      <c r="E112" s="81" t="n"/>
    </row>
    <row r="113" ht="13.7" customHeight="1" s="566">
      <c r="A113" s="890" t="n"/>
      <c r="B113" s="378" t="inlineStr">
        <is>
          <t>Personnel Security Information</t>
        </is>
      </c>
      <c r="C113" s="253" t="n"/>
      <c r="D113" s="81" t="n"/>
      <c r="E113" s="81" t="n"/>
    </row>
    <row r="114" ht="13.7" customHeight="1" s="566">
      <c r="A114" s="890" t="n"/>
      <c r="B114" s="378" t="inlineStr">
        <is>
          <t>Physical Security - Homeland</t>
        </is>
      </c>
      <c r="C114" s="253" t="n"/>
      <c r="D114" s="81" t="n"/>
      <c r="E114" s="81" t="n"/>
    </row>
    <row r="115" ht="13.7" customHeight="1" s="566">
      <c r="A115" s="890" t="n"/>
      <c r="B115" s="378" t="inlineStr">
        <is>
          <t>Privacy Information</t>
        </is>
      </c>
      <c r="C115" s="253" t="n"/>
      <c r="D115" s="81" t="n"/>
      <c r="E115" s="81" t="n"/>
    </row>
    <row r="116" ht="13.5" customHeight="1" s="566">
      <c r="A116" s="891" t="n"/>
      <c r="B116" s="379" t="inlineStr">
        <is>
          <t>Sensitive Personally Identifiable Information</t>
        </is>
      </c>
      <c r="C116" s="253" t="n"/>
      <c r="D116" s="81" t="n"/>
      <c r="E116" s="81" t="n"/>
    </row>
    <row r="117" ht="14.25" customHeight="1" s="566">
      <c r="A117" s="808" t="inlineStr">
        <is>
          <t>Statistical</t>
        </is>
      </c>
      <c r="B117" s="377" t="inlineStr">
        <is>
          <t>Investment Survey</t>
        </is>
      </c>
      <c r="C117" s="253" t="n"/>
      <c r="D117" s="81" t="n"/>
      <c r="E117" s="81" t="n"/>
    </row>
    <row r="118" ht="13.7" customHeight="1" s="566">
      <c r="A118" s="890" t="n"/>
      <c r="B118" s="378" t="inlineStr">
        <is>
          <t>Pesticide Producer Survey</t>
        </is>
      </c>
      <c r="C118" s="253" t="n"/>
      <c r="D118" s="81" t="n"/>
      <c r="E118" s="81" t="n"/>
    </row>
    <row r="119" ht="13.7" customHeight="1" s="566">
      <c r="A119" s="890" t="n"/>
      <c r="B119" s="378" t="inlineStr">
        <is>
          <t>Statistical Information</t>
        </is>
      </c>
      <c r="C119" s="253" t="n"/>
      <c r="D119" s="81" t="n"/>
      <c r="E119" s="81" t="n"/>
    </row>
    <row r="120" ht="13.5" customHeight="1" s="566">
      <c r="A120" s="891" t="n"/>
      <c r="B120" s="379" t="inlineStr">
        <is>
          <t>US Census</t>
        </is>
      </c>
      <c r="C120" s="253" t="n"/>
      <c r="D120" s="81" t="n"/>
      <c r="E120" s="81" t="n"/>
    </row>
    <row r="121" ht="14.25" customHeight="1" s="566">
      <c r="A121" s="808" t="inlineStr">
        <is>
          <t>Tax</t>
        </is>
      </c>
      <c r="B121" s="377" t="inlineStr">
        <is>
          <t>Federal Taxpayer Information</t>
        </is>
      </c>
      <c r="C121" s="253" t="n"/>
      <c r="D121" s="81" t="n"/>
      <c r="E121" s="81" t="n"/>
    </row>
    <row r="122" ht="13.7" customHeight="1" s="566">
      <c r="A122" s="890" t="n"/>
      <c r="B122" s="378" t="inlineStr">
        <is>
          <t>Tax Convention</t>
        </is>
      </c>
      <c r="C122" s="253" t="n"/>
      <c r="D122" s="81" t="n"/>
      <c r="E122" s="81" t="n"/>
    </row>
    <row r="123" ht="13.7" customHeight="1" s="566">
      <c r="A123" s="890" t="n"/>
      <c r="B123" s="378" t="inlineStr">
        <is>
          <t>Taxpayer Advocate Information</t>
        </is>
      </c>
      <c r="C123" s="253" t="n"/>
      <c r="D123" s="81" t="n"/>
      <c r="E123" s="81" t="n"/>
    </row>
    <row r="124" ht="13.5" customHeight="1" s="566">
      <c r="A124" s="891" t="n"/>
      <c r="B124" s="379" t="inlineStr">
        <is>
          <t>Written Determinations</t>
        </is>
      </c>
      <c r="C124" s="253" t="n"/>
      <c r="D124" s="81" t="n"/>
      <c r="E124" s="81" t="n"/>
    </row>
    <row r="125" ht="14.25" customHeight="1" s="566">
      <c r="A125" s="808" t="inlineStr">
        <is>
          <t>Transportation</t>
        </is>
      </c>
      <c r="B125" s="377" t="inlineStr">
        <is>
          <t>Railroad Safety Analysis Records</t>
        </is>
      </c>
      <c r="C125" s="253" t="n"/>
      <c r="D125" s="81" t="n"/>
      <c r="E125" s="81" t="n"/>
    </row>
    <row r="126" ht="13.5" customHeight="1" s="566">
      <c r="A126" s="891" t="n"/>
      <c r="B126" s="379" t="inlineStr">
        <is>
          <t>Sensitive Security Information</t>
        </is>
      </c>
      <c r="C126" s="253" t="n"/>
      <c r="D126" s="81" t="n"/>
      <c r="E126" s="81" t="n"/>
    </row>
  </sheetData>
  <mergeCells count="19">
    <mergeCell ref="A117:A120"/>
    <mergeCell ref="A108:A116"/>
    <mergeCell ref="A19:A30"/>
    <mergeCell ref="A80:A81"/>
    <mergeCell ref="A47:A64"/>
    <mergeCell ref="A2:A12"/>
    <mergeCell ref="A77:A79"/>
    <mergeCell ref="A17:A18"/>
    <mergeCell ref="A65:A76"/>
    <mergeCell ref="A82:A86"/>
    <mergeCell ref="A87:A89"/>
    <mergeCell ref="A31:A37"/>
    <mergeCell ref="A125:A126"/>
    <mergeCell ref="A13:A16"/>
    <mergeCell ref="A99:A101"/>
    <mergeCell ref="A121:A124"/>
    <mergeCell ref="A38:A45"/>
    <mergeCell ref="A102:A107"/>
    <mergeCell ref="A90:A98"/>
  </mergeCells>
  <hyperlinks>
    <hyperlink xmlns:r="http://schemas.openxmlformats.org/officeDocument/2006/relationships" ref="A1" r:id="rId1"/>
    <hyperlink xmlns:r="http://schemas.openxmlformats.org/officeDocument/2006/relationships" ref="B2" r:id="rId2"/>
    <hyperlink xmlns:r="http://schemas.openxmlformats.org/officeDocument/2006/relationships" ref="B3" r:id="rId3"/>
    <hyperlink xmlns:r="http://schemas.openxmlformats.org/officeDocument/2006/relationships" ref="B4" r:id="rId4"/>
    <hyperlink xmlns:r="http://schemas.openxmlformats.org/officeDocument/2006/relationships" ref="B5" r:id="rId5"/>
    <hyperlink xmlns:r="http://schemas.openxmlformats.org/officeDocument/2006/relationships" ref="B6" r:id="rId6"/>
    <hyperlink xmlns:r="http://schemas.openxmlformats.org/officeDocument/2006/relationships" ref="B7" r:id="rId7"/>
    <hyperlink xmlns:r="http://schemas.openxmlformats.org/officeDocument/2006/relationships" ref="B8" r:id="rId8"/>
    <hyperlink xmlns:r="http://schemas.openxmlformats.org/officeDocument/2006/relationships" ref="B9" r:id="rId9"/>
    <hyperlink xmlns:r="http://schemas.openxmlformats.org/officeDocument/2006/relationships" ref="B10" r:id="rId10"/>
    <hyperlink xmlns:r="http://schemas.openxmlformats.org/officeDocument/2006/relationships" ref="B11" r:id="rId11"/>
    <hyperlink xmlns:r="http://schemas.openxmlformats.org/officeDocument/2006/relationships" ref="B12" r:id="rId12"/>
    <hyperlink xmlns:r="http://schemas.openxmlformats.org/officeDocument/2006/relationships" ref="B13" r:id="rId13"/>
    <hyperlink xmlns:r="http://schemas.openxmlformats.org/officeDocument/2006/relationships" ref="B14" r:id="rId14"/>
    <hyperlink xmlns:r="http://schemas.openxmlformats.org/officeDocument/2006/relationships" ref="B15" r:id="rId15"/>
    <hyperlink xmlns:r="http://schemas.openxmlformats.org/officeDocument/2006/relationships" ref="B16" r:id="rId16"/>
    <hyperlink xmlns:r="http://schemas.openxmlformats.org/officeDocument/2006/relationships" ref="B17" r:id="rId17"/>
    <hyperlink xmlns:r="http://schemas.openxmlformats.org/officeDocument/2006/relationships" ref="B18" r:id="rId18"/>
    <hyperlink xmlns:r="http://schemas.openxmlformats.org/officeDocument/2006/relationships" ref="B19" r:id="rId19"/>
    <hyperlink xmlns:r="http://schemas.openxmlformats.org/officeDocument/2006/relationships" ref="B20" r:id="rId20"/>
    <hyperlink xmlns:r="http://schemas.openxmlformats.org/officeDocument/2006/relationships" ref="B21" r:id="rId21"/>
    <hyperlink xmlns:r="http://schemas.openxmlformats.org/officeDocument/2006/relationships" ref="B22" r:id="rId22"/>
    <hyperlink xmlns:r="http://schemas.openxmlformats.org/officeDocument/2006/relationships" ref="B23" r:id="rId23"/>
    <hyperlink xmlns:r="http://schemas.openxmlformats.org/officeDocument/2006/relationships" ref="B24" r:id="rId24"/>
    <hyperlink xmlns:r="http://schemas.openxmlformats.org/officeDocument/2006/relationships" ref="B25" r:id="rId25"/>
    <hyperlink xmlns:r="http://schemas.openxmlformats.org/officeDocument/2006/relationships" ref="B26" r:id="rId26"/>
    <hyperlink xmlns:r="http://schemas.openxmlformats.org/officeDocument/2006/relationships" ref="B27" r:id="rId27"/>
    <hyperlink xmlns:r="http://schemas.openxmlformats.org/officeDocument/2006/relationships" ref="B28" r:id="rId28"/>
    <hyperlink xmlns:r="http://schemas.openxmlformats.org/officeDocument/2006/relationships" ref="B29" r:id="rId29"/>
    <hyperlink xmlns:r="http://schemas.openxmlformats.org/officeDocument/2006/relationships" ref="B30" r:id="rId30"/>
    <hyperlink xmlns:r="http://schemas.openxmlformats.org/officeDocument/2006/relationships" ref="B31" r:id="rId31"/>
    <hyperlink xmlns:r="http://schemas.openxmlformats.org/officeDocument/2006/relationships" ref="B32" r:id="rId32"/>
    <hyperlink xmlns:r="http://schemas.openxmlformats.org/officeDocument/2006/relationships" ref="B33" r:id="rId33"/>
    <hyperlink xmlns:r="http://schemas.openxmlformats.org/officeDocument/2006/relationships" ref="B34" r:id="rId34"/>
    <hyperlink xmlns:r="http://schemas.openxmlformats.org/officeDocument/2006/relationships" ref="B35" r:id="rId35"/>
    <hyperlink xmlns:r="http://schemas.openxmlformats.org/officeDocument/2006/relationships" ref="B36" r:id="rId36"/>
    <hyperlink xmlns:r="http://schemas.openxmlformats.org/officeDocument/2006/relationships" ref="B37" r:id="rId37"/>
    <hyperlink xmlns:r="http://schemas.openxmlformats.org/officeDocument/2006/relationships" ref="B38" r:id="rId38"/>
    <hyperlink xmlns:r="http://schemas.openxmlformats.org/officeDocument/2006/relationships" ref="B39" r:id="rId39"/>
    <hyperlink xmlns:r="http://schemas.openxmlformats.org/officeDocument/2006/relationships" ref="B40" r:id="rId40"/>
    <hyperlink xmlns:r="http://schemas.openxmlformats.org/officeDocument/2006/relationships" ref="B41" r:id="rId41"/>
    <hyperlink xmlns:r="http://schemas.openxmlformats.org/officeDocument/2006/relationships" ref="B42" r:id="rId42"/>
    <hyperlink xmlns:r="http://schemas.openxmlformats.org/officeDocument/2006/relationships" ref="B43" r:id="rId43"/>
    <hyperlink xmlns:r="http://schemas.openxmlformats.org/officeDocument/2006/relationships" ref="B44" r:id="rId44"/>
    <hyperlink xmlns:r="http://schemas.openxmlformats.org/officeDocument/2006/relationships" ref="B45" r:id="rId45"/>
    <hyperlink xmlns:r="http://schemas.openxmlformats.org/officeDocument/2006/relationships" ref="B46" r:id="rId46"/>
    <hyperlink xmlns:r="http://schemas.openxmlformats.org/officeDocument/2006/relationships" ref="B47" r:id="rId47"/>
    <hyperlink xmlns:r="http://schemas.openxmlformats.org/officeDocument/2006/relationships" ref="B48" r:id="rId48"/>
    <hyperlink xmlns:r="http://schemas.openxmlformats.org/officeDocument/2006/relationships" ref="B49" r:id="rId49"/>
    <hyperlink xmlns:r="http://schemas.openxmlformats.org/officeDocument/2006/relationships" ref="B50" r:id="rId50"/>
    <hyperlink xmlns:r="http://schemas.openxmlformats.org/officeDocument/2006/relationships" ref="B51" r:id="rId51"/>
    <hyperlink xmlns:r="http://schemas.openxmlformats.org/officeDocument/2006/relationships" ref="B52" r:id="rId52"/>
    <hyperlink xmlns:r="http://schemas.openxmlformats.org/officeDocument/2006/relationships" ref="B53" r:id="rId53"/>
    <hyperlink xmlns:r="http://schemas.openxmlformats.org/officeDocument/2006/relationships" ref="B54" r:id="rId54"/>
    <hyperlink xmlns:r="http://schemas.openxmlformats.org/officeDocument/2006/relationships" ref="B55" r:id="rId55"/>
    <hyperlink xmlns:r="http://schemas.openxmlformats.org/officeDocument/2006/relationships" ref="B56" r:id="rId56"/>
    <hyperlink xmlns:r="http://schemas.openxmlformats.org/officeDocument/2006/relationships" ref="B57" r:id="rId57"/>
    <hyperlink xmlns:r="http://schemas.openxmlformats.org/officeDocument/2006/relationships" ref="B58" r:id="rId58"/>
    <hyperlink xmlns:r="http://schemas.openxmlformats.org/officeDocument/2006/relationships" ref="B59" r:id="rId59"/>
    <hyperlink xmlns:r="http://schemas.openxmlformats.org/officeDocument/2006/relationships" ref="B60" r:id="rId60"/>
    <hyperlink xmlns:r="http://schemas.openxmlformats.org/officeDocument/2006/relationships" ref="B61" r:id="rId61"/>
    <hyperlink xmlns:r="http://schemas.openxmlformats.org/officeDocument/2006/relationships" ref="B62" r:id="rId62"/>
    <hyperlink xmlns:r="http://schemas.openxmlformats.org/officeDocument/2006/relationships" ref="B63" r:id="rId63"/>
    <hyperlink xmlns:r="http://schemas.openxmlformats.org/officeDocument/2006/relationships" ref="B64" r:id="rId64"/>
    <hyperlink xmlns:r="http://schemas.openxmlformats.org/officeDocument/2006/relationships" ref="B65" r:id="rId65"/>
    <hyperlink xmlns:r="http://schemas.openxmlformats.org/officeDocument/2006/relationships" ref="B66" r:id="rId66"/>
    <hyperlink xmlns:r="http://schemas.openxmlformats.org/officeDocument/2006/relationships" ref="B67" r:id="rId67"/>
    <hyperlink xmlns:r="http://schemas.openxmlformats.org/officeDocument/2006/relationships" ref="B68" r:id="rId68"/>
    <hyperlink xmlns:r="http://schemas.openxmlformats.org/officeDocument/2006/relationships" ref="B69" r:id="rId69"/>
    <hyperlink xmlns:r="http://schemas.openxmlformats.org/officeDocument/2006/relationships" ref="B70" r:id="rId70"/>
    <hyperlink xmlns:r="http://schemas.openxmlformats.org/officeDocument/2006/relationships" ref="B71" r:id="rId71"/>
    <hyperlink xmlns:r="http://schemas.openxmlformats.org/officeDocument/2006/relationships" ref="B72" r:id="rId72"/>
    <hyperlink xmlns:r="http://schemas.openxmlformats.org/officeDocument/2006/relationships" ref="B73" r:id="rId73"/>
    <hyperlink xmlns:r="http://schemas.openxmlformats.org/officeDocument/2006/relationships" ref="B74" r:id="rId74"/>
    <hyperlink xmlns:r="http://schemas.openxmlformats.org/officeDocument/2006/relationships" ref="B75" r:id="rId75"/>
    <hyperlink xmlns:r="http://schemas.openxmlformats.org/officeDocument/2006/relationships" ref="B76" r:id="rId76"/>
    <hyperlink xmlns:r="http://schemas.openxmlformats.org/officeDocument/2006/relationships" ref="B77" r:id="rId77"/>
    <hyperlink xmlns:r="http://schemas.openxmlformats.org/officeDocument/2006/relationships" ref="B78" r:id="rId78"/>
    <hyperlink xmlns:r="http://schemas.openxmlformats.org/officeDocument/2006/relationships" ref="B79" r:id="rId79"/>
    <hyperlink xmlns:r="http://schemas.openxmlformats.org/officeDocument/2006/relationships" ref="B80" r:id="rId80"/>
    <hyperlink xmlns:r="http://schemas.openxmlformats.org/officeDocument/2006/relationships" ref="B81" r:id="rId81"/>
    <hyperlink xmlns:r="http://schemas.openxmlformats.org/officeDocument/2006/relationships" ref="B82" r:id="rId82"/>
    <hyperlink xmlns:r="http://schemas.openxmlformats.org/officeDocument/2006/relationships" ref="B83" r:id="rId83"/>
    <hyperlink xmlns:r="http://schemas.openxmlformats.org/officeDocument/2006/relationships" ref="B84" r:id="rId84"/>
    <hyperlink xmlns:r="http://schemas.openxmlformats.org/officeDocument/2006/relationships" ref="B85" r:id="rId85"/>
    <hyperlink xmlns:r="http://schemas.openxmlformats.org/officeDocument/2006/relationships" ref="B86" r:id="rId86"/>
    <hyperlink xmlns:r="http://schemas.openxmlformats.org/officeDocument/2006/relationships" ref="B87" r:id="rId87"/>
    <hyperlink xmlns:r="http://schemas.openxmlformats.org/officeDocument/2006/relationships" ref="B88" r:id="rId88"/>
    <hyperlink xmlns:r="http://schemas.openxmlformats.org/officeDocument/2006/relationships" ref="B89" r:id="rId89"/>
    <hyperlink xmlns:r="http://schemas.openxmlformats.org/officeDocument/2006/relationships" ref="B90" r:id="rId90"/>
    <hyperlink xmlns:r="http://schemas.openxmlformats.org/officeDocument/2006/relationships" ref="B91" r:id="rId91"/>
    <hyperlink xmlns:r="http://schemas.openxmlformats.org/officeDocument/2006/relationships" ref="B92" r:id="rId92"/>
    <hyperlink xmlns:r="http://schemas.openxmlformats.org/officeDocument/2006/relationships" ref="B93" r:id="rId93"/>
    <hyperlink xmlns:r="http://schemas.openxmlformats.org/officeDocument/2006/relationships" ref="B94" r:id="rId94"/>
    <hyperlink xmlns:r="http://schemas.openxmlformats.org/officeDocument/2006/relationships" ref="B95" r:id="rId95"/>
    <hyperlink xmlns:r="http://schemas.openxmlformats.org/officeDocument/2006/relationships" ref="B96" r:id="rId96"/>
    <hyperlink xmlns:r="http://schemas.openxmlformats.org/officeDocument/2006/relationships" ref="B97" r:id="rId97"/>
    <hyperlink xmlns:r="http://schemas.openxmlformats.org/officeDocument/2006/relationships" ref="B98" r:id="rId98"/>
    <hyperlink xmlns:r="http://schemas.openxmlformats.org/officeDocument/2006/relationships" ref="B99" r:id="rId99"/>
    <hyperlink xmlns:r="http://schemas.openxmlformats.org/officeDocument/2006/relationships" ref="B100" r:id="rId100"/>
    <hyperlink xmlns:r="http://schemas.openxmlformats.org/officeDocument/2006/relationships" ref="B101" r:id="rId101"/>
    <hyperlink xmlns:r="http://schemas.openxmlformats.org/officeDocument/2006/relationships" ref="B102" r:id="rId102"/>
    <hyperlink xmlns:r="http://schemas.openxmlformats.org/officeDocument/2006/relationships" ref="B103" r:id="rId103"/>
    <hyperlink xmlns:r="http://schemas.openxmlformats.org/officeDocument/2006/relationships" ref="B104" r:id="rId104"/>
    <hyperlink xmlns:r="http://schemas.openxmlformats.org/officeDocument/2006/relationships" ref="B105" r:id="rId105"/>
    <hyperlink xmlns:r="http://schemas.openxmlformats.org/officeDocument/2006/relationships" ref="B106" r:id="rId106"/>
    <hyperlink xmlns:r="http://schemas.openxmlformats.org/officeDocument/2006/relationships" ref="B107" r:id="rId107"/>
    <hyperlink xmlns:r="http://schemas.openxmlformats.org/officeDocument/2006/relationships" ref="B108" r:id="rId108"/>
    <hyperlink xmlns:r="http://schemas.openxmlformats.org/officeDocument/2006/relationships" ref="B109" r:id="rId109"/>
    <hyperlink xmlns:r="http://schemas.openxmlformats.org/officeDocument/2006/relationships" ref="B110" r:id="rId110"/>
    <hyperlink xmlns:r="http://schemas.openxmlformats.org/officeDocument/2006/relationships" ref="B111" r:id="rId111"/>
    <hyperlink xmlns:r="http://schemas.openxmlformats.org/officeDocument/2006/relationships" ref="B112" r:id="rId112"/>
    <hyperlink xmlns:r="http://schemas.openxmlformats.org/officeDocument/2006/relationships" ref="B113" r:id="rId113"/>
    <hyperlink xmlns:r="http://schemas.openxmlformats.org/officeDocument/2006/relationships" ref="B114" r:id="rId114"/>
    <hyperlink xmlns:r="http://schemas.openxmlformats.org/officeDocument/2006/relationships" ref="B115" r:id="rId115"/>
    <hyperlink xmlns:r="http://schemas.openxmlformats.org/officeDocument/2006/relationships" ref="B116" r:id="rId116"/>
    <hyperlink xmlns:r="http://schemas.openxmlformats.org/officeDocument/2006/relationships" ref="B117" r:id="rId117"/>
    <hyperlink xmlns:r="http://schemas.openxmlformats.org/officeDocument/2006/relationships" ref="B118" r:id="rId118"/>
    <hyperlink xmlns:r="http://schemas.openxmlformats.org/officeDocument/2006/relationships" ref="B119" r:id="rId119"/>
    <hyperlink xmlns:r="http://schemas.openxmlformats.org/officeDocument/2006/relationships" ref="B120" r:id="rId120"/>
    <hyperlink xmlns:r="http://schemas.openxmlformats.org/officeDocument/2006/relationships" ref="B121" r:id="rId121"/>
    <hyperlink xmlns:r="http://schemas.openxmlformats.org/officeDocument/2006/relationships" ref="B122" r:id="rId122"/>
    <hyperlink xmlns:r="http://schemas.openxmlformats.org/officeDocument/2006/relationships" ref="B123" r:id="rId123"/>
    <hyperlink xmlns:r="http://schemas.openxmlformats.org/officeDocument/2006/relationships" ref="B124" r:id="rId124"/>
    <hyperlink xmlns:r="http://schemas.openxmlformats.org/officeDocument/2006/relationships" ref="B125" r:id="rId125"/>
    <hyperlink xmlns:r="http://schemas.openxmlformats.org/officeDocument/2006/relationships" ref="B126" r:id="rId126"/>
  </hyperlinks>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23.xml><?xml version="1.0" encoding="utf-8"?>
<worksheet xmlns="http://schemas.openxmlformats.org/spreadsheetml/2006/main">
  <sheetPr>
    <outlinePr summaryBelow="1" summaryRight="1"/>
    <pageSetUpPr/>
  </sheetPr>
  <dimension ref="A1:T113"/>
  <sheetViews>
    <sheetView showGridLines="0" topLeftCell="F1" workbookViewId="0">
      <selection activeCell="A1" sqref="A1"/>
    </sheetView>
  </sheetViews>
  <sheetFormatPr baseColWidth="8" defaultColWidth="9" defaultRowHeight="12.75" customHeight="1"/>
  <cols>
    <col width="21.83203125" customWidth="1" style="1" min="1" max="1"/>
    <col width="24" customWidth="1" style="1" min="2" max="2"/>
    <col width="14.6640625" customWidth="1" style="1" min="3" max="3"/>
    <col width="40.83203125" customWidth="1" style="1" min="4" max="4"/>
    <col width="17" customWidth="1" style="1" min="5" max="5"/>
    <col width="5.1640625" customWidth="1" style="1" min="6" max="6"/>
    <col width="14.83203125" customWidth="1" style="1" min="7" max="7"/>
    <col width="9" customWidth="1" style="1" min="8" max="8"/>
    <col width="54.1640625" customWidth="1" style="1" min="9" max="9"/>
    <col width="7.6640625" customWidth="1" style="1" min="10" max="10"/>
    <col width="38.6640625" customWidth="1" style="1" min="11" max="11"/>
    <col width="24.6640625" customWidth="1" style="1" min="12" max="12"/>
    <col width="26" customWidth="1" style="1" min="13" max="13"/>
    <col width="25" customWidth="1" style="1" min="14" max="14"/>
    <col width="9.6640625" customWidth="1" style="1" min="15" max="15"/>
    <col width="3.6640625" customWidth="1" style="1" min="16" max="16"/>
    <col width="24" customWidth="1" style="1" min="17" max="18"/>
    <col width="21" customWidth="1" style="1" min="19" max="19"/>
    <col width="24" customWidth="1" style="1" min="20" max="20"/>
    <col width="9" customWidth="1" style="1" min="21" max="21"/>
    <col width="9" customWidth="1" style="1" min="22" max="16384"/>
  </cols>
  <sheetData>
    <row r="1" ht="19.5" customHeight="1" s="566">
      <c r="A1" s="911" t="inlineStr">
        <is>
          <t>Information for SPRS Submission</t>
        </is>
      </c>
      <c r="B1" s="887" t="n"/>
      <c r="C1" s="887" t="n"/>
      <c r="D1" s="887" t="n"/>
      <c r="E1" s="897" t="n"/>
      <c r="F1" s="382" t="n"/>
      <c r="G1" s="383" t="n"/>
      <c r="H1" s="911" t="inlineStr">
        <is>
          <t>Self-Assessment Against NIST SP 800-171 using NIST SP 800-171A criteria and DoD template and scoring</t>
        </is>
      </c>
      <c r="I1" s="887" t="n"/>
      <c r="J1" s="887" t="n"/>
      <c r="K1" s="887" t="n"/>
      <c r="L1" s="887" t="n"/>
      <c r="M1" s="887" t="n"/>
      <c r="N1" s="887" t="n"/>
      <c r="O1" s="897" t="n"/>
      <c r="P1" s="384" t="n"/>
      <c r="Q1" s="911" t="inlineStr">
        <is>
          <t>Plan of Action and Milestones</t>
        </is>
      </c>
      <c r="R1" s="887" t="n"/>
      <c r="S1" s="887" t="n"/>
      <c r="T1" s="897" t="n"/>
    </row>
    <row r="2" ht="63.75" customHeight="1" s="566">
      <c r="A2" s="820" t="inlineStr">
        <is>
          <t>Date of Assessment</t>
        </is>
      </c>
      <c r="B2" s="228" t="inlineStr">
        <is>
          <t>CAGE Code</t>
        </is>
      </c>
      <c r="C2" s="228" t="inlineStr">
        <is>
          <t>System Description</t>
        </is>
      </c>
      <c r="D2" s="228" t="inlineStr">
        <is>
          <t>SPRS Score</t>
        </is>
      </c>
      <c r="E2" s="229" t="inlineStr">
        <is>
          <t>Date when 110 Score Expected</t>
        </is>
      </c>
      <c r="F2" s="385" t="n"/>
      <c r="G2" s="386" t="n"/>
      <c r="H2" s="820" t="inlineStr">
        <is>
          <t>Security Requirement</t>
        </is>
      </c>
      <c r="I2" s="888" t="n"/>
      <c r="J2" s="228" t="inlineStr">
        <is>
          <t>DoD Score Value</t>
        </is>
      </c>
      <c r="K2" s="228" t="inlineStr">
        <is>
          <t>DoD Comment to Assessor</t>
        </is>
      </c>
      <c r="L2" s="228" t="inlineStr">
        <is>
          <t>Assessor Notes</t>
        </is>
      </c>
      <c r="M2" s="228" t="inlineStr">
        <is>
          <t>Implementation Status</t>
        </is>
      </c>
      <c r="N2" s="228" t="inlineStr">
        <is>
          <t>Target Implementation Completion Date</t>
        </is>
      </c>
      <c r="O2" s="229" t="inlineStr">
        <is>
          <t>Score Impact</t>
        </is>
      </c>
      <c r="P2" s="384" t="n"/>
      <c r="Q2" s="820" t="inlineStr">
        <is>
          <t>Responsible Office/Organization</t>
        </is>
      </c>
      <c r="R2" s="228" t="inlineStr">
        <is>
          <t>Resource Estimate (Funded, Unfunded, Reallocated)</t>
        </is>
      </c>
      <c r="S2" s="228" t="inlineStr">
        <is>
          <t>Milestones with Interim Completion Dates</t>
        </is>
      </c>
      <c r="T2" s="229" t="inlineStr">
        <is>
          <t>Changes to Milestones</t>
        </is>
      </c>
    </row>
    <row r="3" ht="78.75" customHeight="1" s="566">
      <c r="A3" s="387" t="n"/>
      <c r="B3" s="388" t="n"/>
      <c r="C3" s="388" t="n"/>
      <c r="D3" s="389">
        <f t="array" ref="D3">IF(O89=-1000,"No SSP, therefore an assessment could not be completed due to incomplete information and noncompliance with DFARS clause 252.204-7012.  See 3.12.4.",110+(SUM(O3:O112)))</f>
        <v/>
      </c>
      <c r="E3" s="390" t="inlineStr">
        <is>
          <t>N/A</t>
        </is>
      </c>
      <c r="F3" s="391" t="n"/>
      <c r="G3" s="912" t="inlineStr">
        <is>
          <t>Access Control</t>
        </is>
      </c>
      <c r="H3" s="392" t="inlineStr">
        <is>
          <t>3.1.1*</t>
        </is>
      </c>
      <c r="I3" s="393" t="inlineStr">
        <is>
          <t>Limit system access to authorized users, processes acting on behalf of authorized users, and devices (including other systems).</t>
        </is>
      </c>
      <c r="J3" s="394" t="n">
        <v>5</v>
      </c>
      <c r="K3" s="395" t="n"/>
      <c r="L3" s="396" t="n"/>
      <c r="M3" s="397" t="inlineStr">
        <is>
          <t>Not Yet Assessed</t>
        </is>
      </c>
      <c r="N3" s="398" t="n"/>
      <c r="O3" s="399">
        <f t="array" ref="O3">IF(M3&lt;&gt;"Fully Implemented",-1*J3,0)</f>
        <v/>
      </c>
      <c r="P3" s="384" t="n"/>
      <c r="Q3" s="316" t="n"/>
      <c r="R3" s="44" t="n"/>
      <c r="S3" s="44" t="n"/>
      <c r="T3" s="45" t="n"/>
    </row>
    <row r="4" ht="48" customHeight="1" s="566">
      <c r="A4" s="400" t="inlineStr">
        <is>
          <t>Prepared for (Organization Name)</t>
        </is>
      </c>
      <c r="B4" s="401" t="inlineStr">
        <is>
          <t>Prepared by 
(Assessor Name)</t>
        </is>
      </c>
      <c r="C4" s="402" t="n"/>
      <c r="D4" s="266" t="n"/>
      <c r="E4" s="403" t="n"/>
      <c r="F4" s="404" t="n"/>
      <c r="G4" s="913" t="n"/>
      <c r="H4" s="405" t="inlineStr">
        <is>
          <t>3.1.2*</t>
        </is>
      </c>
      <c r="I4" s="406" t="inlineStr">
        <is>
          <t>Limit system access to the types of transactions and functions that authorized users are permitted to execute.</t>
        </is>
      </c>
      <c r="J4" s="407" t="n">
        <v>5</v>
      </c>
      <c r="K4" s="408" t="n"/>
      <c r="L4" s="409" t="n"/>
      <c r="M4" s="410" t="inlineStr">
        <is>
          <t>Not Yet Assessed</t>
        </is>
      </c>
      <c r="N4" s="411" t="n"/>
      <c r="O4" s="412">
        <f t="array" ref="O4">IF(M4&lt;&gt;"Fully Implemented",-1*J4,0)</f>
        <v/>
      </c>
      <c r="P4" s="384" t="n"/>
      <c r="Q4" s="320" t="n"/>
      <c r="R4" s="47" t="n"/>
      <c r="S4" s="47" t="n"/>
      <c r="T4" s="48" t="n"/>
    </row>
    <row r="5" ht="31.5" customHeight="1" s="566">
      <c r="A5" s="244" t="n"/>
      <c r="B5" s="244" t="n"/>
      <c r="C5" s="413" t="n"/>
      <c r="D5" s="81" t="n"/>
      <c r="E5" s="414" t="n"/>
      <c r="F5" s="404" t="n"/>
      <c r="G5" s="913" t="n"/>
      <c r="H5" s="405" t="inlineStr">
        <is>
          <t>3.1.3</t>
        </is>
      </c>
      <c r="I5" s="406" t="inlineStr">
        <is>
          <t>Control the flow of CUI in accordance with approved authorizations.</t>
        </is>
      </c>
      <c r="J5" s="407" t="n">
        <v>1</v>
      </c>
      <c r="K5" s="408" t="n"/>
      <c r="L5" s="409" t="n"/>
      <c r="M5" s="410" t="inlineStr">
        <is>
          <t>Not Yet Assessed</t>
        </is>
      </c>
      <c r="N5" s="411" t="n"/>
      <c r="O5" s="412">
        <f t="array" ref="O5">IF(M5&lt;&gt;"Fully Implemented",-1*J5,0)</f>
        <v/>
      </c>
      <c r="P5" s="384" t="n"/>
      <c r="Q5" s="320" t="n"/>
      <c r="R5" s="47" t="n"/>
      <c r="S5" s="47" t="n"/>
      <c r="T5" s="48" t="n"/>
    </row>
    <row r="6" ht="31.5" customHeight="1" s="566">
      <c r="A6" s="415" t="n"/>
      <c r="B6" s="415" t="n"/>
      <c r="C6" s="81" t="n"/>
      <c r="D6" s="81" t="n"/>
      <c r="E6" s="414" t="n"/>
      <c r="F6" s="404" t="n"/>
      <c r="G6" s="913" t="n"/>
      <c r="H6" s="405" t="inlineStr">
        <is>
          <t>3.1.4</t>
        </is>
      </c>
      <c r="I6" s="406" t="inlineStr">
        <is>
          <t>Separate the duties of individuals to reduce the risk of malevolent activity without collusion.</t>
        </is>
      </c>
      <c r="J6" s="407" t="n">
        <v>1</v>
      </c>
      <c r="K6" s="408" t="n"/>
      <c r="L6" s="409" t="n"/>
      <c r="M6" s="410" t="inlineStr">
        <is>
          <t>Not Yet Assessed</t>
        </is>
      </c>
      <c r="N6" s="411" t="n"/>
      <c r="O6" s="412">
        <f t="array" ref="O6">IF(M6&lt;&gt;"Fully Implemented",-1*J6,0)</f>
        <v/>
      </c>
      <c r="P6" s="384" t="n"/>
      <c r="Q6" s="320" t="n"/>
      <c r="R6" s="47" t="n"/>
      <c r="S6" s="47" t="n"/>
      <c r="T6" s="48" t="n"/>
    </row>
    <row r="7" ht="47.25" customHeight="1" s="566">
      <c r="A7" s="81" t="n"/>
      <c r="B7" s="81" t="n"/>
      <c r="C7" s="81" t="n"/>
      <c r="D7" s="81" t="n"/>
      <c r="E7" s="414" t="n"/>
      <c r="F7" s="404" t="n"/>
      <c r="G7" s="913" t="n"/>
      <c r="H7" s="405" t="inlineStr">
        <is>
          <t>3.1.5</t>
        </is>
      </c>
      <c r="I7" s="406" t="inlineStr">
        <is>
          <t>Employ the principle of least privilege, including for specific security functions and privileged accounts.</t>
        </is>
      </c>
      <c r="J7" s="407" t="n">
        <v>3</v>
      </c>
      <c r="K7" s="408" t="n"/>
      <c r="L7" s="409" t="n"/>
      <c r="M7" s="410" t="inlineStr">
        <is>
          <t>Not Yet Assessed</t>
        </is>
      </c>
      <c r="N7" s="411" t="n"/>
      <c r="O7" s="412">
        <f t="array" ref="O7">IF(M7&lt;&gt;"Fully Implemented",-1*J7,0)</f>
        <v/>
      </c>
      <c r="P7" s="384" t="n"/>
      <c r="Q7" s="320" t="n"/>
      <c r="R7" s="47" t="n"/>
      <c r="S7" s="47" t="n"/>
      <c r="T7" s="48" t="n"/>
    </row>
    <row r="8" ht="31.5" customHeight="1" s="566">
      <c r="A8" s="81" t="n"/>
      <c r="B8" s="81" t="n"/>
      <c r="C8" s="81" t="n"/>
      <c r="D8" s="81" t="n"/>
      <c r="E8" s="414" t="n"/>
      <c r="F8" s="404" t="n"/>
      <c r="G8" s="913" t="n"/>
      <c r="H8" s="405" t="inlineStr">
        <is>
          <t>3.1.6</t>
        </is>
      </c>
      <c r="I8" s="406" t="inlineStr">
        <is>
          <t>Use non-privileged accounts or roles when accessing non-security functions.</t>
        </is>
      </c>
      <c r="J8" s="407" t="n">
        <v>1</v>
      </c>
      <c r="K8" s="408" t="n"/>
      <c r="L8" s="409" t="n"/>
      <c r="M8" s="410" t="inlineStr">
        <is>
          <t>Not Yet Assessed</t>
        </is>
      </c>
      <c r="N8" s="416" t="n"/>
      <c r="O8" s="412">
        <f t="array" ref="O8">IF(M8&lt;&gt;"Fully Implemented",-1*J8,0)</f>
        <v/>
      </c>
      <c r="P8" s="384" t="n"/>
      <c r="Q8" s="320" t="n"/>
      <c r="R8" s="47" t="n"/>
      <c r="S8" s="47" t="n"/>
      <c r="T8" s="48" t="n"/>
    </row>
    <row r="9" ht="47.25" customHeight="1" s="566">
      <c r="A9" s="81" t="n"/>
      <c r="B9" s="81" t="n"/>
      <c r="C9" s="81" t="n"/>
      <c r="D9" s="81" t="n"/>
      <c r="E9" s="414" t="n"/>
      <c r="F9" s="404" t="n"/>
      <c r="G9" s="913" t="n"/>
      <c r="H9" s="405" t="inlineStr">
        <is>
          <t>3.1.7</t>
        </is>
      </c>
      <c r="I9" s="406" t="inlineStr">
        <is>
          <t>Prevent non-privileged users from executing privileged functions and capture the execution of such functions in audit logs.</t>
        </is>
      </c>
      <c r="J9" s="407" t="n">
        <v>1</v>
      </c>
      <c r="K9" s="408" t="n"/>
      <c r="L9" s="409" t="n"/>
      <c r="M9" s="410" t="inlineStr">
        <is>
          <t>Not Yet Assessed</t>
        </is>
      </c>
      <c r="N9" s="416" t="n"/>
      <c r="O9" s="412">
        <f t="array" ref="O9">IF(M9&lt;&gt;"Fully Implemented",-1*J9,0)</f>
        <v/>
      </c>
      <c r="P9" s="384" t="n"/>
      <c r="Q9" s="320" t="n"/>
      <c r="R9" s="47" t="n"/>
      <c r="S9" s="47" t="n"/>
      <c r="T9" s="48" t="n"/>
    </row>
    <row r="10" ht="27.6" customHeight="1" s="566">
      <c r="A10" s="81" t="n"/>
      <c r="B10" s="81" t="n"/>
      <c r="C10" s="81" t="n"/>
      <c r="D10" s="81" t="n"/>
      <c r="E10" s="414" t="n"/>
      <c r="F10" s="404" t="n"/>
      <c r="G10" s="913" t="n"/>
      <c r="H10" s="405" t="inlineStr">
        <is>
          <t>3.1.8</t>
        </is>
      </c>
      <c r="I10" s="406" t="inlineStr">
        <is>
          <t>Limit unsuccessful logon attempts.</t>
        </is>
      </c>
      <c r="J10" s="407" t="n">
        <v>1</v>
      </c>
      <c r="K10" s="417" t="n"/>
      <c r="L10" s="418" t="n"/>
      <c r="M10" s="410" t="inlineStr">
        <is>
          <t>Not Yet Assessed</t>
        </is>
      </c>
      <c r="N10" s="419" t="n"/>
      <c r="O10" s="412">
        <f t="array" ref="O10">IF(M10&lt;&gt;"Fully Implemented",-1*J10,0)</f>
        <v/>
      </c>
      <c r="P10" s="384" t="n"/>
      <c r="Q10" s="320" t="n"/>
      <c r="R10" s="47" t="n"/>
      <c r="S10" s="47" t="n"/>
      <c r="T10" s="48" t="n"/>
    </row>
    <row r="11" ht="31.5" customHeight="1" s="566">
      <c r="A11" s="81" t="n"/>
      <c r="B11" s="81" t="n"/>
      <c r="C11" s="81" t="n"/>
      <c r="D11" s="81" t="n"/>
      <c r="E11" s="414" t="n"/>
      <c r="F11" s="404" t="n"/>
      <c r="G11" s="913" t="n"/>
      <c r="H11" s="405" t="inlineStr">
        <is>
          <t>3.1.9</t>
        </is>
      </c>
      <c r="I11" s="406" t="inlineStr">
        <is>
          <t>Provide privacy and security notices consistent with applicable CUI rules.</t>
        </is>
      </c>
      <c r="J11" s="407" t="n">
        <v>1</v>
      </c>
      <c r="K11" s="408" t="n"/>
      <c r="L11" s="409" t="n"/>
      <c r="M11" s="410" t="inlineStr">
        <is>
          <t>Not Yet Assessed</t>
        </is>
      </c>
      <c r="N11" s="420" t="n"/>
      <c r="O11" s="412">
        <f t="array" ref="O11">IF(M11&lt;&gt;"Fully Implemented",-1*J11,0)</f>
        <v/>
      </c>
      <c r="P11" s="384" t="n"/>
      <c r="Q11" s="320" t="n"/>
      <c r="R11" s="47" t="n"/>
      <c r="S11" s="47" t="n"/>
      <c r="T11" s="48" t="n"/>
    </row>
    <row r="12" ht="35.25" customHeight="1" s="566">
      <c r="A12" s="81" t="n"/>
      <c r="B12" s="81" t="n"/>
      <c r="C12" s="81" t="n"/>
      <c r="D12" s="81" t="n"/>
      <c r="E12" s="414" t="n"/>
      <c r="F12" s="404" t="n"/>
      <c r="G12" s="913" t="n"/>
      <c r="H12" s="421" t="n">
        <v>40238</v>
      </c>
      <c r="I12" s="406" t="inlineStr">
        <is>
          <t>Use session lock with pattern-hiding displays to prevent access and viewing of data after a period of inactivity.</t>
        </is>
      </c>
      <c r="J12" s="407" t="n">
        <v>1</v>
      </c>
      <c r="K12" s="408" t="n"/>
      <c r="L12" s="409" t="n"/>
      <c r="M12" s="410" t="inlineStr">
        <is>
          <t>Not Yet Assessed</t>
        </is>
      </c>
      <c r="N12" s="420" t="n"/>
      <c r="O12" s="412">
        <f t="array" ref="O12">IF(M12&lt;&gt;"Fully Implemented",-1*J12,0)</f>
        <v/>
      </c>
      <c r="P12" s="384" t="n"/>
      <c r="Q12" s="320" t="n"/>
      <c r="R12" s="47" t="n"/>
      <c r="S12" s="47" t="n"/>
      <c r="T12" s="48" t="n"/>
    </row>
    <row r="13" ht="31.35" customHeight="1" s="566">
      <c r="A13" s="81" t="n"/>
      <c r="B13" s="81" t="n"/>
      <c r="C13" s="81" t="n"/>
      <c r="D13" s="81" t="n"/>
      <c r="E13" s="414" t="n"/>
      <c r="F13" s="404" t="n"/>
      <c r="G13" s="913" t="n"/>
      <c r="H13" s="421" t="n">
        <v>40603</v>
      </c>
      <c r="I13" s="406" t="inlineStr">
        <is>
          <t>Terminate (automatically) a user session after a defined condition.</t>
        </is>
      </c>
      <c r="J13" s="407" t="n">
        <v>1</v>
      </c>
      <c r="K13" s="408" t="n"/>
      <c r="L13" s="409" t="n"/>
      <c r="M13" s="410" t="inlineStr">
        <is>
          <t>Not Yet Assessed</t>
        </is>
      </c>
      <c r="N13" s="420" t="n"/>
      <c r="O13" s="412">
        <f t="array" ref="O13">IF(M13&lt;&gt;"Fully Implemented",-1*J13,0)</f>
        <v/>
      </c>
      <c r="P13" s="384" t="n"/>
      <c r="Q13" s="320" t="n"/>
      <c r="R13" s="47" t="n"/>
      <c r="S13" s="47" t="n"/>
      <c r="T13" s="48" t="n"/>
    </row>
    <row r="14" ht="31.5" customHeight="1" s="566">
      <c r="A14" s="81" t="n"/>
      <c r="B14" s="81" t="n"/>
      <c r="C14" s="81" t="n"/>
      <c r="D14" s="81" t="n"/>
      <c r="E14" s="414" t="n"/>
      <c r="F14" s="404" t="n"/>
      <c r="G14" s="913" t="n"/>
      <c r="H14" s="421" t="n">
        <v>40969</v>
      </c>
      <c r="I14" s="406" t="inlineStr">
        <is>
          <t>Monitor and control remote access sessions.</t>
        </is>
      </c>
      <c r="J14" s="407" t="n">
        <v>5</v>
      </c>
      <c r="K14" s="406" t="inlineStr">
        <is>
          <t>Do not subtract points if remote access not permitted</t>
        </is>
      </c>
      <c r="L14" s="800" t="n"/>
      <c r="M14" s="410" t="inlineStr">
        <is>
          <t>Not Yet Assessed</t>
        </is>
      </c>
      <c r="N14" s="420" t="n"/>
      <c r="O14" s="412">
        <f t="array" ref="O14">IF(OR(M14="Fully Implemented",M14="Not Permitted"),0,-1*J14)</f>
        <v/>
      </c>
      <c r="P14" s="384" t="n"/>
      <c r="Q14" s="320" t="n"/>
      <c r="R14" s="47" t="n"/>
      <c r="S14" s="47" t="n"/>
      <c r="T14" s="48" t="n"/>
    </row>
    <row r="15" ht="31.5" customHeight="1" s="566">
      <c r="A15" s="81" t="n"/>
      <c r="B15" s="81" t="n"/>
      <c r="C15" s="81" t="n"/>
      <c r="D15" s="81" t="n"/>
      <c r="E15" s="414" t="n"/>
      <c r="F15" s="404" t="n"/>
      <c r="G15" s="913" t="n"/>
      <c r="H15" s="421" t="n">
        <v>41334</v>
      </c>
      <c r="I15" s="406" t="inlineStr">
        <is>
          <t>Employ cryptographic mechanisms to protect the confidentiality of remote access sessions.</t>
        </is>
      </c>
      <c r="J15" s="407" t="n">
        <v>5</v>
      </c>
      <c r="K15" s="406" t="inlineStr">
        <is>
          <t>Do not subtract points if remote access not permitted</t>
        </is>
      </c>
      <c r="L15" s="800" t="n"/>
      <c r="M15" s="410" t="inlineStr">
        <is>
          <t>Not Yet Assessed</t>
        </is>
      </c>
      <c r="N15" s="420" t="n"/>
      <c r="O15" s="412">
        <f t="array" ref="O15">IF(OR(M15="Fully Implemented",M15="Not Permitted"),0,-1*J15)</f>
        <v/>
      </c>
      <c r="P15" s="384" t="n"/>
      <c r="Q15" s="320" t="n"/>
      <c r="R15" s="47" t="n"/>
      <c r="S15" s="47" t="n"/>
      <c r="T15" s="48" t="n"/>
    </row>
    <row r="16" ht="31.5" customHeight="1" s="566">
      <c r="A16" s="81" t="n"/>
      <c r="B16" s="81" t="n"/>
      <c r="C16" s="81" t="n"/>
      <c r="D16" s="81" t="n"/>
      <c r="E16" s="414" t="n"/>
      <c r="F16" s="404" t="n"/>
      <c r="G16" s="913" t="n"/>
      <c r="H16" s="421" t="n">
        <v>41699</v>
      </c>
      <c r="I16" s="406" t="inlineStr">
        <is>
          <t>Route remote access via managed access control points.</t>
        </is>
      </c>
      <c r="J16" s="407" t="n">
        <v>1</v>
      </c>
      <c r="K16" s="408" t="n"/>
      <c r="L16" s="409" t="n"/>
      <c r="M16" s="410" t="inlineStr">
        <is>
          <t>Not Yet Assessed</t>
        </is>
      </c>
      <c r="N16" s="420" t="n"/>
      <c r="O16" s="412">
        <f t="array" ref="O16">IF(M16&lt;&gt;"Fully Implemented",-1*J16,0)</f>
        <v/>
      </c>
      <c r="P16" s="384" t="n"/>
      <c r="Q16" s="320" t="n"/>
      <c r="R16" s="47" t="n"/>
      <c r="S16" s="47" t="n"/>
      <c r="T16" s="48" t="n"/>
    </row>
    <row r="17" ht="47.25" customHeight="1" s="566">
      <c r="A17" s="81" t="n"/>
      <c r="B17" s="81" t="n"/>
      <c r="C17" s="81" t="n"/>
      <c r="D17" s="81" t="n"/>
      <c r="E17" s="414" t="n"/>
      <c r="F17" s="404" t="n"/>
      <c r="G17" s="913" t="n"/>
      <c r="H17" s="421" t="n">
        <v>42064</v>
      </c>
      <c r="I17" s="406" t="inlineStr">
        <is>
          <t>Authorize remote execution of privileged commands and remote access to security- relevant information.</t>
        </is>
      </c>
      <c r="J17" s="407" t="n">
        <v>1</v>
      </c>
      <c r="K17" s="408" t="n"/>
      <c r="L17" s="409" t="n"/>
      <c r="M17" s="410" t="inlineStr">
        <is>
          <t>Not Yet Assessed</t>
        </is>
      </c>
      <c r="N17" s="420" t="n"/>
      <c r="O17" s="412">
        <f t="array" ref="O17">IF(M17&lt;&gt;"Fully Implemented",-1*J17,0)</f>
        <v/>
      </c>
      <c r="P17" s="384" t="n"/>
      <c r="Q17" s="320" t="n"/>
      <c r="R17" s="47" t="n"/>
      <c r="S17" s="47" t="n"/>
      <c r="T17" s="48" t="n"/>
    </row>
    <row r="18" ht="31.5" customHeight="1" s="566">
      <c r="A18" s="81" t="n"/>
      <c r="B18" s="81" t="n"/>
      <c r="C18" s="81" t="n"/>
      <c r="D18" s="81" t="n"/>
      <c r="E18" s="414" t="n"/>
      <c r="F18" s="404" t="n"/>
      <c r="G18" s="913" t="n"/>
      <c r="H18" s="421" t="n">
        <v>42430</v>
      </c>
      <c r="I18" s="406" t="inlineStr">
        <is>
          <t>Authorize wireless access prior to allowing such connections.</t>
        </is>
      </c>
      <c r="J18" s="407" t="n">
        <v>5</v>
      </c>
      <c r="K18" s="406" t="inlineStr">
        <is>
          <t>Do not subtract points if wireless access not permitted</t>
        </is>
      </c>
      <c r="L18" s="800" t="n"/>
      <c r="M18" s="410" t="inlineStr">
        <is>
          <t>Not Yet Assessed</t>
        </is>
      </c>
      <c r="N18" s="420" t="n"/>
      <c r="O18" s="412">
        <f t="array" ref="O18">IF(OR(M18="Fully Implemented",M18="Not Permitted"),0,-1*J18)</f>
        <v/>
      </c>
      <c r="P18" s="384" t="n"/>
      <c r="Q18" s="320" t="n"/>
      <c r="R18" s="47" t="n"/>
      <c r="S18" s="47" t="n"/>
      <c r="T18" s="48" t="n"/>
    </row>
    <row r="19" ht="31.5" customHeight="1" s="566">
      <c r="A19" s="81" t="n"/>
      <c r="B19" s="81" t="n"/>
      <c r="C19" s="81" t="n"/>
      <c r="D19" s="81" t="n"/>
      <c r="E19" s="414" t="n"/>
      <c r="F19" s="404" t="n"/>
      <c r="G19" s="913" t="n"/>
      <c r="H19" s="421" t="n">
        <v>42795</v>
      </c>
      <c r="I19" s="406" t="inlineStr">
        <is>
          <t>Protect wireless access using authentication and encryption.</t>
        </is>
      </c>
      <c r="J19" s="407" t="n">
        <v>5</v>
      </c>
      <c r="K19" s="406" t="inlineStr">
        <is>
          <t>Do not subtract points if wireless access not permitted</t>
        </is>
      </c>
      <c r="L19" s="800" t="n"/>
      <c r="M19" s="410" t="inlineStr">
        <is>
          <t>Not Yet Assessed</t>
        </is>
      </c>
      <c r="N19" s="420" t="n"/>
      <c r="O19" s="412">
        <f t="array" ref="O19">IF(OR(M19="Fully Implemented",M19="Not Permitted"),0,-1*J19)</f>
        <v/>
      </c>
      <c r="P19" s="384" t="n"/>
      <c r="Q19" s="320" t="n"/>
      <c r="R19" s="47" t="n"/>
      <c r="S19" s="47" t="n"/>
      <c r="T19" s="48" t="n"/>
    </row>
    <row r="20" ht="47.25" customHeight="1" s="566">
      <c r="A20" s="422" t="n"/>
      <c r="B20" s="422" t="n"/>
      <c r="C20" s="422" t="n"/>
      <c r="D20" s="422" t="n"/>
      <c r="E20" s="423" t="n"/>
      <c r="F20" s="424" t="n"/>
      <c r="G20" s="913" t="n"/>
      <c r="H20" s="421" t="n">
        <v>43160</v>
      </c>
      <c r="I20" s="406" t="inlineStr">
        <is>
          <t>Control connection of mobile devices.</t>
        </is>
      </c>
      <c r="J20" s="407" t="n">
        <v>5</v>
      </c>
      <c r="K20" s="406" t="inlineStr">
        <is>
          <t>Do not subtract points if connection of mobile devices is not permitted.</t>
        </is>
      </c>
      <c r="L20" s="800" t="n"/>
      <c r="M20" s="410" t="inlineStr">
        <is>
          <t>Not Yet Assessed</t>
        </is>
      </c>
      <c r="N20" s="420" t="n"/>
      <c r="O20" s="412">
        <f t="array" ref="O20">IF(OR(M20="Fully Implemented",M20="Not Permitted"),0,-1*J20)</f>
        <v/>
      </c>
      <c r="P20" s="384" t="n"/>
      <c r="Q20" s="320" t="n"/>
      <c r="R20" s="47" t="n"/>
      <c r="S20" s="47" t="n"/>
      <c r="T20" s="48" t="n"/>
    </row>
    <row r="21" ht="31.5" customHeight="1" s="566">
      <c r="A21" s="81" t="n"/>
      <c r="B21" s="425" t="n"/>
      <c r="C21" s="425" t="n"/>
      <c r="D21" s="425" t="n"/>
      <c r="E21" s="426" t="n"/>
      <c r="F21" s="427" t="n"/>
      <c r="G21" s="913" t="n"/>
      <c r="H21" s="421" t="n">
        <v>43525</v>
      </c>
      <c r="I21" s="406" t="inlineStr">
        <is>
          <t>Encrypt CUI on mobile devices and mobile computing platforms</t>
        </is>
      </c>
      <c r="J21" s="407" t="n">
        <v>3</v>
      </c>
      <c r="K21" s="406" t="inlineStr">
        <is>
          <t>Exposure limited to CUI on mobile platform</t>
        </is>
      </c>
      <c r="L21" s="800" t="n"/>
      <c r="M21" s="410" t="inlineStr">
        <is>
          <t>Not Yet Assessed</t>
        </is>
      </c>
      <c r="N21" s="420" t="n"/>
      <c r="O21" s="412">
        <f t="array" ref="O21">IF(M21&lt;&gt;"Fully Implemented",-1*J21,0)</f>
        <v/>
      </c>
      <c r="P21" s="384" t="n"/>
      <c r="Q21" s="320" t="n"/>
      <c r="R21" s="47" t="n"/>
      <c r="S21" s="47" t="n"/>
      <c r="T21" s="48" t="n"/>
    </row>
    <row r="22" ht="31.5" customHeight="1" s="566">
      <c r="A22" s="425" t="n"/>
      <c r="B22" s="425" t="n"/>
      <c r="C22" s="425" t="n"/>
      <c r="D22" s="425" t="n"/>
      <c r="E22" s="426" t="n"/>
      <c r="F22" s="427" t="n"/>
      <c r="G22" s="913" t="n"/>
      <c r="H22" s="405" t="inlineStr">
        <is>
          <t>3.1.20*</t>
        </is>
      </c>
      <c r="I22" s="406" t="inlineStr">
        <is>
          <t>Verify and control/limit connections to and use of external systems.</t>
        </is>
      </c>
      <c r="J22" s="407" t="n">
        <v>1</v>
      </c>
      <c r="K22" s="408" t="n"/>
      <c r="L22" s="409" t="n"/>
      <c r="M22" s="410" t="inlineStr">
        <is>
          <t>Not Yet Assessed</t>
        </is>
      </c>
      <c r="N22" s="420" t="n"/>
      <c r="O22" s="412">
        <f t="array" ref="O22">IF(M22&lt;&gt;"Fully Implemented",-1*J22,0)</f>
        <v/>
      </c>
      <c r="P22" s="384" t="n"/>
      <c r="Q22" s="320" t="n"/>
      <c r="R22" s="47" t="n"/>
      <c r="S22" s="47" t="n"/>
      <c r="T22" s="48" t="n"/>
    </row>
    <row r="23" ht="31.5" customHeight="1" s="566">
      <c r="A23" s="81" t="n"/>
      <c r="B23" s="81" t="n"/>
      <c r="C23" s="81" t="n"/>
      <c r="D23" s="81" t="n"/>
      <c r="E23" s="414" t="n"/>
      <c r="F23" s="404" t="n"/>
      <c r="G23" s="913" t="n"/>
      <c r="H23" s="421" t="n">
        <v>44256</v>
      </c>
      <c r="I23" s="406" t="inlineStr">
        <is>
          <t>Limit use of portable storage devices on external systems.</t>
        </is>
      </c>
      <c r="J23" s="407" t="n">
        <v>1</v>
      </c>
      <c r="K23" s="408" t="n"/>
      <c r="L23" s="409" t="n"/>
      <c r="M23" s="410" t="inlineStr">
        <is>
          <t>Not Yet Assessed</t>
        </is>
      </c>
      <c r="N23" s="420" t="n"/>
      <c r="O23" s="412">
        <f t="array" ref="O23">IF(M23&lt;&gt;"Fully Implemented",-1*J23,0)</f>
        <v/>
      </c>
      <c r="P23" s="384" t="n"/>
      <c r="Q23" s="320" t="n"/>
      <c r="R23" s="47" t="n"/>
      <c r="S23" s="47" t="n"/>
      <c r="T23" s="48" t="n"/>
    </row>
    <row r="24" ht="32.25" customHeight="1" s="566">
      <c r="A24" s="81" t="n"/>
      <c r="B24" s="81" t="n"/>
      <c r="C24" s="81" t="n"/>
      <c r="D24" s="81" t="n"/>
      <c r="E24" s="414" t="n"/>
      <c r="F24" s="404" t="n"/>
      <c r="G24" s="914" t="n"/>
      <c r="H24" s="428" t="inlineStr">
        <is>
          <t>3.1.22*</t>
        </is>
      </c>
      <c r="I24" s="429" t="inlineStr">
        <is>
          <t>Control CUI posted or processed on publicly accessible systems.</t>
        </is>
      </c>
      <c r="J24" s="430" t="n">
        <v>1</v>
      </c>
      <c r="K24" s="431" t="n"/>
      <c r="L24" s="432" t="n"/>
      <c r="M24" s="433" t="inlineStr">
        <is>
          <t>Not Yet Assessed</t>
        </is>
      </c>
      <c r="N24" s="434" t="n"/>
      <c r="O24" s="435">
        <f t="array" ref="O24">IF(M24&lt;&gt;"Fully Implemented",-1*J24,0)</f>
        <v/>
      </c>
      <c r="P24" s="384" t="n"/>
      <c r="Q24" s="320" t="n"/>
      <c r="R24" s="47" t="n"/>
      <c r="S24" s="47" t="n"/>
      <c r="T24" s="48" t="n"/>
    </row>
    <row r="25" ht="94.5" customHeight="1" s="566">
      <c r="A25" s="81" t="n"/>
      <c r="B25" s="81" t="n"/>
      <c r="C25" s="81" t="n"/>
      <c r="D25" s="81" t="n"/>
      <c r="E25" s="414" t="n"/>
      <c r="F25" s="404" t="n"/>
      <c r="G25" s="912" t="inlineStr">
        <is>
          <t>Awareness and Training</t>
        </is>
      </c>
      <c r="H25" s="392" t="inlineStr">
        <is>
          <t>3.2.1</t>
        </is>
      </c>
      <c r="I25" s="393" t="inlineStr">
        <is>
          <t>Ensure that managers, systems administrators, and users of organizational systems are made aware of the security risks associated with their activities and of the applicable policies, standards, and procedures related to the security of those systems.</t>
        </is>
      </c>
      <c r="J25" s="394" t="n">
        <v>5</v>
      </c>
      <c r="K25" s="436" t="n"/>
      <c r="L25" s="343" t="n"/>
      <c r="M25" s="397" t="inlineStr">
        <is>
          <t>Not Yet Assessed</t>
        </is>
      </c>
      <c r="N25" s="437" t="n"/>
      <c r="O25" s="399">
        <f t="array" ref="O25">IF(M25&lt;&gt;"Fully Implemented",-1*J25,0)</f>
        <v/>
      </c>
      <c r="P25" s="384" t="n"/>
      <c r="Q25" s="320" t="n"/>
      <c r="R25" s="47" t="n"/>
      <c r="S25" s="47" t="n"/>
      <c r="T25" s="48" t="n"/>
    </row>
    <row r="26" ht="47.25" customHeight="1" s="566">
      <c r="A26" s="81" t="n"/>
      <c r="B26" s="81" t="n"/>
      <c r="C26" s="81" t="n"/>
      <c r="D26" s="81" t="n"/>
      <c r="E26" s="414" t="n"/>
      <c r="F26" s="404" t="n"/>
      <c r="G26" s="913" t="n"/>
      <c r="H26" s="405" t="inlineStr">
        <is>
          <t>3.2.2</t>
        </is>
      </c>
      <c r="I26" s="406" t="inlineStr">
        <is>
          <t>Ensure that personnel are trained to carry out their assigned information security- related duties and responsibilities.</t>
        </is>
      </c>
      <c r="J26" s="407" t="n">
        <v>5</v>
      </c>
      <c r="K26" s="408" t="n"/>
      <c r="L26" s="409" t="n"/>
      <c r="M26" s="410" t="inlineStr">
        <is>
          <t>Not Yet Assessed</t>
        </is>
      </c>
      <c r="N26" s="420" t="n"/>
      <c r="O26" s="412">
        <f t="array" ref="O26">IF(M26&lt;&gt;"Fully Implemented",-1*J26,0)</f>
        <v/>
      </c>
      <c r="P26" s="384" t="n"/>
      <c r="Q26" s="320" t="n"/>
      <c r="R26" s="47" t="n"/>
      <c r="S26" s="47" t="n"/>
      <c r="T26" s="48" t="n"/>
    </row>
    <row r="27" ht="48" customHeight="1" s="566">
      <c r="A27" s="81" t="n"/>
      <c r="B27" s="81" t="n"/>
      <c r="C27" s="81" t="n"/>
      <c r="D27" s="81" t="n"/>
      <c r="E27" s="414" t="n"/>
      <c r="F27" s="404" t="n"/>
      <c r="G27" s="914" t="n"/>
      <c r="H27" s="428" t="inlineStr">
        <is>
          <t>3.2.3</t>
        </is>
      </c>
      <c r="I27" s="429" t="inlineStr">
        <is>
          <t>Provide security awareness training on recognizing and reporting potential indicators of insider threat.</t>
        </is>
      </c>
      <c r="J27" s="430" t="n">
        <v>1</v>
      </c>
      <c r="K27" s="431" t="n"/>
      <c r="L27" s="432" t="n"/>
      <c r="M27" s="433" t="inlineStr">
        <is>
          <t>Not Yet Assessed</t>
        </is>
      </c>
      <c r="N27" s="434" t="n"/>
      <c r="O27" s="435">
        <f t="array" ref="O27">IF(M27&lt;&gt;"Fully Implemented",-1*J27,0)</f>
        <v/>
      </c>
      <c r="P27" s="384" t="n"/>
      <c r="Q27" s="320" t="n"/>
      <c r="R27" s="47" t="n"/>
      <c r="S27" s="47" t="n"/>
      <c r="T27" s="48" t="n"/>
    </row>
    <row r="28" ht="78.75" customHeight="1" s="566">
      <c r="A28" s="81" t="n"/>
      <c r="B28" s="81" t="n"/>
      <c r="C28" s="81" t="n"/>
      <c r="D28" s="81" t="n"/>
      <c r="E28" s="414" t="n"/>
      <c r="F28" s="404" t="n"/>
      <c r="G28" s="912" t="inlineStr">
        <is>
          <t>Audit and Accountability</t>
        </is>
      </c>
      <c r="H28" s="392" t="inlineStr">
        <is>
          <t>3.3.1</t>
        </is>
      </c>
      <c r="I28" s="393" t="inlineStr">
        <is>
          <t>Create and retain system audit logs and records to the extent needed to enable the monitoring, analysis, investigation, and reporting of unlawful or unauthorized system activity.</t>
        </is>
      </c>
      <c r="J28" s="394" t="n">
        <v>5</v>
      </c>
      <c r="K28" s="436" t="n"/>
      <c r="L28" s="343" t="n"/>
      <c r="M28" s="397" t="inlineStr">
        <is>
          <t>Not Yet Assessed</t>
        </is>
      </c>
      <c r="N28" s="437" t="n"/>
      <c r="O28" s="399">
        <f t="array" ref="O28">IF(M28&lt;&gt;"Fully Implemented",-1*J28,0)</f>
        <v/>
      </c>
      <c r="P28" s="384" t="n"/>
      <c r="Q28" s="320" t="n"/>
      <c r="R28" s="47" t="n"/>
      <c r="S28" s="47" t="n"/>
      <c r="T28" s="48" t="n"/>
    </row>
    <row r="29" ht="47.25" customHeight="1" s="566">
      <c r="A29" s="81" t="n"/>
      <c r="B29" s="81" t="n"/>
      <c r="C29" s="81" t="n"/>
      <c r="D29" s="81" t="n"/>
      <c r="E29" s="414" t="n"/>
      <c r="F29" s="404" t="n"/>
      <c r="G29" s="913" t="n"/>
      <c r="H29" s="405" t="inlineStr">
        <is>
          <t>3.3.2</t>
        </is>
      </c>
      <c r="I29" s="406" t="inlineStr">
        <is>
          <t>Ensure that the actions of individual system users can be uniquely traced to those users so they can be held accountable for their actions.</t>
        </is>
      </c>
      <c r="J29" s="407" t="n">
        <v>3</v>
      </c>
      <c r="K29" s="438" t="n"/>
      <c r="L29" s="800" t="n"/>
      <c r="M29" s="410" t="inlineStr">
        <is>
          <t>Not Yet Assessed</t>
        </is>
      </c>
      <c r="N29" s="420" t="n"/>
      <c r="O29" s="412">
        <f t="array" ref="O29">IF(M29&lt;&gt;"Fully Implemented",-1*J29,0)</f>
        <v/>
      </c>
      <c r="P29" s="384" t="n"/>
      <c r="Q29" s="320" t="n"/>
      <c r="R29" s="47" t="n"/>
      <c r="S29" s="47" t="n"/>
      <c r="T29" s="48" t="n"/>
    </row>
    <row r="30" ht="36" customHeight="1" s="566">
      <c r="A30" s="425" t="n"/>
      <c r="B30" s="425" t="n"/>
      <c r="C30" s="425" t="n"/>
      <c r="D30" s="425" t="n"/>
      <c r="E30" s="426" t="n"/>
      <c r="F30" s="427" t="n"/>
      <c r="G30" s="913" t="n"/>
      <c r="H30" s="405" t="inlineStr">
        <is>
          <t>3.3.3</t>
        </is>
      </c>
      <c r="I30" s="406" t="inlineStr">
        <is>
          <t>Review and update logged events.</t>
        </is>
      </c>
      <c r="J30" s="407" t="n">
        <v>1</v>
      </c>
      <c r="K30" s="417" t="n"/>
      <c r="L30" s="418" t="n"/>
      <c r="M30" s="410" t="inlineStr">
        <is>
          <t>Not Yet Assessed</t>
        </is>
      </c>
      <c r="N30" s="420" t="n"/>
      <c r="O30" s="412">
        <f t="array" ref="O30">IF(M30&lt;&gt;"Fully Implemented",-1*J30,0)</f>
        <v/>
      </c>
      <c r="P30" s="384" t="n"/>
      <c r="Q30" s="320" t="n"/>
      <c r="R30" s="47" t="n"/>
      <c r="S30" s="47" t="n"/>
      <c r="T30" s="48" t="n"/>
    </row>
    <row r="31" ht="36" customHeight="1" s="566">
      <c r="A31" s="425" t="n"/>
      <c r="B31" s="425" t="n"/>
      <c r="C31" s="425" t="n"/>
      <c r="D31" s="425" t="n"/>
      <c r="E31" s="426" t="n"/>
      <c r="F31" s="427" t="n"/>
      <c r="G31" s="913" t="n"/>
      <c r="H31" s="405" t="inlineStr">
        <is>
          <t>3.3.4</t>
        </is>
      </c>
      <c r="I31" s="406" t="inlineStr">
        <is>
          <t>Alert in the event of an audit logging process failure.</t>
        </is>
      </c>
      <c r="J31" s="407" t="n">
        <v>1</v>
      </c>
      <c r="K31" s="408" t="n"/>
      <c r="L31" s="409" t="n"/>
      <c r="M31" s="410" t="inlineStr">
        <is>
          <t>Not Yet Assessed</t>
        </is>
      </c>
      <c r="N31" s="420" t="n"/>
      <c r="O31" s="412">
        <f t="array" ref="O31">IF(M31&lt;&gt;"Fully Implemented",-1*J31,0)</f>
        <v/>
      </c>
      <c r="P31" s="384" t="n"/>
      <c r="Q31" s="320" t="n"/>
      <c r="R31" s="47" t="n"/>
      <c r="S31" s="47" t="n"/>
      <c r="T31" s="48" t="n"/>
    </row>
    <row r="32" ht="63" customHeight="1" s="566">
      <c r="A32" s="425" t="n"/>
      <c r="B32" s="425" t="n"/>
      <c r="C32" s="425" t="n"/>
      <c r="D32" s="425" t="n"/>
      <c r="E32" s="426" t="n"/>
      <c r="F32" s="427" t="n"/>
      <c r="G32" s="913" t="n"/>
      <c r="H32" s="405" t="inlineStr">
        <is>
          <t>3.3.5</t>
        </is>
      </c>
      <c r="I32" s="406" t="inlineStr">
        <is>
          <t>Correlate audit record review, analysis, and reporting processes for investigation and response to indications of unlawful, unauthorized, suspicious, or unusual activity.</t>
        </is>
      </c>
      <c r="J32" s="407" t="n">
        <v>5</v>
      </c>
      <c r="K32" s="438" t="n"/>
      <c r="L32" s="800" t="n"/>
      <c r="M32" s="410" t="inlineStr">
        <is>
          <t>Not Yet Assessed</t>
        </is>
      </c>
      <c r="N32" s="420" t="n"/>
      <c r="O32" s="412">
        <f t="array" ref="O32">IF(M32&lt;&gt;"Fully Implemented",-1*J32,0)</f>
        <v/>
      </c>
      <c r="P32" s="384" t="n"/>
      <c r="Q32" s="320" t="n"/>
      <c r="R32" s="47" t="n"/>
      <c r="S32" s="47" t="n"/>
      <c r="T32" s="48" t="n"/>
    </row>
    <row r="33" ht="47.25" customHeight="1" s="566">
      <c r="A33" s="425" t="n"/>
      <c r="B33" s="425" t="n"/>
      <c r="C33" s="425" t="n"/>
      <c r="D33" s="425" t="n"/>
      <c r="E33" s="426" t="n"/>
      <c r="F33" s="427" t="n"/>
      <c r="G33" s="913" t="n"/>
      <c r="H33" s="405" t="inlineStr">
        <is>
          <t>3.3.6</t>
        </is>
      </c>
      <c r="I33" s="406" t="inlineStr">
        <is>
          <t>Provide audit record reduction and report generation to support on-demand analysis and reporting.</t>
        </is>
      </c>
      <c r="J33" s="407" t="n">
        <v>1</v>
      </c>
      <c r="K33" s="408" t="n"/>
      <c r="L33" s="409" t="n"/>
      <c r="M33" s="410" t="inlineStr">
        <is>
          <t>Not Yet Assessed</t>
        </is>
      </c>
      <c r="N33" s="420" t="n"/>
      <c r="O33" s="412">
        <f t="array" ref="O33">IF(M33&lt;&gt;"Fully Implemented",-1*J33,0)</f>
        <v/>
      </c>
      <c r="P33" s="384" t="n"/>
      <c r="Q33" s="320" t="n"/>
      <c r="R33" s="47" t="n"/>
      <c r="S33" s="47" t="n"/>
      <c r="T33" s="48" t="n"/>
    </row>
    <row r="34" ht="63" customHeight="1" s="566">
      <c r="A34" s="425" t="n"/>
      <c r="B34" s="425" t="n"/>
      <c r="C34" s="425" t="n"/>
      <c r="D34" s="425" t="n"/>
      <c r="E34" s="426" t="n"/>
      <c r="F34" s="427" t="n"/>
      <c r="G34" s="913" t="n"/>
      <c r="H34" s="405" t="inlineStr">
        <is>
          <t>3.3.7</t>
        </is>
      </c>
      <c r="I34" s="406" t="inlineStr">
        <is>
          <t>Provide a system capability that compares and synchronizes internal system clocks with an authoritative source to generate time stamps for audit records.</t>
        </is>
      </c>
      <c r="J34" s="407" t="n">
        <v>1</v>
      </c>
      <c r="K34" s="438" t="n"/>
      <c r="L34" s="800" t="n"/>
      <c r="M34" s="410" t="inlineStr">
        <is>
          <t>Not Yet Assessed</t>
        </is>
      </c>
      <c r="N34" s="420" t="n"/>
      <c r="O34" s="412">
        <f t="array" ref="O34">IF(M34&lt;&gt;"Fully Implemented",-1*J34,0)</f>
        <v/>
      </c>
      <c r="P34" s="384" t="n"/>
      <c r="Q34" s="320" t="n"/>
      <c r="R34" s="47" t="n"/>
      <c r="S34" s="47" t="n"/>
      <c r="T34" s="48" t="n"/>
    </row>
    <row r="35" ht="47.25" customHeight="1" s="566">
      <c r="A35" s="425" t="n"/>
      <c r="B35" s="425" t="n"/>
      <c r="C35" s="425" t="n"/>
      <c r="D35" s="425" t="n"/>
      <c r="E35" s="426" t="n"/>
      <c r="F35" s="427" t="n"/>
      <c r="G35" s="913" t="n"/>
      <c r="H35" s="405" t="inlineStr">
        <is>
          <t>3.3.8</t>
        </is>
      </c>
      <c r="I35" s="406" t="inlineStr">
        <is>
          <t>Protect audit information and audit logging tools from unauthorized access, modification, and deletion.</t>
        </is>
      </c>
      <c r="J35" s="407" t="n">
        <v>1</v>
      </c>
      <c r="K35" s="408" t="n"/>
      <c r="L35" s="409" t="n"/>
      <c r="M35" s="410" t="inlineStr">
        <is>
          <t>Not Yet Assessed</t>
        </is>
      </c>
      <c r="N35" s="420" t="n"/>
      <c r="O35" s="412">
        <f t="array" ref="O35">IF(M35&lt;&gt;"Fully Implemented",-1*J35,0)</f>
        <v/>
      </c>
      <c r="P35" s="384" t="n"/>
      <c r="Q35" s="320" t="n"/>
      <c r="R35" s="47" t="n"/>
      <c r="S35" s="47" t="n"/>
      <c r="T35" s="48" t="n"/>
    </row>
    <row r="36" ht="32.25" customHeight="1" s="566">
      <c r="A36" s="425" t="n"/>
      <c r="B36" s="425" t="n"/>
      <c r="C36" s="425" t="n"/>
      <c r="D36" s="425" t="n"/>
      <c r="E36" s="426" t="n"/>
      <c r="F36" s="427" t="n"/>
      <c r="G36" s="914" t="n"/>
      <c r="H36" s="428" t="inlineStr">
        <is>
          <t>3.3.9</t>
        </is>
      </c>
      <c r="I36" s="429" t="inlineStr">
        <is>
          <t>Limit management of audit logging functionality to a subset of privileged users.</t>
        </is>
      </c>
      <c r="J36" s="430" t="n">
        <v>1</v>
      </c>
      <c r="K36" s="431" t="n"/>
      <c r="L36" s="432" t="n"/>
      <c r="M36" s="433" t="inlineStr">
        <is>
          <t>Not Yet Assessed</t>
        </is>
      </c>
      <c r="N36" s="434" t="n"/>
      <c r="O36" s="435">
        <f t="array" ref="O36">IF(M36&lt;&gt;"Fully Implemented",-1*J36,0)</f>
        <v/>
      </c>
      <c r="P36" s="384" t="n"/>
      <c r="Q36" s="320" t="n"/>
      <c r="R36" s="47" t="n"/>
      <c r="S36" s="47" t="n"/>
      <c r="T36" s="48" t="n"/>
    </row>
    <row r="37" ht="78.75" customHeight="1" s="566">
      <c r="A37" s="425" t="n"/>
      <c r="B37" s="425" t="n"/>
      <c r="C37" s="425" t="n"/>
      <c r="D37" s="425" t="n"/>
      <c r="E37" s="426" t="n"/>
      <c r="F37" s="427" t="n"/>
      <c r="G37" s="912" t="inlineStr">
        <is>
          <t>Configuration Management</t>
        </is>
      </c>
      <c r="H37" s="392" t="inlineStr">
        <is>
          <t>3.4.1</t>
        </is>
      </c>
      <c r="I37" s="393" t="inlineStr">
        <is>
          <t>Establish and maintain baseline configurations and inventories of organizational systems (including hardware, software, firmware, and documentation) throughout the respective system development life cycles.</t>
        </is>
      </c>
      <c r="J37" s="394" t="n">
        <v>5</v>
      </c>
      <c r="K37" s="436" t="n"/>
      <c r="L37" s="343" t="n"/>
      <c r="M37" s="397" t="inlineStr">
        <is>
          <t>Not Yet Assessed</t>
        </is>
      </c>
      <c r="N37" s="437" t="n"/>
      <c r="O37" s="399">
        <f t="array" ref="O37">IF(M37&lt;&gt;"Fully Implemented",-1*J37,0)</f>
        <v/>
      </c>
      <c r="P37" s="384" t="n"/>
      <c r="Q37" s="320" t="n"/>
      <c r="R37" s="47" t="n"/>
      <c r="S37" s="47" t="n"/>
      <c r="T37" s="48" t="n"/>
    </row>
    <row r="38" ht="47.25" customHeight="1" s="566">
      <c r="A38" s="425" t="n"/>
      <c r="B38" s="425" t="n"/>
      <c r="C38" s="425" t="n"/>
      <c r="D38" s="425" t="n"/>
      <c r="E38" s="426" t="n"/>
      <c r="F38" s="427" t="n"/>
      <c r="G38" s="913" t="n"/>
      <c r="H38" s="405" t="inlineStr">
        <is>
          <t>3.4.2</t>
        </is>
      </c>
      <c r="I38" s="406" t="inlineStr">
        <is>
          <t>Establish and enforce security configuration settings for information technology products employed in organizational systems.</t>
        </is>
      </c>
      <c r="J38" s="407" t="n">
        <v>5</v>
      </c>
      <c r="K38" s="408" t="n"/>
      <c r="L38" s="409" t="n"/>
      <c r="M38" s="410" t="inlineStr">
        <is>
          <t>Not Yet Assessed</t>
        </is>
      </c>
      <c r="N38" s="420" t="n"/>
      <c r="O38" s="412">
        <f t="array" ref="O38">IF(M38&lt;&gt;"Fully Implemented",-1*J38,0)</f>
        <v/>
      </c>
      <c r="P38" s="384" t="n"/>
      <c r="Q38" s="320" t="n"/>
      <c r="R38" s="47" t="n"/>
      <c r="S38" s="47" t="n"/>
      <c r="T38" s="48" t="n"/>
    </row>
    <row r="39" ht="31.5" customHeight="1" s="566">
      <c r="A39" s="425" t="n"/>
      <c r="B39" s="425" t="n"/>
      <c r="C39" s="425" t="n"/>
      <c r="D39" s="425" t="n"/>
      <c r="E39" s="426" t="n"/>
      <c r="F39" s="427" t="n"/>
      <c r="G39" s="913" t="n"/>
      <c r="H39" s="405" t="inlineStr">
        <is>
          <t>3.4.3</t>
        </is>
      </c>
      <c r="I39" s="406" t="inlineStr">
        <is>
          <t>Track, review, approve or disapprove, and log changes to organizational systems.</t>
        </is>
      </c>
      <c r="J39" s="407" t="n">
        <v>1</v>
      </c>
      <c r="K39" s="408" t="n"/>
      <c r="L39" s="409" t="n"/>
      <c r="M39" s="410" t="inlineStr">
        <is>
          <t>Not Yet Assessed</t>
        </is>
      </c>
      <c r="N39" s="420" t="n"/>
      <c r="O39" s="412">
        <f t="array" ref="O39">IF(M39&lt;&gt;"Fully Implemented",-1*J39,0)</f>
        <v/>
      </c>
      <c r="P39" s="384" t="n"/>
      <c r="Q39" s="320" t="n"/>
      <c r="R39" s="47" t="n"/>
      <c r="S39" s="47" t="n"/>
      <c r="T39" s="48" t="n"/>
    </row>
    <row r="40" ht="31.5" customHeight="1" s="566">
      <c r="A40" s="425" t="n"/>
      <c r="B40" s="425" t="n"/>
      <c r="C40" s="425" t="n"/>
      <c r="D40" s="425" t="n"/>
      <c r="E40" s="426" t="n"/>
      <c r="F40" s="427" t="n"/>
      <c r="G40" s="913" t="n"/>
      <c r="H40" s="405" t="inlineStr">
        <is>
          <t>3.4.4</t>
        </is>
      </c>
      <c r="I40" s="406" t="inlineStr">
        <is>
          <t>Analyze the security impact of changes prior to implementation.</t>
        </is>
      </c>
      <c r="J40" s="407" t="n">
        <v>1</v>
      </c>
      <c r="K40" s="408" t="n"/>
      <c r="L40" s="409" t="n"/>
      <c r="M40" s="410" t="inlineStr">
        <is>
          <t>Not Yet Assessed</t>
        </is>
      </c>
      <c r="N40" s="420" t="n"/>
      <c r="O40" s="412">
        <f t="array" ref="O40">IF(M40&lt;&gt;"Fully Implemented",-1*J40,0)</f>
        <v/>
      </c>
      <c r="P40" s="384" t="n"/>
      <c r="Q40" s="320" t="n"/>
      <c r="R40" s="47" t="n"/>
      <c r="S40" s="47" t="n"/>
      <c r="T40" s="48" t="n"/>
    </row>
    <row r="41" ht="63" customHeight="1" s="566">
      <c r="A41" s="425" t="n"/>
      <c r="B41" s="425" t="n"/>
      <c r="C41" s="425" t="n"/>
      <c r="D41" s="425" t="n"/>
      <c r="E41" s="426" t="n"/>
      <c r="F41" s="427" t="n"/>
      <c r="G41" s="913" t="n"/>
      <c r="H41" s="405" t="inlineStr">
        <is>
          <t>3.4.5</t>
        </is>
      </c>
      <c r="I41" s="406" t="inlineStr">
        <is>
          <t>Define, document, approve, and enforce physical and logical access restrictions associated with changes to organizational systems.</t>
        </is>
      </c>
      <c r="J41" s="407" t="n">
        <v>5</v>
      </c>
      <c r="K41" s="438" t="n"/>
      <c r="L41" s="800" t="n"/>
      <c r="M41" s="410" t="inlineStr">
        <is>
          <t>Not Yet Assessed</t>
        </is>
      </c>
      <c r="N41" s="420" t="n"/>
      <c r="O41" s="412">
        <f t="array" ref="O41">IF(M41&lt;&gt;"Fully Implemented",-1*J41,0)</f>
        <v/>
      </c>
      <c r="P41" s="384" t="n"/>
      <c r="Q41" s="320" t="n"/>
      <c r="R41" s="47" t="n"/>
      <c r="S41" s="47" t="n"/>
      <c r="T41" s="48" t="n"/>
    </row>
    <row r="42" ht="47.25" customHeight="1" s="566">
      <c r="A42" s="425" t="n"/>
      <c r="B42" s="425" t="n"/>
      <c r="C42" s="425" t="n"/>
      <c r="D42" s="425" t="n"/>
      <c r="E42" s="426" t="n"/>
      <c r="F42" s="427" t="n"/>
      <c r="G42" s="913" t="n"/>
      <c r="H42" s="405" t="inlineStr">
        <is>
          <t>3.4.6</t>
        </is>
      </c>
      <c r="I42" s="406" t="inlineStr">
        <is>
          <t>Employ the principle of least functionality by configuring organizational systems to provide only essential capabilities.</t>
        </is>
      </c>
      <c r="J42" s="407" t="n">
        <v>5</v>
      </c>
      <c r="K42" s="408" t="n"/>
      <c r="L42" s="409" t="n"/>
      <c r="M42" s="410" t="inlineStr">
        <is>
          <t>Not Yet Assessed</t>
        </is>
      </c>
      <c r="N42" s="420" t="n"/>
      <c r="O42" s="412">
        <f t="array" ref="O42">IF(M42&lt;&gt;"Fully Implemented",-1*J42,0)</f>
        <v/>
      </c>
      <c r="P42" s="384" t="n"/>
      <c r="Q42" s="320" t="n"/>
      <c r="R42" s="47" t="n"/>
      <c r="S42" s="47" t="n"/>
      <c r="T42" s="48" t="n"/>
    </row>
    <row r="43" ht="47.25" customHeight="1" s="566">
      <c r="A43" s="425" t="n"/>
      <c r="B43" s="425" t="n"/>
      <c r="C43" s="425" t="n"/>
      <c r="D43" s="425" t="n"/>
      <c r="E43" s="426" t="n"/>
      <c r="F43" s="427" t="n"/>
      <c r="G43" s="913" t="n"/>
      <c r="H43" s="405" t="inlineStr">
        <is>
          <t>3.4.7</t>
        </is>
      </c>
      <c r="I43" s="406" t="inlineStr">
        <is>
          <t>Restrict, disable, or prevent the use of nonessential programs, functions, ports, protocols, and services.</t>
        </is>
      </c>
      <c r="J43" s="407" t="n">
        <v>5</v>
      </c>
      <c r="K43" s="408" t="n"/>
      <c r="L43" s="409" t="n"/>
      <c r="M43" s="410" t="inlineStr">
        <is>
          <t>Not Yet Assessed</t>
        </is>
      </c>
      <c r="N43" s="420" t="n"/>
      <c r="O43" s="412">
        <f t="array" ref="O43">IF(M43&lt;&gt;"Fully Implemented",-1*J43,0)</f>
        <v/>
      </c>
      <c r="P43" s="384" t="n"/>
      <c r="Q43" s="320" t="n"/>
      <c r="R43" s="47" t="n"/>
      <c r="S43" s="47" t="n"/>
      <c r="T43" s="48" t="n"/>
    </row>
    <row r="44" ht="78.75" customHeight="1" s="566">
      <c r="A44" s="425" t="n"/>
      <c r="B44" s="425" t="n"/>
      <c r="C44" s="425" t="n"/>
      <c r="D44" s="425" t="n"/>
      <c r="E44" s="426" t="n"/>
      <c r="F44" s="427" t="n"/>
      <c r="G44" s="913" t="n"/>
      <c r="H44" s="405" t="inlineStr">
        <is>
          <t>3.4.8</t>
        </is>
      </c>
      <c r="I44" s="406" t="inlineStr">
        <is>
          <t>Apply deny-by-exception (blacklisting) policy to prevent the use of unauthorized software or deny-all, permit-by-exception (whitelisting) policy to allow the execution of authorized software.</t>
        </is>
      </c>
      <c r="J44" s="407" t="n">
        <v>5</v>
      </c>
      <c r="K44" s="438" t="n"/>
      <c r="L44" s="800" t="n"/>
      <c r="M44" s="410" t="inlineStr">
        <is>
          <t>Not Yet Assessed</t>
        </is>
      </c>
      <c r="N44" s="420" t="n"/>
      <c r="O44" s="412">
        <f t="array" ref="O44">IF(M44&lt;&gt;"Fully Implemented",-1*J44,0)</f>
        <v/>
      </c>
      <c r="P44" s="384" t="n"/>
      <c r="Q44" s="320" t="n"/>
      <c r="R44" s="47" t="n"/>
      <c r="S44" s="47" t="n"/>
      <c r="T44" s="48" t="n"/>
    </row>
    <row r="45" ht="16.5" customHeight="1" s="566">
      <c r="A45" s="425" t="n"/>
      <c r="B45" s="425" t="n"/>
      <c r="C45" s="425" t="n"/>
      <c r="D45" s="425" t="n"/>
      <c r="E45" s="426" t="n"/>
      <c r="F45" s="427" t="n"/>
      <c r="G45" s="914" t="n"/>
      <c r="H45" s="428" t="inlineStr">
        <is>
          <t>3.4.9</t>
        </is>
      </c>
      <c r="I45" s="429" t="inlineStr">
        <is>
          <t>Control and monitor user-installed software.</t>
        </is>
      </c>
      <c r="J45" s="430" t="n">
        <v>1</v>
      </c>
      <c r="K45" s="439" t="n"/>
      <c r="L45" s="440" t="n"/>
      <c r="M45" s="433" t="inlineStr">
        <is>
          <t>Not Yet Assessed</t>
        </is>
      </c>
      <c r="N45" s="434" t="n"/>
      <c r="O45" s="435">
        <f t="array" ref="O45">IF(M45&lt;&gt;"Fully Implemented",-1*J45,0)</f>
        <v/>
      </c>
      <c r="P45" s="384" t="n"/>
      <c r="Q45" s="320" t="n"/>
      <c r="R45" s="47" t="n"/>
      <c r="S45" s="47" t="n"/>
      <c r="T45" s="48" t="n"/>
    </row>
    <row r="46" ht="31.5" customHeight="1" s="566">
      <c r="A46" s="425" t="n"/>
      <c r="B46" s="425" t="n"/>
      <c r="C46" s="425" t="n"/>
      <c r="D46" s="425" t="n"/>
      <c r="E46" s="426" t="n"/>
      <c r="F46" s="427" t="n"/>
      <c r="G46" s="912" t="inlineStr">
        <is>
          <t>Identificiation and Authorization</t>
        </is>
      </c>
      <c r="H46" s="392" t="inlineStr">
        <is>
          <t>3.5.1*</t>
        </is>
      </c>
      <c r="I46" s="393" t="inlineStr">
        <is>
          <t>Identify system users, processes acting on behalf of users, and devices.</t>
        </is>
      </c>
      <c r="J46" s="394" t="n">
        <v>5</v>
      </c>
      <c r="K46" s="395" t="n"/>
      <c r="L46" s="396" t="n"/>
      <c r="M46" s="397" t="inlineStr">
        <is>
          <t>Not Yet Assessed</t>
        </is>
      </c>
      <c r="N46" s="437" t="n"/>
      <c r="O46" s="399">
        <f t="array" ref="O46">IF(M46&lt;&gt;"Fully Implemented",-1*J46,0)</f>
        <v/>
      </c>
      <c r="P46" s="384" t="n"/>
      <c r="Q46" s="320" t="n"/>
      <c r="R46" s="47" t="n"/>
      <c r="S46" s="47" t="n"/>
      <c r="T46" s="48" t="n"/>
    </row>
    <row r="47" ht="47.25" customHeight="1" s="566">
      <c r="A47" s="425" t="n"/>
      <c r="B47" s="425" t="n"/>
      <c r="C47" s="425" t="n"/>
      <c r="D47" s="425" t="n"/>
      <c r="E47" s="426" t="n"/>
      <c r="F47" s="427" t="n"/>
      <c r="G47" s="913" t="n"/>
      <c r="H47" s="405" t="inlineStr">
        <is>
          <t>3.5.2*</t>
        </is>
      </c>
      <c r="I47" s="406" t="inlineStr">
        <is>
          <t>Authenticate (or verify) the identities of users, processes, or devices, as a prerequisite to allowing access to organizational systems.</t>
        </is>
      </c>
      <c r="J47" s="407" t="n">
        <v>5</v>
      </c>
      <c r="K47" s="438" t="n"/>
      <c r="L47" s="800" t="n"/>
      <c r="M47" s="410" t="inlineStr">
        <is>
          <t>Not Yet Assessed</t>
        </is>
      </c>
      <c r="N47" s="420" t="n"/>
      <c r="O47" s="412">
        <f t="array" ref="O47">IF(M47&lt;&gt;"Fully Implemented",-1*J47,0)</f>
        <v/>
      </c>
      <c r="P47" s="384" t="n"/>
      <c r="Q47" s="320" t="n"/>
      <c r="R47" s="47" t="n"/>
      <c r="S47" s="47" t="n"/>
      <c r="T47" s="48" t="n"/>
    </row>
    <row r="48" ht="78.75" customHeight="1" s="566">
      <c r="A48" s="425" t="n"/>
      <c r="B48" s="425" t="n"/>
      <c r="C48" s="425" t="n"/>
      <c r="D48" s="425" t="n"/>
      <c r="E48" s="426" t="n"/>
      <c r="F48" s="427" t="n"/>
      <c r="G48" s="913" t="n"/>
      <c r="H48" s="405" t="inlineStr">
        <is>
          <t>3.5.3</t>
        </is>
      </c>
      <c r="I48" s="406" t="inlineStr">
        <is>
          <t>Use multifactor authentication (MFA) for local and network access to privileged accounts and for network access to non- privileged accounts.</t>
        </is>
      </c>
      <c r="J48" s="441" t="inlineStr">
        <is>
          <t>3 to 5</t>
        </is>
      </c>
      <c r="K48" s="406" t="inlineStr">
        <is>
          <t>Subtract 5 points if MFA not implemented.  Subtract 3 points if implemented for remote and privileged users, but not the general user</t>
        </is>
      </c>
      <c r="L48" s="800" t="n"/>
      <c r="M48" s="410" t="inlineStr">
        <is>
          <t>Not Yet Assessed</t>
        </is>
      </c>
      <c r="N48" s="420" t="n"/>
      <c r="O48" s="412">
        <f t="array" ref="O48">IF(M48="Implemented for Remote and Privileged Users",-3,IF(M48&lt;&gt;"Fully Implemented",-5,0))</f>
        <v/>
      </c>
      <c r="P48" s="384" t="n"/>
      <c r="Q48" s="320" t="n"/>
      <c r="R48" s="47" t="n"/>
      <c r="S48" s="47" t="n"/>
      <c r="T48" s="48" t="n"/>
    </row>
    <row r="49" ht="47.25" customHeight="1" s="566">
      <c r="A49" s="425" t="n"/>
      <c r="B49" s="425" t="n"/>
      <c r="C49" s="425" t="n"/>
      <c r="D49" s="425" t="n"/>
      <c r="E49" s="426" t="n"/>
      <c r="F49" s="427" t="n"/>
      <c r="G49" s="913" t="n"/>
      <c r="H49" s="405" t="inlineStr">
        <is>
          <t>3.5.4</t>
        </is>
      </c>
      <c r="I49" s="406" t="inlineStr">
        <is>
          <t>Employ replay-resistant authentication mechanisms for network access to privileged and non-privileged accounts.</t>
        </is>
      </c>
      <c r="J49" s="407" t="n">
        <v>1</v>
      </c>
      <c r="K49" s="408" t="n"/>
      <c r="L49" s="409" t="n"/>
      <c r="M49" s="410" t="inlineStr">
        <is>
          <t>Not Yet Assessed</t>
        </is>
      </c>
      <c r="N49" s="420" t="n"/>
      <c r="O49" s="412">
        <f t="array" ref="O49">IF(M49&lt;&gt;"Fully Implemented",-1*J49,0)</f>
        <v/>
      </c>
      <c r="P49" s="384" t="n"/>
      <c r="Q49" s="320" t="n"/>
      <c r="R49" s="47" t="n"/>
      <c r="S49" s="47" t="n"/>
      <c r="T49" s="48" t="n"/>
    </row>
    <row r="50" ht="15.75" customHeight="1" s="566">
      <c r="A50" s="425" t="n"/>
      <c r="B50" s="425" t="n"/>
      <c r="C50" s="425" t="n"/>
      <c r="D50" s="425" t="n"/>
      <c r="E50" s="426" t="n"/>
      <c r="F50" s="427" t="n"/>
      <c r="G50" s="913" t="n"/>
      <c r="H50" s="405" t="inlineStr">
        <is>
          <t>3.5.5</t>
        </is>
      </c>
      <c r="I50" s="406" t="inlineStr">
        <is>
          <t>Prevent reuse of identifiers for a defined period.</t>
        </is>
      </c>
      <c r="J50" s="407" t="n">
        <v>1</v>
      </c>
      <c r="K50" s="408" t="n"/>
      <c r="L50" s="409" t="n"/>
      <c r="M50" s="410" t="inlineStr">
        <is>
          <t>Not Yet Assessed</t>
        </is>
      </c>
      <c r="N50" s="420" t="n"/>
      <c r="O50" s="412">
        <f t="array" ref="O50">IF(M50&lt;&gt;"Fully Implemented",-1*J50,0)</f>
        <v/>
      </c>
      <c r="P50" s="384" t="n"/>
      <c r="Q50" s="320" t="n"/>
      <c r="R50" s="47" t="n"/>
      <c r="S50" s="47" t="n"/>
      <c r="T50" s="48" t="n"/>
    </row>
    <row r="51" ht="31.5" customHeight="1" s="566">
      <c r="A51" s="425" t="n"/>
      <c r="B51" s="425" t="n"/>
      <c r="C51" s="425" t="n"/>
      <c r="D51" s="425" t="n"/>
      <c r="E51" s="426" t="n"/>
      <c r="F51" s="427" t="n"/>
      <c r="G51" s="913" t="n"/>
      <c r="H51" s="405" t="inlineStr">
        <is>
          <t>3.5.6</t>
        </is>
      </c>
      <c r="I51" s="406" t="inlineStr">
        <is>
          <t>Disable identifiers after a defined period of inactivity.</t>
        </is>
      </c>
      <c r="J51" s="407" t="n">
        <v>1</v>
      </c>
      <c r="K51" s="408" t="n"/>
      <c r="L51" s="409" t="n"/>
      <c r="M51" s="410" t="inlineStr">
        <is>
          <t>Not Yet Assessed</t>
        </is>
      </c>
      <c r="N51" s="420" t="n"/>
      <c r="O51" s="412">
        <f t="array" ref="O51">IF(M51&lt;&gt;"Fully Implemented",-1*J51,0)</f>
        <v/>
      </c>
      <c r="P51" s="384" t="n"/>
      <c r="Q51" s="320" t="n"/>
      <c r="R51" s="47" t="n"/>
      <c r="S51" s="47" t="n"/>
      <c r="T51" s="48" t="n"/>
    </row>
    <row r="52" ht="47.25" customHeight="1" s="566">
      <c r="A52" s="425" t="n"/>
      <c r="B52" s="425" t="n"/>
      <c r="C52" s="425" t="n"/>
      <c r="D52" s="425" t="n"/>
      <c r="E52" s="426" t="n"/>
      <c r="F52" s="427" t="n"/>
      <c r="G52" s="913" t="n"/>
      <c r="H52" s="405" t="inlineStr">
        <is>
          <t>3.5.7</t>
        </is>
      </c>
      <c r="I52" s="406" t="inlineStr">
        <is>
          <t>Enforce a minimum password complexity and change of characters when new passwords are created.</t>
        </is>
      </c>
      <c r="J52" s="407" t="n">
        <v>1</v>
      </c>
      <c r="K52" s="408" t="n"/>
      <c r="L52" s="409" t="n"/>
      <c r="M52" s="410" t="inlineStr">
        <is>
          <t>Not Yet Assessed</t>
        </is>
      </c>
      <c r="N52" s="420" t="n"/>
      <c r="O52" s="412">
        <f t="array" ref="O52">IF(M52&lt;&gt;"Fully Implemented",-1*J52,0)</f>
        <v/>
      </c>
      <c r="P52" s="384" t="n"/>
      <c r="Q52" s="320" t="n"/>
      <c r="R52" s="47" t="n"/>
      <c r="S52" s="47" t="n"/>
      <c r="T52" s="48" t="n"/>
    </row>
    <row r="53" ht="31.5" customHeight="1" s="566">
      <c r="A53" s="425" t="n"/>
      <c r="B53" s="425" t="n"/>
      <c r="C53" s="425" t="n"/>
      <c r="D53" s="425" t="n"/>
      <c r="E53" s="426" t="n"/>
      <c r="F53" s="427" t="n"/>
      <c r="G53" s="913" t="n"/>
      <c r="H53" s="405" t="inlineStr">
        <is>
          <t>3.5.8</t>
        </is>
      </c>
      <c r="I53" s="406" t="inlineStr">
        <is>
          <t>Prohibit password reuse for a specified number of generations.</t>
        </is>
      </c>
      <c r="J53" s="407" t="n">
        <v>1</v>
      </c>
      <c r="K53" s="408" t="n"/>
      <c r="L53" s="409" t="n"/>
      <c r="M53" s="410" t="inlineStr">
        <is>
          <t>Not Yet Assessed</t>
        </is>
      </c>
      <c r="N53" s="420" t="n"/>
      <c r="O53" s="412">
        <f t="array" ref="O53">IF(M53&lt;&gt;"Fully Implemented",-1*J53,0)</f>
        <v/>
      </c>
      <c r="P53" s="384" t="n"/>
      <c r="Q53" s="320" t="n"/>
      <c r="R53" s="47" t="n"/>
      <c r="S53" s="47" t="n"/>
      <c r="T53" s="48" t="n"/>
    </row>
    <row r="54" ht="47.25" customHeight="1" s="566">
      <c r="A54" s="425" t="n"/>
      <c r="B54" s="425" t="n"/>
      <c r="C54" s="425" t="n"/>
      <c r="D54" s="425" t="n"/>
      <c r="E54" s="426" t="n"/>
      <c r="F54" s="427" t="n"/>
      <c r="G54" s="913" t="n"/>
      <c r="H54" s="405" t="inlineStr">
        <is>
          <t>3.5.9</t>
        </is>
      </c>
      <c r="I54" s="406" t="inlineStr">
        <is>
          <t>Allow temporary password use for system logons with an immediate change to a permanent password.</t>
        </is>
      </c>
      <c r="J54" s="407" t="n">
        <v>1</v>
      </c>
      <c r="K54" s="408" t="n"/>
      <c r="L54" s="409" t="n"/>
      <c r="M54" s="410" t="inlineStr">
        <is>
          <t>Not Yet Assessed</t>
        </is>
      </c>
      <c r="N54" s="420" t="n"/>
      <c r="O54" s="412">
        <f t="array" ref="O54">IF(M54&lt;&gt;"Fully Implemented",-1*J54,0)</f>
        <v/>
      </c>
      <c r="P54" s="384" t="n"/>
      <c r="Q54" s="320" t="n"/>
      <c r="R54" s="47" t="n"/>
      <c r="S54" s="47" t="n"/>
      <c r="T54" s="48" t="n"/>
    </row>
    <row r="55" ht="78.75" customHeight="1" s="566">
      <c r="A55" s="425" t="n"/>
      <c r="B55" s="425" t="n"/>
      <c r="C55" s="425" t="n"/>
      <c r="D55" s="425" t="n"/>
      <c r="E55" s="426" t="n"/>
      <c r="F55" s="427" t="n"/>
      <c r="G55" s="913" t="n"/>
      <c r="H55" s="421" t="n">
        <v>40242</v>
      </c>
      <c r="I55" s="406" t="inlineStr">
        <is>
          <t>Store and transmit only cryptographically- protected passwords.</t>
        </is>
      </c>
      <c r="J55" s="407" t="n">
        <v>5</v>
      </c>
      <c r="K55" s="406" t="inlineStr">
        <is>
          <t>Encrypted representations of passwords include, for example, encrypted versions of passwords and one-way cryptographic hashes of passwords</t>
        </is>
      </c>
      <c r="L55" s="800" t="n"/>
      <c r="M55" s="410" t="inlineStr">
        <is>
          <t>Not Yet Assessed</t>
        </is>
      </c>
      <c r="N55" s="420" t="n"/>
      <c r="O55" s="412">
        <f t="array" ref="O55">IF(M55&lt;&gt;"Fully Implemented",-1*J55,0)</f>
        <v/>
      </c>
      <c r="P55" s="384" t="n"/>
      <c r="Q55" s="320" t="n"/>
      <c r="R55" s="47" t="n"/>
      <c r="S55" s="47" t="n"/>
      <c r="T55" s="48" t="n"/>
    </row>
    <row r="56" ht="32.25" customHeight="1" s="566">
      <c r="A56" s="425" t="n"/>
      <c r="B56" s="425" t="n"/>
      <c r="C56" s="425" t="n"/>
      <c r="D56" s="425" t="n"/>
      <c r="E56" s="426" t="n"/>
      <c r="F56" s="427" t="n"/>
      <c r="G56" s="914" t="n"/>
      <c r="H56" s="442" t="n">
        <v>40607</v>
      </c>
      <c r="I56" s="429" t="inlineStr">
        <is>
          <t>Obscure feedback of authentication information.</t>
        </is>
      </c>
      <c r="J56" s="430" t="n">
        <v>1</v>
      </c>
      <c r="K56" s="431" t="n"/>
      <c r="L56" s="432" t="n"/>
      <c r="M56" s="433" t="inlineStr">
        <is>
          <t>Not Yet Assessed</t>
        </is>
      </c>
      <c r="N56" s="434" t="n"/>
      <c r="O56" s="435">
        <f t="array" ref="O56">IF(M56&lt;&gt;"Fully Implemented",-1*J56,0)</f>
        <v/>
      </c>
      <c r="P56" s="384" t="n"/>
      <c r="Q56" s="320" t="n"/>
      <c r="R56" s="47" t="n"/>
      <c r="S56" s="47" t="n"/>
      <c r="T56" s="48" t="n"/>
    </row>
    <row r="57" ht="78.75" customHeight="1" s="566">
      <c r="A57" s="425" t="n"/>
      <c r="B57" s="425" t="n"/>
      <c r="C57" s="425" t="n"/>
      <c r="D57" s="425" t="n"/>
      <c r="E57" s="426" t="n"/>
      <c r="F57" s="427" t="n"/>
      <c r="G57" s="912" t="inlineStr">
        <is>
          <t>Incident Response</t>
        </is>
      </c>
      <c r="H57" s="392" t="inlineStr">
        <is>
          <t>3.6.1</t>
        </is>
      </c>
      <c r="I57" s="393" t="inlineStr">
        <is>
          <t>Establish an operational incident-handling capability for organizational systems that includes preparation, detection, analysis, containment, recovery, and user response activities.</t>
        </is>
      </c>
      <c r="J57" s="394" t="n">
        <v>5</v>
      </c>
      <c r="K57" s="436" t="n"/>
      <c r="L57" s="343" t="n"/>
      <c r="M57" s="397" t="inlineStr">
        <is>
          <t>Not Yet Assessed</t>
        </is>
      </c>
      <c r="N57" s="437" t="n"/>
      <c r="O57" s="399">
        <f t="array" ref="O57">IF(M57&lt;&gt;"Fully Implemented",-1*J57,0)</f>
        <v/>
      </c>
      <c r="P57" s="384" t="n"/>
      <c r="Q57" s="320" t="n"/>
      <c r="R57" s="47" t="n"/>
      <c r="S57" s="47" t="n"/>
      <c r="T57" s="48" t="n"/>
    </row>
    <row r="58" ht="47.25" customHeight="1" s="566">
      <c r="A58" s="425" t="n"/>
      <c r="B58" s="425" t="n"/>
      <c r="C58" s="425" t="n"/>
      <c r="D58" s="425" t="n"/>
      <c r="E58" s="426" t="n"/>
      <c r="F58" s="427" t="n"/>
      <c r="G58" s="913" t="n"/>
      <c r="H58" s="405" t="inlineStr">
        <is>
          <t>3.6.2</t>
        </is>
      </c>
      <c r="I58" s="406" t="inlineStr">
        <is>
          <t>Track, document, and report incidents to designated officials and/or authorities both internal and external to the organization.</t>
        </is>
      </c>
      <c r="J58" s="407" t="n">
        <v>5</v>
      </c>
      <c r="K58" s="408" t="n"/>
      <c r="L58" s="409" t="n"/>
      <c r="M58" s="410" t="inlineStr">
        <is>
          <t>Not Yet Assessed</t>
        </is>
      </c>
      <c r="N58" s="420" t="n"/>
      <c r="O58" s="412">
        <f t="array" ref="O58">IF(M58&lt;&gt;"Fully Implemented",-1*J58,0)</f>
        <v/>
      </c>
      <c r="P58" s="384" t="n"/>
      <c r="Q58" s="320" t="n"/>
      <c r="R58" s="47" t="n"/>
      <c r="S58" s="47" t="n"/>
      <c r="T58" s="48" t="n"/>
    </row>
    <row r="59" ht="32.25" customHeight="1" s="566">
      <c r="A59" s="425" t="n"/>
      <c r="B59" s="425" t="n"/>
      <c r="C59" s="425" t="n"/>
      <c r="D59" s="425" t="n"/>
      <c r="E59" s="426" t="n"/>
      <c r="F59" s="427" t="n"/>
      <c r="G59" s="914" t="n"/>
      <c r="H59" s="428" t="inlineStr">
        <is>
          <t>3.6.3</t>
        </is>
      </c>
      <c r="I59" s="429" t="inlineStr">
        <is>
          <t>Test the organizational incident response capability.</t>
        </is>
      </c>
      <c r="J59" s="430" t="n">
        <v>1</v>
      </c>
      <c r="K59" s="431" t="n"/>
      <c r="L59" s="432" t="n"/>
      <c r="M59" s="433" t="inlineStr">
        <is>
          <t>Not Yet Assessed</t>
        </is>
      </c>
      <c r="N59" s="434" t="n"/>
      <c r="O59" s="435">
        <f t="array" ref="O59">IF(M59&lt;&gt;"Fully Implemented",-1*J59,0)</f>
        <v/>
      </c>
      <c r="P59" s="384" t="n"/>
      <c r="Q59" s="320" t="n"/>
      <c r="R59" s="47" t="n"/>
      <c r="S59" s="47" t="n"/>
      <c r="T59" s="48" t="n"/>
    </row>
    <row r="60" ht="31.5" customHeight="1" s="566">
      <c r="A60" s="425" t="n"/>
      <c r="B60" s="425" t="n"/>
      <c r="C60" s="425" t="n"/>
      <c r="D60" s="425" t="n"/>
      <c r="E60" s="426" t="n"/>
      <c r="F60" s="427" t="n"/>
      <c r="G60" s="912" t="inlineStr">
        <is>
          <t>Maintenance</t>
        </is>
      </c>
      <c r="H60" s="392" t="inlineStr">
        <is>
          <t>3.7.1</t>
        </is>
      </c>
      <c r="I60" s="393" t="inlineStr">
        <is>
          <t>Perform maintenance on organizational systems.</t>
        </is>
      </c>
      <c r="J60" s="394" t="n">
        <v>3</v>
      </c>
      <c r="K60" s="395" t="n"/>
      <c r="L60" s="396" t="n"/>
      <c r="M60" s="397" t="inlineStr">
        <is>
          <t>Not Yet Assessed</t>
        </is>
      </c>
      <c r="N60" s="437" t="n"/>
      <c r="O60" s="399">
        <f t="array" ref="O60">IF(M60&lt;&gt;"Fully Implemented",-1*J60,0)</f>
        <v/>
      </c>
      <c r="P60" s="384" t="n"/>
      <c r="Q60" s="320" t="n"/>
      <c r="R60" s="47" t="n"/>
      <c r="S60" s="47" t="n"/>
      <c r="T60" s="48" t="n"/>
    </row>
    <row r="61" ht="47.25" customHeight="1" s="566">
      <c r="A61" s="425" t="n"/>
      <c r="B61" s="425" t="n"/>
      <c r="C61" s="425" t="n"/>
      <c r="D61" s="425" t="n"/>
      <c r="E61" s="426" t="n"/>
      <c r="F61" s="427" t="n"/>
      <c r="G61" s="913" t="n"/>
      <c r="H61" s="405" t="inlineStr">
        <is>
          <t>3.7.2</t>
        </is>
      </c>
      <c r="I61" s="406" t="inlineStr">
        <is>
          <t>Provide controls on the tools, techniques, mechanisms, and personnel used to conduct system maintenance.</t>
        </is>
      </c>
      <c r="J61" s="407" t="n">
        <v>5</v>
      </c>
      <c r="K61" s="408" t="n"/>
      <c r="L61" s="409" t="n"/>
      <c r="M61" s="410" t="inlineStr">
        <is>
          <t>Not Yet Assessed</t>
        </is>
      </c>
      <c r="N61" s="420" t="n"/>
      <c r="O61" s="412">
        <f t="array" ref="O61">IF(M61&lt;&gt;"Fully Implemented",-1*J61,0)</f>
        <v/>
      </c>
      <c r="P61" s="384" t="n"/>
      <c r="Q61" s="320" t="n"/>
      <c r="R61" s="47" t="n"/>
      <c r="S61" s="47" t="n"/>
      <c r="T61" s="48" t="n"/>
    </row>
    <row r="62" ht="31.5" customHeight="1" s="566">
      <c r="A62" s="425" t="n"/>
      <c r="B62" s="425" t="n"/>
      <c r="C62" s="425" t="n"/>
      <c r="D62" s="425" t="n"/>
      <c r="E62" s="426" t="n"/>
      <c r="F62" s="427" t="n"/>
      <c r="G62" s="913" t="n"/>
      <c r="H62" s="405" t="inlineStr">
        <is>
          <t>3.7.3</t>
        </is>
      </c>
      <c r="I62" s="406" t="inlineStr">
        <is>
          <t>Ensure equipment removed for off-site maintenance is sanitized of any CUI.</t>
        </is>
      </c>
      <c r="J62" s="407" t="n">
        <v>1</v>
      </c>
      <c r="K62" s="408" t="n"/>
      <c r="L62" s="409" t="n"/>
      <c r="M62" s="410" t="inlineStr">
        <is>
          <t>Not Yet Assessed</t>
        </is>
      </c>
      <c r="N62" s="420" t="n"/>
      <c r="O62" s="412">
        <f t="array" ref="O62">IF(M62&lt;&gt;"Fully Implemented",-1*J62,0)</f>
        <v/>
      </c>
      <c r="P62" s="384" t="n"/>
      <c r="Q62" s="320" t="n"/>
      <c r="R62" s="47" t="n"/>
      <c r="S62" s="47" t="n"/>
      <c r="T62" s="48" t="n"/>
    </row>
    <row r="63" ht="47.25" customHeight="1" s="566">
      <c r="A63" s="425" t="n"/>
      <c r="B63" s="425" t="n"/>
      <c r="C63" s="425" t="n"/>
      <c r="D63" s="425" t="n"/>
      <c r="E63" s="426" t="n"/>
      <c r="F63" s="427" t="n"/>
      <c r="G63" s="913" t="n"/>
      <c r="H63" s="405" t="inlineStr">
        <is>
          <t>3.7.4</t>
        </is>
      </c>
      <c r="I63" s="406" t="inlineStr">
        <is>
          <t>Check media containing diagnostic and test programs for malicious code before the media are used in organizational systems.</t>
        </is>
      </c>
      <c r="J63" s="407" t="n">
        <v>3</v>
      </c>
      <c r="K63" s="408" t="n"/>
      <c r="L63" s="409" t="n"/>
      <c r="M63" s="410" t="inlineStr">
        <is>
          <t>Not Yet Assessed</t>
        </is>
      </c>
      <c r="N63" s="420" t="n"/>
      <c r="O63" s="412">
        <f t="array" ref="O63">IF(M63&lt;&gt;"Fully Implemented",-1*J63,0)</f>
        <v/>
      </c>
      <c r="P63" s="384" t="n"/>
      <c r="Q63" s="320" t="n"/>
      <c r="R63" s="47" t="n"/>
      <c r="S63" s="47" t="n"/>
      <c r="T63" s="48" t="n"/>
    </row>
    <row r="64" ht="78.75" customHeight="1" s="566">
      <c r="A64" s="425" t="n"/>
      <c r="B64" s="425" t="n"/>
      <c r="C64" s="425" t="n"/>
      <c r="D64" s="425" t="n"/>
      <c r="E64" s="426" t="n"/>
      <c r="F64" s="427" t="n"/>
      <c r="G64" s="913" t="n"/>
      <c r="H64" s="405" t="inlineStr">
        <is>
          <t>3.7.5</t>
        </is>
      </c>
      <c r="I64" s="406" t="inlineStr">
        <is>
          <t>Require multifactor authentication to establish nonlocal maintenance sessions via external network connections and terminate such connections when nonlocal maintenance is complete.</t>
        </is>
      </c>
      <c r="J64" s="407" t="n">
        <v>5</v>
      </c>
      <c r="K64" s="438" t="n"/>
      <c r="L64" s="800" t="n"/>
      <c r="M64" s="410" t="inlineStr">
        <is>
          <t>Not Yet Assessed</t>
        </is>
      </c>
      <c r="N64" s="420" t="n"/>
      <c r="O64" s="412">
        <f t="array" ref="O64">IF(M64&lt;&gt;"Fully Implemented",-1*J64,0)</f>
        <v/>
      </c>
      <c r="P64" s="384" t="n"/>
      <c r="Q64" s="320" t="n"/>
      <c r="R64" s="47" t="n"/>
      <c r="S64" s="47" t="n"/>
      <c r="T64" s="48" t="n"/>
    </row>
    <row r="65" ht="48" customHeight="1" s="566">
      <c r="A65" s="425" t="n"/>
      <c r="B65" s="425" t="n"/>
      <c r="C65" s="425" t="n"/>
      <c r="D65" s="425" t="n"/>
      <c r="E65" s="426" t="n"/>
      <c r="F65" s="427" t="n"/>
      <c r="G65" s="914" t="n"/>
      <c r="H65" s="428" t="inlineStr">
        <is>
          <t>3.7.6</t>
        </is>
      </c>
      <c r="I65" s="429" t="inlineStr">
        <is>
          <t>Supervise the maintenance activities of maintenance personnel without required access authorization.</t>
        </is>
      </c>
      <c r="J65" s="430" t="n">
        <v>1</v>
      </c>
      <c r="K65" s="431" t="n"/>
      <c r="L65" s="432" t="n"/>
      <c r="M65" s="433" t="inlineStr">
        <is>
          <t>Not Yet Assessed</t>
        </is>
      </c>
      <c r="N65" s="434" t="n"/>
      <c r="O65" s="435">
        <f t="array" ref="O65">IF(M65&lt;&gt;"Fully Implemented",-1*J65,0)</f>
        <v/>
      </c>
      <c r="P65" s="384" t="n"/>
      <c r="Q65" s="320" t="n"/>
      <c r="R65" s="47" t="n"/>
      <c r="S65" s="47" t="n"/>
      <c r="T65" s="48" t="n"/>
    </row>
    <row r="66" ht="47.25" customHeight="1" s="566">
      <c r="A66" s="425" t="n"/>
      <c r="B66" s="425" t="n"/>
      <c r="C66" s="425" t="n"/>
      <c r="D66" s="425" t="n"/>
      <c r="E66" s="426" t="n"/>
      <c r="F66" s="427" t="n"/>
      <c r="G66" s="912" t="inlineStr">
        <is>
          <t>Media Protection</t>
        </is>
      </c>
      <c r="H66" s="392" t="inlineStr">
        <is>
          <t>3.8.1</t>
        </is>
      </c>
      <c r="I66" s="393" t="inlineStr">
        <is>
          <t>Protect (i.e., physically control and securely store) system media containing CUI, both paper and digital.</t>
        </is>
      </c>
      <c r="J66" s="394" t="n">
        <v>3</v>
      </c>
      <c r="K66" s="393" t="inlineStr">
        <is>
          <t>Exposure limited to CUI on media</t>
        </is>
      </c>
      <c r="L66" s="343" t="n"/>
      <c r="M66" s="397" t="inlineStr">
        <is>
          <t>Not Yet Assessed</t>
        </is>
      </c>
      <c r="N66" s="437" t="n"/>
      <c r="O66" s="399">
        <f t="array" ref="O66">IF(M66&lt;&gt;"Fully Implemented",-1*J66,0)</f>
        <v/>
      </c>
      <c r="P66" s="384" t="n"/>
      <c r="Q66" s="320" t="n"/>
      <c r="R66" s="47" t="n"/>
      <c r="S66" s="47" t="n"/>
      <c r="T66" s="48" t="n"/>
    </row>
    <row r="67" ht="31.5" customHeight="1" s="566">
      <c r="A67" s="425" t="n"/>
      <c r="B67" s="425" t="n"/>
      <c r="C67" s="425" t="n"/>
      <c r="D67" s="425" t="n"/>
      <c r="E67" s="426" t="n"/>
      <c r="F67" s="427" t="n"/>
      <c r="G67" s="913" t="n"/>
      <c r="H67" s="405" t="inlineStr">
        <is>
          <t>3.8.2</t>
        </is>
      </c>
      <c r="I67" s="406" t="inlineStr">
        <is>
          <t>Limit access to CUI on system media to authorized users.</t>
        </is>
      </c>
      <c r="J67" s="407" t="n">
        <v>3</v>
      </c>
      <c r="K67" s="406" t="inlineStr">
        <is>
          <t>Exposure limited to CUI on media</t>
        </is>
      </c>
      <c r="L67" s="800" t="n"/>
      <c r="M67" s="410" t="inlineStr">
        <is>
          <t>Not Yet Assessed</t>
        </is>
      </c>
      <c r="N67" s="420" t="n"/>
      <c r="O67" s="412">
        <f t="array" ref="O67">IF(M67&lt;&gt;"Fully Implemented",-1*J67,0)</f>
        <v/>
      </c>
      <c r="P67" s="384" t="n"/>
      <c r="Q67" s="320" t="n"/>
      <c r="R67" s="47" t="n"/>
      <c r="S67" s="47" t="n"/>
      <c r="T67" s="48" t="n"/>
    </row>
    <row r="68" ht="63" customHeight="1" s="566">
      <c r="A68" s="425" t="n"/>
      <c r="B68" s="425" t="n"/>
      <c r="C68" s="425" t="n"/>
      <c r="D68" s="425" t="n"/>
      <c r="E68" s="426" t="n"/>
      <c r="F68" s="427" t="n"/>
      <c r="G68" s="913" t="n"/>
      <c r="H68" s="405" t="inlineStr">
        <is>
          <t>3.8.3*</t>
        </is>
      </c>
      <c r="I68" s="406" t="inlineStr">
        <is>
          <t>Sanitize or destroy system media containing CUI before disposal or release for reuse.</t>
        </is>
      </c>
      <c r="J68" s="407" t="n">
        <v>5</v>
      </c>
      <c r="K68" s="406" t="inlineStr">
        <is>
          <t>While exposure limited to CUI on media, failure to sanitize can result in continual exposure of CUI</t>
        </is>
      </c>
      <c r="L68" s="800" t="n"/>
      <c r="M68" s="410" t="inlineStr">
        <is>
          <t>Not Yet Assessed</t>
        </is>
      </c>
      <c r="N68" s="420" t="n"/>
      <c r="O68" s="412">
        <f t="array" ref="O68">IF(M68&lt;&gt;"Fully Implemented",-1*J68,0)</f>
        <v/>
      </c>
      <c r="P68" s="384" t="n"/>
      <c r="Q68" s="320" t="n"/>
      <c r="R68" s="47" t="n"/>
      <c r="S68" s="47" t="n"/>
      <c r="T68" s="48" t="n"/>
    </row>
    <row r="69" ht="31.5" customHeight="1" s="566">
      <c r="A69" s="425" t="n"/>
      <c r="B69" s="425" t="n"/>
      <c r="C69" s="425" t="n"/>
      <c r="D69" s="425" t="n"/>
      <c r="E69" s="426" t="n"/>
      <c r="F69" s="427" t="n"/>
      <c r="G69" s="913" t="n"/>
      <c r="H69" s="405" t="inlineStr">
        <is>
          <t>3.8.4</t>
        </is>
      </c>
      <c r="I69" s="406" t="inlineStr">
        <is>
          <t>Mark media with necessary CUI markings and distribution limitations.</t>
        </is>
      </c>
      <c r="J69" s="407" t="n">
        <v>1</v>
      </c>
      <c r="K69" s="408" t="n"/>
      <c r="L69" s="409" t="n"/>
      <c r="M69" s="410" t="inlineStr">
        <is>
          <t>Not Yet Assessed</t>
        </is>
      </c>
      <c r="N69" s="420" t="n"/>
      <c r="O69" s="412">
        <f t="array" ref="O69">IF(M69&lt;&gt;"Fully Implemented",-1*J69,0)</f>
        <v/>
      </c>
      <c r="P69" s="384" t="n"/>
      <c r="Q69" s="320" t="n"/>
      <c r="R69" s="47" t="n"/>
      <c r="S69" s="47" t="n"/>
      <c r="T69" s="48" t="n"/>
    </row>
    <row r="70" ht="47.25" customHeight="1" s="566">
      <c r="A70" s="425" t="n"/>
      <c r="B70" s="425" t="n"/>
      <c r="C70" s="425" t="n"/>
      <c r="D70" s="425" t="n"/>
      <c r="E70" s="426" t="n"/>
      <c r="F70" s="427" t="n"/>
      <c r="G70" s="913" t="n"/>
      <c r="H70" s="405" t="inlineStr">
        <is>
          <t>3.8.5</t>
        </is>
      </c>
      <c r="I70" s="406" t="inlineStr">
        <is>
          <t>Control access to media containing CUI and maintain accountability for media during transport outside of controlled areas.</t>
        </is>
      </c>
      <c r="J70" s="407" t="n">
        <v>1</v>
      </c>
      <c r="K70" s="408" t="n"/>
      <c r="L70" s="409" t="n"/>
      <c r="M70" s="410" t="inlineStr">
        <is>
          <t>Not Yet Assessed</t>
        </is>
      </c>
      <c r="N70" s="420" t="n"/>
      <c r="O70" s="412">
        <f t="array" ref="O70">IF(M70&lt;&gt;"Fully Implemented",-1*J70,0)</f>
        <v/>
      </c>
      <c r="P70" s="384" t="n"/>
      <c r="Q70" s="320" t="n"/>
      <c r="R70" s="47" t="n"/>
      <c r="S70" s="47" t="n"/>
      <c r="T70" s="48" t="n"/>
    </row>
    <row r="71" ht="63" customHeight="1" s="566">
      <c r="A71" s="425" t="n"/>
      <c r="B71" s="425" t="n"/>
      <c r="C71" s="425" t="n"/>
      <c r="D71" s="425" t="n"/>
      <c r="E71" s="426" t="n"/>
      <c r="F71" s="427" t="n"/>
      <c r="G71" s="913" t="n"/>
      <c r="H71" s="405" t="inlineStr">
        <is>
          <t>3.8.6</t>
        </is>
      </c>
      <c r="I71" s="406" t="inlineStr">
        <is>
          <t>Implement cryptographic mechanisms to protect the confidentiality of CUI stored on digital media during transport unless otherwise protected by alternative physical safeguards.</t>
        </is>
      </c>
      <c r="J71" s="407" t="n">
        <v>1</v>
      </c>
      <c r="K71" s="438" t="n"/>
      <c r="L71" s="800" t="n"/>
      <c r="M71" s="410" t="inlineStr">
        <is>
          <t>Not Yet Assessed</t>
        </is>
      </c>
      <c r="N71" s="420" t="n"/>
      <c r="O71" s="412">
        <f t="array" ref="O71">IF(M71&lt;&gt;"Fully Implemented",-1*J71,0)</f>
        <v/>
      </c>
      <c r="P71" s="384" t="n"/>
      <c r="Q71" s="320" t="n"/>
      <c r="R71" s="47" t="n"/>
      <c r="S71" s="47" t="n"/>
      <c r="T71" s="48" t="n"/>
    </row>
    <row r="72" ht="31.5" customHeight="1" s="566">
      <c r="A72" s="425" t="n"/>
      <c r="B72" s="425" t="n"/>
      <c r="C72" s="425" t="n"/>
      <c r="D72" s="425" t="n"/>
      <c r="E72" s="426" t="n"/>
      <c r="F72" s="427" t="n"/>
      <c r="G72" s="913" t="n"/>
      <c r="H72" s="405" t="inlineStr">
        <is>
          <t>3.8.7</t>
        </is>
      </c>
      <c r="I72" s="406" t="inlineStr">
        <is>
          <t>Control the use of removable media on system components.</t>
        </is>
      </c>
      <c r="J72" s="407" t="n">
        <v>5</v>
      </c>
      <c r="K72" s="408" t="n"/>
      <c r="L72" s="409" t="n"/>
      <c r="M72" s="410" t="inlineStr">
        <is>
          <t>Not Yet Assessed</t>
        </is>
      </c>
      <c r="N72" s="420" t="n"/>
      <c r="O72" s="412">
        <f t="array" ref="O72">IF(M72&lt;&gt;"Fully Implemented",-1*J72,0)</f>
        <v/>
      </c>
      <c r="P72" s="384" t="n"/>
      <c r="Q72" s="320" t="n"/>
      <c r="R72" s="47" t="n"/>
      <c r="S72" s="47" t="n"/>
      <c r="T72" s="48" t="n"/>
    </row>
    <row r="73" ht="31.5" customHeight="1" s="566">
      <c r="A73" s="425" t="n"/>
      <c r="B73" s="425" t="n"/>
      <c r="C73" s="425" t="n"/>
      <c r="D73" s="425" t="n"/>
      <c r="E73" s="426" t="n"/>
      <c r="F73" s="427" t="n"/>
      <c r="G73" s="913" t="n"/>
      <c r="H73" s="405" t="inlineStr">
        <is>
          <t>3.8.8</t>
        </is>
      </c>
      <c r="I73" s="406" t="inlineStr">
        <is>
          <t>Prohibit the use of portable storage devices when such devices have no identifiable owner.</t>
        </is>
      </c>
      <c r="J73" s="407" t="n">
        <v>3</v>
      </c>
      <c r="K73" s="408" t="n"/>
      <c r="L73" s="409" t="n"/>
      <c r="M73" s="410" t="inlineStr">
        <is>
          <t>Not Yet Assessed</t>
        </is>
      </c>
      <c r="N73" s="420" t="n"/>
      <c r="O73" s="412">
        <f t="array" ref="O73">IF(M73&lt;&gt;"Fully Implemented",-1*J73,0)</f>
        <v/>
      </c>
      <c r="P73" s="384" t="n"/>
      <c r="Q73" s="320" t="n"/>
      <c r="R73" s="47" t="n"/>
      <c r="S73" s="47" t="n"/>
      <c r="T73" s="48" t="n"/>
    </row>
    <row r="74" ht="32.25" customHeight="1" s="566">
      <c r="A74" s="425" t="n"/>
      <c r="B74" s="425" t="n"/>
      <c r="C74" s="425" t="n"/>
      <c r="D74" s="425" t="n"/>
      <c r="E74" s="426" t="n"/>
      <c r="F74" s="427" t="n"/>
      <c r="G74" s="914" t="n"/>
      <c r="H74" s="428" t="inlineStr">
        <is>
          <t>3.8.9</t>
        </is>
      </c>
      <c r="I74" s="429" t="inlineStr">
        <is>
          <t>Protect the confidentiality of backup CUI at storage locations.</t>
        </is>
      </c>
      <c r="J74" s="430" t="n">
        <v>1</v>
      </c>
      <c r="K74" s="431" t="n"/>
      <c r="L74" s="432" t="n"/>
      <c r="M74" s="433" t="inlineStr">
        <is>
          <t>Not Yet Assessed</t>
        </is>
      </c>
      <c r="N74" s="434" t="n"/>
      <c r="O74" s="435">
        <f t="array" ref="O74">IF(M74&lt;&gt;"Fully Implemented",-1*J74,0)</f>
        <v/>
      </c>
      <c r="P74" s="384" t="n"/>
      <c r="Q74" s="320" t="n"/>
      <c r="R74" s="47" t="n"/>
      <c r="S74" s="47" t="n"/>
      <c r="T74" s="48" t="n"/>
    </row>
    <row r="75" ht="31.5" customHeight="1" s="566">
      <c r="A75" s="425" t="n"/>
      <c r="B75" s="425" t="n"/>
      <c r="C75" s="425" t="n"/>
      <c r="D75" s="425" t="n"/>
      <c r="E75" s="426" t="n"/>
      <c r="F75" s="427" t="n"/>
      <c r="G75" s="912" t="inlineStr">
        <is>
          <t>Personnel Security</t>
        </is>
      </c>
      <c r="H75" s="392" t="inlineStr">
        <is>
          <t>3.9.1</t>
        </is>
      </c>
      <c r="I75" s="393" t="inlineStr">
        <is>
          <t>Screen individuals prior to authorizing access to organizational systems containing CUI.</t>
        </is>
      </c>
      <c r="J75" s="394" t="n">
        <v>3</v>
      </c>
      <c r="K75" s="395" t="n"/>
      <c r="L75" s="396" t="n"/>
      <c r="M75" s="397" t="inlineStr">
        <is>
          <t>Not Yet Assessed</t>
        </is>
      </c>
      <c r="N75" s="437" t="n"/>
      <c r="O75" s="399">
        <f t="array" ref="O75">IF(M75&lt;&gt;"Fully Implemented",-1*J75,0)</f>
        <v/>
      </c>
      <c r="P75" s="384" t="n"/>
      <c r="Q75" s="320" t="n"/>
      <c r="R75" s="47" t="n"/>
      <c r="S75" s="47" t="n"/>
      <c r="T75" s="48" t="n"/>
    </row>
    <row r="76" ht="48" customHeight="1" s="566">
      <c r="A76" s="425" t="n"/>
      <c r="B76" s="425" t="n"/>
      <c r="C76" s="425" t="n"/>
      <c r="D76" s="425" t="n"/>
      <c r="E76" s="426" t="n"/>
      <c r="F76" s="427" t="n"/>
      <c r="G76" s="914" t="n"/>
      <c r="H76" s="428" t="inlineStr">
        <is>
          <t>3.9.2</t>
        </is>
      </c>
      <c r="I76" s="429" t="inlineStr">
        <is>
          <t>Ensure that organizational systems containing CUI are protected during and after personnel actions such as terminations and transfers.</t>
        </is>
      </c>
      <c r="J76" s="430" t="n">
        <v>5</v>
      </c>
      <c r="K76" s="443" t="n"/>
      <c r="L76" s="356" t="n"/>
      <c r="M76" s="433" t="inlineStr">
        <is>
          <t>Not Yet Assessed</t>
        </is>
      </c>
      <c r="N76" s="434" t="n"/>
      <c r="O76" s="435">
        <f t="array" ref="O76">IF(M76&lt;&gt;"Fully Implemented",-1*J76,0)</f>
        <v/>
      </c>
      <c r="P76" s="384" t="n"/>
      <c r="Q76" s="320" t="n"/>
      <c r="R76" s="47" t="n"/>
      <c r="S76" s="47" t="n"/>
      <c r="T76" s="48" t="n"/>
    </row>
    <row r="77" ht="63" customHeight="1" s="566">
      <c r="A77" s="425" t="n"/>
      <c r="B77" s="425" t="n"/>
      <c r="C77" s="425" t="n"/>
      <c r="D77" s="425" t="n"/>
      <c r="E77" s="426" t="n"/>
      <c r="F77" s="427" t="n"/>
      <c r="G77" s="912" t="inlineStr">
        <is>
          <t>Physical Protection</t>
        </is>
      </c>
      <c r="H77" s="392" t="inlineStr">
        <is>
          <t>3.10.1*</t>
        </is>
      </c>
      <c r="I77" s="393" t="inlineStr">
        <is>
          <t>Limit physical access to organizational systems, equipment, and the respective operating environments to authorized individuals.</t>
        </is>
      </c>
      <c r="J77" s="394" t="n">
        <v>5</v>
      </c>
      <c r="K77" s="436" t="n"/>
      <c r="L77" s="343" t="n"/>
      <c r="M77" s="397" t="inlineStr">
        <is>
          <t>Not Yet Assessed</t>
        </is>
      </c>
      <c r="N77" s="437" t="n"/>
      <c r="O77" s="399">
        <f t="array" ref="O77">IF(M77&lt;&gt;"Fully Implemented",-1*J77,0)</f>
        <v/>
      </c>
      <c r="P77" s="384" t="n"/>
      <c r="Q77" s="320" t="n"/>
      <c r="R77" s="47" t="n"/>
      <c r="S77" s="47" t="n"/>
      <c r="T77" s="48" t="n"/>
    </row>
    <row r="78" ht="47.25" customHeight="1" s="566">
      <c r="A78" s="425" t="n"/>
      <c r="B78" s="425" t="n"/>
      <c r="C78" s="425" t="n"/>
      <c r="D78" s="425" t="n"/>
      <c r="E78" s="426" t="n"/>
      <c r="F78" s="427" t="n"/>
      <c r="G78" s="913" t="n"/>
      <c r="H78" s="405" t="inlineStr">
        <is>
          <t>3.10.2</t>
        </is>
      </c>
      <c r="I78" s="406" t="inlineStr">
        <is>
          <t>Protect and monitor the physical facility and support infrastructure for organizational systems.</t>
        </is>
      </c>
      <c r="J78" s="407" t="n">
        <v>5</v>
      </c>
      <c r="K78" s="408" t="n"/>
      <c r="L78" s="409" t="n"/>
      <c r="M78" s="410" t="inlineStr">
        <is>
          <t>Not Yet Assessed</t>
        </is>
      </c>
      <c r="N78" s="420" t="n"/>
      <c r="O78" s="412">
        <f t="array" ref="O78">IF(M78&lt;&gt;"Fully Implemented",-1*J78,0)</f>
        <v/>
      </c>
      <c r="P78" s="384" t="n"/>
      <c r="Q78" s="320" t="n"/>
      <c r="R78" s="47" t="n"/>
      <c r="S78" s="47" t="n"/>
      <c r="T78" s="48" t="n"/>
    </row>
    <row r="79" ht="31.5" customHeight="1" s="566">
      <c r="A79" s="425" t="n"/>
      <c r="B79" s="425" t="n"/>
      <c r="C79" s="425" t="n"/>
      <c r="D79" s="425" t="n"/>
      <c r="E79" s="426" t="n"/>
      <c r="F79" s="427" t="n"/>
      <c r="G79" s="913" t="n"/>
      <c r="H79" s="405" t="inlineStr">
        <is>
          <t>3.10.3*</t>
        </is>
      </c>
      <c r="I79" s="406" t="inlineStr">
        <is>
          <t>Escort visitors and monitor visitor activity.</t>
        </is>
      </c>
      <c r="J79" s="407" t="n">
        <v>1</v>
      </c>
      <c r="K79" s="417" t="n"/>
      <c r="L79" s="418" t="n"/>
      <c r="M79" s="410" t="inlineStr">
        <is>
          <t>Not Yet Assessed</t>
        </is>
      </c>
      <c r="N79" s="420" t="n"/>
      <c r="O79" s="412">
        <f t="array" ref="O79">IF(M79&lt;&gt;"Fully Implemented",-1*J79,0)</f>
        <v/>
      </c>
      <c r="P79" s="384" t="n"/>
      <c r="Q79" s="320" t="n"/>
      <c r="R79" s="47" t="n"/>
      <c r="S79" s="47" t="n"/>
      <c r="T79" s="48" t="n"/>
    </row>
    <row r="80" ht="31.5" customHeight="1" s="566">
      <c r="A80" s="425" t="n"/>
      <c r="B80" s="425" t="n"/>
      <c r="C80" s="425" t="n"/>
      <c r="D80" s="425" t="n"/>
      <c r="E80" s="426" t="n"/>
      <c r="F80" s="427" t="n"/>
      <c r="G80" s="913" t="n"/>
      <c r="H80" s="405" t="inlineStr">
        <is>
          <t>3.10.4*</t>
        </is>
      </c>
      <c r="I80" s="406" t="inlineStr">
        <is>
          <t>Maintain audit logs of physical access.</t>
        </is>
      </c>
      <c r="J80" s="407" t="n">
        <v>1</v>
      </c>
      <c r="K80" s="417" t="n"/>
      <c r="L80" s="418" t="n"/>
      <c r="M80" s="410" t="inlineStr">
        <is>
          <t>Not Yet Assessed</t>
        </is>
      </c>
      <c r="N80" s="420" t="n"/>
      <c r="O80" s="412">
        <f t="array" ref="O80">IF(M80&lt;&gt;"Fully Implemented",-1*J80,0)</f>
        <v/>
      </c>
      <c r="P80" s="384" t="n"/>
      <c r="Q80" s="320" t="n"/>
      <c r="R80" s="47" t="n"/>
      <c r="S80" s="47" t="n"/>
      <c r="T80" s="48" t="n"/>
    </row>
    <row r="81" ht="31.5" customHeight="1" s="566">
      <c r="A81" s="425" t="n"/>
      <c r="B81" s="425" t="n"/>
      <c r="C81" s="425" t="n"/>
      <c r="D81" s="425" t="n"/>
      <c r="E81" s="426" t="n"/>
      <c r="F81" s="427" t="n"/>
      <c r="G81" s="913" t="n"/>
      <c r="H81" s="405" t="inlineStr">
        <is>
          <t>3.10.5*</t>
        </is>
      </c>
      <c r="I81" s="406" t="inlineStr">
        <is>
          <t>Control and manage physical access devices.</t>
        </is>
      </c>
      <c r="J81" s="407" t="n">
        <v>1</v>
      </c>
      <c r="K81" s="417" t="n"/>
      <c r="L81" s="418" t="n"/>
      <c r="M81" s="410" t="inlineStr">
        <is>
          <t>Not Yet Assessed</t>
        </is>
      </c>
      <c r="N81" s="420" t="n"/>
      <c r="O81" s="412">
        <f t="array" ref="O81">IF(M81&lt;&gt;"Fully Implemented",-1*J81,0)</f>
        <v/>
      </c>
      <c r="P81" s="384" t="n"/>
      <c r="Q81" s="320" t="n"/>
      <c r="R81" s="47" t="n"/>
      <c r="S81" s="47" t="n"/>
      <c r="T81" s="48" t="n"/>
    </row>
    <row r="82" ht="32.25" customHeight="1" s="566">
      <c r="A82" s="425" t="n"/>
      <c r="B82" s="425" t="n"/>
      <c r="C82" s="425" t="n"/>
      <c r="D82" s="425" t="n"/>
      <c r="E82" s="426" t="n"/>
      <c r="F82" s="427" t="n"/>
      <c r="G82" s="914" t="n"/>
      <c r="H82" s="428" t="inlineStr">
        <is>
          <t>3.10.6</t>
        </is>
      </c>
      <c r="I82" s="429" t="inlineStr">
        <is>
          <t>Enforce safeguarding measures for CUI at alternate work sites.</t>
        </is>
      </c>
      <c r="J82" s="430" t="n">
        <v>1</v>
      </c>
      <c r="K82" s="431" t="n"/>
      <c r="L82" s="432" t="n"/>
      <c r="M82" s="433" t="inlineStr">
        <is>
          <t>Not Yet Assessed</t>
        </is>
      </c>
      <c r="N82" s="434" t="n"/>
      <c r="O82" s="435">
        <f t="array" ref="O82">IF(M82&lt;&gt;"Fully Implemented",-1*J82,0)</f>
        <v/>
      </c>
      <c r="P82" s="384" t="n"/>
      <c r="Q82" s="320" t="n"/>
      <c r="R82" s="47" t="n"/>
      <c r="S82" s="47" t="n"/>
      <c r="T82" s="48" t="n"/>
    </row>
    <row r="83" ht="94.5" customHeight="1" s="566">
      <c r="A83" s="425" t="n"/>
      <c r="B83" s="425" t="n"/>
      <c r="C83" s="425" t="n"/>
      <c r="D83" s="425" t="n"/>
      <c r="E83" s="426" t="n"/>
      <c r="F83" s="427" t="n"/>
      <c r="G83" s="912" t="inlineStr">
        <is>
          <t>Risk Assessment</t>
        </is>
      </c>
      <c r="H83" s="392" t="inlineStr">
        <is>
          <t>3.11.1</t>
        </is>
      </c>
      <c r="I83" s="393" t="inlineStr">
        <is>
          <t>Periodically assess the risk to organizational operations (including mission, functions, image, or reputation), organizational assets, and individuals, resulting from the operation of organizational systems and the associated processing, storage, or transmission of CUI.</t>
        </is>
      </c>
      <c r="J83" s="394" t="n">
        <v>3</v>
      </c>
      <c r="K83" s="436" t="n"/>
      <c r="L83" s="343" t="n"/>
      <c r="M83" s="397" t="inlineStr">
        <is>
          <t>Not Yet Assessed</t>
        </is>
      </c>
      <c r="N83" s="437" t="n"/>
      <c r="O83" s="399">
        <f t="array" ref="O83">IF(M83&lt;&gt;"Fully Implemented",-1*J83,0)</f>
        <v/>
      </c>
      <c r="P83" s="384" t="n"/>
      <c r="Q83" s="320" t="n"/>
      <c r="R83" s="47" t="n"/>
      <c r="S83" s="47" t="n"/>
      <c r="T83" s="48" t="n"/>
    </row>
    <row r="84" ht="63" customHeight="1" s="566">
      <c r="A84" s="425" t="n"/>
      <c r="B84" s="425" t="n"/>
      <c r="C84" s="425" t="n"/>
      <c r="D84" s="425" t="n"/>
      <c r="E84" s="426" t="n"/>
      <c r="F84" s="427" t="n"/>
      <c r="G84" s="913" t="n"/>
      <c r="H84" s="405" t="inlineStr">
        <is>
          <t>3.11.2</t>
        </is>
      </c>
      <c r="I84" s="406" t="inlineStr">
        <is>
          <t>Scan for vulnerabilities in organizational systems and applications periodically and when new vulnerabilities affecting those systems and applications are identified.</t>
        </is>
      </c>
      <c r="J84" s="407" t="n">
        <v>5</v>
      </c>
      <c r="K84" s="438" t="n"/>
      <c r="L84" s="800" t="n"/>
      <c r="M84" s="410" t="inlineStr">
        <is>
          <t>Not Yet Assessed</t>
        </is>
      </c>
      <c r="N84" s="420" t="n"/>
      <c r="O84" s="412">
        <f t="array" ref="O84">IF(M84&lt;&gt;"Fully Implemented",-1*J84,0)</f>
        <v/>
      </c>
      <c r="P84" s="384" t="n"/>
      <c r="Q84" s="320" t="n"/>
      <c r="R84" s="47" t="n"/>
      <c r="S84" s="47" t="n"/>
      <c r="T84" s="48" t="n"/>
    </row>
    <row r="85" ht="32.25" customHeight="1" s="566">
      <c r="A85" s="425" t="n"/>
      <c r="B85" s="425" t="n"/>
      <c r="C85" s="425" t="n"/>
      <c r="D85" s="425" t="n"/>
      <c r="E85" s="426" t="n"/>
      <c r="F85" s="427" t="n"/>
      <c r="G85" s="914" t="n"/>
      <c r="H85" s="428" t="inlineStr">
        <is>
          <t>3.11.3</t>
        </is>
      </c>
      <c r="I85" s="429" t="inlineStr">
        <is>
          <t>Remediate vulnerabilities in accordance with risk assessments.</t>
        </is>
      </c>
      <c r="J85" s="430" t="n">
        <v>1</v>
      </c>
      <c r="K85" s="431" t="n"/>
      <c r="L85" s="432" t="n"/>
      <c r="M85" s="433" t="inlineStr">
        <is>
          <t>Not Yet Assessed</t>
        </is>
      </c>
      <c r="N85" s="434" t="n"/>
      <c r="O85" s="435">
        <f t="array" ref="O85">IF(M85&lt;&gt;"Fully Implemented",-1*J85,0)</f>
        <v/>
      </c>
      <c r="P85" s="384" t="n"/>
      <c r="Q85" s="320" t="n"/>
      <c r="R85" s="47" t="n"/>
      <c r="S85" s="47" t="n"/>
      <c r="T85" s="48" t="n"/>
    </row>
    <row r="86" ht="47.25" customHeight="1" s="566">
      <c r="A86" s="425" t="n"/>
      <c r="B86" s="425" t="n"/>
      <c r="C86" s="425" t="n"/>
      <c r="D86" s="425" t="n"/>
      <c r="E86" s="426" t="n"/>
      <c r="F86" s="427" t="n"/>
      <c r="G86" s="912" t="inlineStr">
        <is>
          <t>Security Assessment</t>
        </is>
      </c>
      <c r="H86" s="392" t="inlineStr">
        <is>
          <t>3.12.1</t>
        </is>
      </c>
      <c r="I86" s="393" t="inlineStr">
        <is>
          <t>Periodically assess the security controls in organizational systems to determine if the controls are effective in their application.</t>
        </is>
      </c>
      <c r="J86" s="394" t="n">
        <v>5</v>
      </c>
      <c r="K86" s="395" t="n"/>
      <c r="L86" s="396" t="n"/>
      <c r="M86" s="397" t="inlineStr">
        <is>
          <t>Not Yet Assessed</t>
        </is>
      </c>
      <c r="N86" s="437" t="n"/>
      <c r="O86" s="399">
        <f t="array" ref="O86">IF(M86&lt;&gt;"Fully Implemented",-1*J86,0)</f>
        <v/>
      </c>
      <c r="P86" s="384" t="n"/>
      <c r="Q86" s="320" t="n"/>
      <c r="R86" s="47" t="n"/>
      <c r="S86" s="47" t="n"/>
      <c r="T86" s="48" t="n"/>
    </row>
    <row r="87" ht="63" customHeight="1" s="566">
      <c r="A87" s="425" t="n"/>
      <c r="B87" s="425" t="n"/>
      <c r="C87" s="425" t="n"/>
      <c r="D87" s="425" t="n"/>
      <c r="E87" s="426" t="n"/>
      <c r="F87" s="427" t="n"/>
      <c r="G87" s="913" t="n"/>
      <c r="H87" s="405" t="inlineStr">
        <is>
          <t>3.12.2</t>
        </is>
      </c>
      <c r="I87" s="406" t="inlineStr">
        <is>
          <t>Develop and implement plans of action designed to correct deficiencies and reduce or eliminate vulnerabilities in organizational systems.</t>
        </is>
      </c>
      <c r="J87" s="407" t="n">
        <v>3</v>
      </c>
      <c r="K87" s="438" t="n"/>
      <c r="L87" s="800" t="n"/>
      <c r="M87" s="410" t="inlineStr">
        <is>
          <t>Not Yet Assessed</t>
        </is>
      </c>
      <c r="N87" s="420" t="n"/>
      <c r="O87" s="412">
        <f t="array" ref="O87">IF(M87&lt;&gt;"Fully Implemented",-1*J87,0)</f>
        <v/>
      </c>
      <c r="P87" s="384" t="n"/>
      <c r="Q87" s="320" t="n"/>
      <c r="R87" s="47" t="n"/>
      <c r="S87" s="47" t="n"/>
      <c r="T87" s="48" t="n"/>
    </row>
    <row r="88" ht="47.25" customHeight="1" s="566">
      <c r="A88" s="425" t="n"/>
      <c r="B88" s="425" t="n"/>
      <c r="C88" s="425" t="n"/>
      <c r="D88" s="425" t="n"/>
      <c r="E88" s="426" t="n"/>
      <c r="F88" s="427" t="n"/>
      <c r="G88" s="913" t="n"/>
      <c r="H88" s="405" t="inlineStr">
        <is>
          <t>3.12.3</t>
        </is>
      </c>
      <c r="I88" s="406" t="inlineStr">
        <is>
          <t>Monitor security controls on an ongoing basis to ensure the continued effectiveness of the controls.</t>
        </is>
      </c>
      <c r="J88" s="407" t="n">
        <v>5</v>
      </c>
      <c r="K88" s="408" t="n"/>
      <c r="L88" s="409" t="n"/>
      <c r="M88" s="410" t="inlineStr">
        <is>
          <t>Not Yet Assessed</t>
        </is>
      </c>
      <c r="N88" s="420" t="n"/>
      <c r="O88" s="412">
        <f t="array" ref="O88">IF(M88&lt;&gt;"Fully Implemented",-1*J88,0)</f>
        <v/>
      </c>
      <c r="P88" s="384" t="n"/>
      <c r="Q88" s="320" t="n"/>
      <c r="R88" s="47" t="n"/>
      <c r="S88" s="47" t="n"/>
      <c r="T88" s="48" t="n"/>
    </row>
    <row r="89" ht="111" customHeight="1" s="566">
      <c r="A89" s="425" t="n"/>
      <c r="B89" s="425" t="n"/>
      <c r="C89" s="425" t="n"/>
      <c r="D89" s="425" t="n"/>
      <c r="E89" s="426" t="n"/>
      <c r="F89" s="427" t="n"/>
      <c r="G89" s="914" t="n"/>
      <c r="H89" s="428" t="inlineStr">
        <is>
          <t>3.12.4</t>
        </is>
      </c>
      <c r="I89" s="429" t="inlineStr">
        <is>
          <t>Develop, document, and periodically update system security plans that describe system boundaries, system environments of operation, how security requirements are implemented, and the relationships with or connections to other systems.</t>
        </is>
      </c>
      <c r="J89" s="444" t="inlineStr">
        <is>
          <t>NA</t>
        </is>
      </c>
      <c r="K89" s="429" t="inlineStr">
        <is>
          <t>The absence of a system security plan would result in a finding that ‘an assessment could not be completed due to incomplete information and noncompliance with
DFARS clause 252.204-7012.’</t>
        </is>
      </c>
      <c r="L89" s="356" t="n"/>
      <c r="M89" s="433" t="inlineStr">
        <is>
          <t>Not Yet Assessed</t>
        </is>
      </c>
      <c r="N89" s="434" t="n"/>
      <c r="O89" s="435">
        <f t="array" ref="O89">IF(M89&lt;&gt;"Fully Implemented",-1000,0)</f>
        <v/>
      </c>
      <c r="P89" s="384" t="n"/>
      <c r="Q89" s="320" t="n"/>
      <c r="R89" s="47" t="n"/>
      <c r="S89" s="47" t="n"/>
      <c r="T89" s="48" t="n"/>
    </row>
    <row r="90" ht="78.75" customHeight="1" s="566">
      <c r="A90" s="425" t="n"/>
      <c r="B90" s="425" t="n"/>
      <c r="C90" s="425" t="n"/>
      <c r="D90" s="425" t="n"/>
      <c r="E90" s="426" t="n"/>
      <c r="F90" s="427" t="n"/>
      <c r="G90" s="912" t="inlineStr">
        <is>
          <t>System and Communications Protection</t>
        </is>
      </c>
      <c r="H90" s="392" t="inlineStr">
        <is>
          <t>3.13.1*</t>
        </is>
      </c>
      <c r="I90" s="393" t="inlineStr">
        <is>
          <t>Monitor, control, and protect communications (i.e., information transmitted or received by organizational systems) at the external boundaries and key internal boundaries of organizational systems.</t>
        </is>
      </c>
      <c r="J90" s="394" t="n">
        <v>5</v>
      </c>
      <c r="K90" s="436" t="n"/>
      <c r="L90" s="343" t="n"/>
      <c r="M90" s="397" t="inlineStr">
        <is>
          <t>Not Yet Assessed</t>
        </is>
      </c>
      <c r="N90" s="437" t="n"/>
      <c r="O90" s="399">
        <f t="array" ref="O90">IF(M90&lt;&gt;"Fully Implemented",-1*J90,0)</f>
        <v/>
      </c>
      <c r="P90" s="384" t="n"/>
      <c r="Q90" s="320" t="n"/>
      <c r="R90" s="47" t="n"/>
      <c r="S90" s="47" t="n"/>
      <c r="T90" s="48" t="n"/>
    </row>
    <row r="91" ht="78.75" customHeight="1" s="566">
      <c r="A91" s="425" t="n"/>
      <c r="B91" s="425" t="n"/>
      <c r="C91" s="425" t="n"/>
      <c r="D91" s="425" t="n"/>
      <c r="E91" s="426" t="n"/>
      <c r="F91" s="427" t="n"/>
      <c r="G91" s="913" t="n"/>
      <c r="H91" s="405" t="inlineStr">
        <is>
          <t>3.13.2</t>
        </is>
      </c>
      <c r="I91" s="406" t="inlineStr">
        <is>
          <t>Employ architectural designs, software development techniques, and systems engineering principles that promote effective information security within organizational systems.</t>
        </is>
      </c>
      <c r="J91" s="407" t="n">
        <v>5</v>
      </c>
      <c r="K91" s="438" t="n"/>
      <c r="L91" s="800" t="n"/>
      <c r="M91" s="410" t="inlineStr">
        <is>
          <t>Not Yet Assessed</t>
        </is>
      </c>
      <c r="N91" s="420" t="n"/>
      <c r="O91" s="412">
        <f t="array" ref="O91">IF(M91&lt;&gt;"Fully Implemented",-1*J91,0)</f>
        <v/>
      </c>
      <c r="P91" s="384" t="n"/>
      <c r="Q91" s="320" t="n"/>
      <c r="R91" s="47" t="n"/>
      <c r="S91" s="47" t="n"/>
      <c r="T91" s="48" t="n"/>
    </row>
    <row r="92" ht="31.5" customHeight="1" s="566">
      <c r="A92" s="425" t="n"/>
      <c r="B92" s="425" t="n"/>
      <c r="C92" s="425" t="n"/>
      <c r="D92" s="425" t="n"/>
      <c r="E92" s="426" t="n"/>
      <c r="F92" s="427" t="n"/>
      <c r="G92" s="913" t="n"/>
      <c r="H92" s="405" t="inlineStr">
        <is>
          <t>3.13.3</t>
        </is>
      </c>
      <c r="I92" s="406" t="inlineStr">
        <is>
          <t>Separate user functionality from system management functionality.</t>
        </is>
      </c>
      <c r="J92" s="407" t="n">
        <v>1</v>
      </c>
      <c r="K92" s="408" t="n"/>
      <c r="L92" s="409" t="n"/>
      <c r="M92" s="410" t="inlineStr">
        <is>
          <t>Not Yet Assessed</t>
        </is>
      </c>
      <c r="N92" s="420" t="n"/>
      <c r="O92" s="412">
        <f t="array" ref="O92">IF(M92&lt;&gt;"Fully Implemented",-1*J92,0)</f>
        <v/>
      </c>
      <c r="P92" s="384" t="n"/>
      <c r="Q92" s="320" t="n"/>
      <c r="R92" s="47" t="n"/>
      <c r="S92" s="47" t="n"/>
      <c r="T92" s="48" t="n"/>
    </row>
    <row r="93" ht="47.25" customHeight="1" s="566">
      <c r="A93" s="425" t="n"/>
      <c r="B93" s="425" t="n"/>
      <c r="C93" s="425" t="n"/>
      <c r="D93" s="425" t="n"/>
      <c r="E93" s="426" t="n"/>
      <c r="F93" s="427" t="n"/>
      <c r="G93" s="913" t="n"/>
      <c r="H93" s="405" t="inlineStr">
        <is>
          <t>3.13.4</t>
        </is>
      </c>
      <c r="I93" s="406" t="inlineStr">
        <is>
          <t>Prevent unauthorized and unintended information transfer via shared system resources.</t>
        </is>
      </c>
      <c r="J93" s="407" t="n">
        <v>1</v>
      </c>
      <c r="K93" s="408" t="n"/>
      <c r="L93" s="409" t="n"/>
      <c r="M93" s="410" t="inlineStr">
        <is>
          <t>Not Yet Assessed</t>
        </is>
      </c>
      <c r="N93" s="420" t="n"/>
      <c r="O93" s="412">
        <f t="array" ref="O93">IF(M93&lt;&gt;"Fully Implemented",-1*J93,0)</f>
        <v/>
      </c>
      <c r="P93" s="384" t="n"/>
      <c r="Q93" s="320" t="n"/>
      <c r="R93" s="47" t="n"/>
      <c r="S93" s="47" t="n"/>
      <c r="T93" s="48" t="n"/>
    </row>
    <row r="94" ht="47.25" customHeight="1" s="566">
      <c r="A94" s="425" t="n"/>
      <c r="B94" s="425" t="n"/>
      <c r="C94" s="425" t="n"/>
      <c r="D94" s="425" t="n"/>
      <c r="E94" s="426" t="n"/>
      <c r="F94" s="427" t="n"/>
      <c r="G94" s="913" t="n"/>
      <c r="H94" s="405" t="inlineStr">
        <is>
          <t>3.13.5*</t>
        </is>
      </c>
      <c r="I94" s="406" t="inlineStr">
        <is>
          <t>Implement subnetworks for publicly accessible system components that are physically or logically separated from internal networks.</t>
        </is>
      </c>
      <c r="J94" s="407" t="n">
        <v>5</v>
      </c>
      <c r="K94" s="438" t="n"/>
      <c r="L94" s="800" t="n"/>
      <c r="M94" s="410" t="inlineStr">
        <is>
          <t>Not Yet Assessed</t>
        </is>
      </c>
      <c r="N94" s="420" t="n"/>
      <c r="O94" s="412">
        <f t="array" ref="O94">IF(M94&lt;&gt;"Fully Implemented",-1*J94,0)</f>
        <v/>
      </c>
      <c r="P94" s="384" t="n"/>
      <c r="Q94" s="320" t="n"/>
      <c r="R94" s="47" t="n"/>
      <c r="S94" s="47" t="n"/>
      <c r="T94" s="48" t="n"/>
    </row>
    <row r="95" ht="63" customHeight="1" s="566">
      <c r="A95" s="425" t="n"/>
      <c r="B95" s="425" t="n"/>
      <c r="C95" s="425" t="n"/>
      <c r="D95" s="425" t="n"/>
      <c r="E95" s="426" t="n"/>
      <c r="F95" s="427" t="n"/>
      <c r="G95" s="913" t="n"/>
      <c r="H95" s="405" t="inlineStr">
        <is>
          <t>3.13.6</t>
        </is>
      </c>
      <c r="I95" s="406" t="inlineStr">
        <is>
          <t>Deny network communications traffic by default and allow network communications traffic by exception (i.e., deny all, permit by exception).</t>
        </is>
      </c>
      <c r="J95" s="407" t="n">
        <v>5</v>
      </c>
      <c r="K95" s="438" t="n"/>
      <c r="L95" s="800" t="n"/>
      <c r="M95" s="410" t="inlineStr">
        <is>
          <t>Not Yet Assessed</t>
        </is>
      </c>
      <c r="N95" s="420" t="n"/>
      <c r="O95" s="412">
        <f t="array" ref="O95">IF(M95&lt;&gt;"Fully Implemented",-1*J95,0)</f>
        <v/>
      </c>
      <c r="P95" s="384" t="n"/>
      <c r="Q95" s="320" t="n"/>
      <c r="R95" s="47" t="n"/>
      <c r="S95" s="47" t="n"/>
      <c r="T95" s="48" t="n"/>
    </row>
    <row r="96" ht="78.75" customHeight="1" s="566">
      <c r="A96" s="425" t="n"/>
      <c r="B96" s="425" t="n"/>
      <c r="C96" s="425" t="n"/>
      <c r="D96" s="425" t="n"/>
      <c r="E96" s="426" t="n"/>
      <c r="F96" s="427" t="n"/>
      <c r="G96" s="913" t="n"/>
      <c r="H96" s="405" t="inlineStr">
        <is>
          <t>3.13.7</t>
        </is>
      </c>
      <c r="I96" s="406" t="inlineStr">
        <is>
          <t>Prevent remote devices from simultaneously establishing non-remote connections with organizational systems and communicating via some other connection to resources in external networks (i.e., split tunneling).</t>
        </is>
      </c>
      <c r="J96" s="407" t="n">
        <v>1</v>
      </c>
      <c r="K96" s="438" t="n"/>
      <c r="L96" s="800" t="n"/>
      <c r="M96" s="410" t="inlineStr">
        <is>
          <t>Not Yet Assessed</t>
        </is>
      </c>
      <c r="N96" s="420" t="n"/>
      <c r="O96" s="412">
        <f t="array" ref="O96">IF(M96&lt;&gt;"Fully Implemented",-1*J96,0)</f>
        <v/>
      </c>
      <c r="P96" s="384" t="n"/>
      <c r="Q96" s="320" t="n"/>
      <c r="R96" s="47" t="n"/>
      <c r="S96" s="47" t="n"/>
      <c r="T96" s="48" t="n"/>
    </row>
    <row r="97" ht="63" customHeight="1" s="566">
      <c r="A97" s="425" t="n"/>
      <c r="B97" s="425" t="n"/>
      <c r="C97" s="425" t="n"/>
      <c r="D97" s="425" t="n"/>
      <c r="E97" s="426" t="n"/>
      <c r="F97" s="427" t="n"/>
      <c r="G97" s="913" t="n"/>
      <c r="H97" s="405" t="inlineStr">
        <is>
          <t>3.13.8</t>
        </is>
      </c>
      <c r="I97" s="406" t="inlineStr">
        <is>
          <t>Implement cryptographic mechanisms to prevent unauthorized disclosure of CUI during transmission unless otherwise protected by alternative physical safeguards.</t>
        </is>
      </c>
      <c r="J97" s="407" t="n">
        <v>3</v>
      </c>
      <c r="K97" s="438" t="n"/>
      <c r="L97" s="800" t="n"/>
      <c r="M97" s="410" t="inlineStr">
        <is>
          <t>Not Yet Assessed</t>
        </is>
      </c>
      <c r="N97" s="420" t="n"/>
      <c r="O97" s="412">
        <f t="array" ref="O97">IF(M97&lt;&gt;"Fully Implemented",-1*J97,0)</f>
        <v/>
      </c>
      <c r="P97" s="384" t="n"/>
      <c r="Q97" s="320" t="n"/>
      <c r="R97" s="47" t="n"/>
      <c r="S97" s="47" t="n"/>
      <c r="T97" s="48" t="n"/>
    </row>
    <row r="98" ht="63" customHeight="1" s="566">
      <c r="A98" s="425" t="n"/>
      <c r="B98" s="425" t="n"/>
      <c r="C98" s="425" t="n"/>
      <c r="D98" s="425" t="n"/>
      <c r="E98" s="426" t="n"/>
      <c r="F98" s="427" t="n"/>
      <c r="G98" s="913" t="n"/>
      <c r="H98" s="405" t="inlineStr">
        <is>
          <t>3.13.9</t>
        </is>
      </c>
      <c r="I98" s="406" t="inlineStr">
        <is>
          <t>Terminate network connections associated with communications sessions at the end of the sessions or after a defined period of inactivity.</t>
        </is>
      </c>
      <c r="J98" s="407" t="n">
        <v>1</v>
      </c>
      <c r="K98" s="438" t="n"/>
      <c r="L98" s="800" t="n"/>
      <c r="M98" s="410" t="inlineStr">
        <is>
          <t>Not Yet Assessed</t>
        </is>
      </c>
      <c r="N98" s="420" t="n"/>
      <c r="O98" s="412">
        <f t="array" ref="O98">IF(M98&lt;&gt;"Fully Implemented",-1*J98,0)</f>
        <v/>
      </c>
      <c r="P98" s="384" t="n"/>
      <c r="Q98" s="320" t="n"/>
      <c r="R98" s="47" t="n"/>
      <c r="S98" s="47" t="n"/>
      <c r="T98" s="48" t="n"/>
    </row>
    <row r="99" ht="47.25" customHeight="1" s="566">
      <c r="A99" s="425" t="n"/>
      <c r="B99" s="425" t="n"/>
      <c r="C99" s="425" t="n"/>
      <c r="D99" s="425" t="n"/>
      <c r="E99" s="426" t="n"/>
      <c r="F99" s="427" t="n"/>
      <c r="G99" s="913" t="n"/>
      <c r="H99" s="421" t="n">
        <v>40250</v>
      </c>
      <c r="I99" s="406" t="inlineStr">
        <is>
          <t>Establish and manage cryptographic keys for cryptography employed in organizational systems.</t>
        </is>
      </c>
      <c r="J99" s="407" t="n">
        <v>1</v>
      </c>
      <c r="K99" s="408" t="n"/>
      <c r="L99" s="409" t="n"/>
      <c r="M99" s="410" t="inlineStr">
        <is>
          <t>Not Yet Assessed</t>
        </is>
      </c>
      <c r="N99" s="420" t="n"/>
      <c r="O99" s="412">
        <f t="array" ref="O99">IF(M99&lt;&gt;"Fully Implemented",-1*J99,0)</f>
        <v/>
      </c>
      <c r="P99" s="384" t="n"/>
      <c r="Q99" s="320" t="n"/>
      <c r="R99" s="47" t="n"/>
      <c r="S99" s="47" t="n"/>
      <c r="T99" s="48" t="n"/>
    </row>
    <row r="100" ht="63" customHeight="1" s="566">
      <c r="A100" s="425" t="n"/>
      <c r="B100" s="425" t="n"/>
      <c r="C100" s="425" t="n"/>
      <c r="D100" s="425" t="n"/>
      <c r="E100" s="426" t="n"/>
      <c r="F100" s="427" t="n"/>
      <c r="G100" s="913" t="n"/>
      <c r="H100" s="421" t="n">
        <v>40615</v>
      </c>
      <c r="I100" s="406" t="inlineStr">
        <is>
          <t>Employ FIPS-validated cryptography when used to protect the confidentiality of CUI.</t>
        </is>
      </c>
      <c r="J100" s="441" t="inlineStr">
        <is>
          <t>3 to 5</t>
        </is>
      </c>
      <c r="K100" s="406" t="inlineStr">
        <is>
          <t>Subtract 5 points if no cryptography is employed; 3 points if mostly not FIPS validated</t>
        </is>
      </c>
      <c r="L100" s="800" t="n"/>
      <c r="M100" s="410" t="inlineStr">
        <is>
          <t>Not Yet Assessed</t>
        </is>
      </c>
      <c r="N100" s="420" t="n"/>
      <c r="O100" s="412">
        <f t="array" ref="O100">IF(M100="CUI is encrypted but not using FIPS-validated cryptography",-3,IF(M100="All CUI is encrypted using FIPS-validated cryptography",0,-5))</f>
        <v/>
      </c>
      <c r="P100" s="384" t="n"/>
      <c r="Q100" s="320" t="n"/>
      <c r="R100" s="47" t="n"/>
      <c r="S100" s="47" t="n"/>
      <c r="T100" s="48" t="n"/>
    </row>
    <row r="101" ht="47.25" customHeight="1" s="566">
      <c r="A101" s="425" t="n"/>
      <c r="B101" s="425" t="n"/>
      <c r="C101" s="425" t="n"/>
      <c r="D101" s="425" t="n"/>
      <c r="E101" s="426" t="n"/>
      <c r="F101" s="427" t="n"/>
      <c r="G101" s="913" t="n"/>
      <c r="H101" s="421" t="n">
        <v>40981</v>
      </c>
      <c r="I101" s="406" t="inlineStr">
        <is>
          <t>Prohibit remote activation of collaborative computing devices and provide indication of devices in use to users present at the device.</t>
        </is>
      </c>
      <c r="J101" s="407" t="n">
        <v>1</v>
      </c>
      <c r="K101" s="408" t="n"/>
      <c r="L101" s="409" t="n"/>
      <c r="M101" s="410" t="inlineStr">
        <is>
          <t>Not Yet Assessed</t>
        </is>
      </c>
      <c r="N101" s="420" t="n"/>
      <c r="O101" s="412">
        <f t="array" ref="O101">IF(M101&lt;&gt;"Fully Implemented",-1*J101,0)</f>
        <v/>
      </c>
      <c r="P101" s="384" t="n"/>
      <c r="Q101" s="320" t="n"/>
      <c r="R101" s="47" t="n"/>
      <c r="S101" s="47" t="n"/>
      <c r="T101" s="48" t="n"/>
    </row>
    <row r="102" ht="15.75" customHeight="1" s="566">
      <c r="A102" s="425" t="n"/>
      <c r="B102" s="425" t="n"/>
      <c r="C102" s="425" t="n"/>
      <c r="D102" s="425" t="n"/>
      <c r="E102" s="426" t="n"/>
      <c r="F102" s="427" t="n"/>
      <c r="G102" s="913" t="n"/>
      <c r="H102" s="421" t="n">
        <v>41346</v>
      </c>
      <c r="I102" s="406" t="inlineStr">
        <is>
          <t>Control and monitor the use of mobile code.</t>
        </is>
      </c>
      <c r="J102" s="407" t="n">
        <v>1</v>
      </c>
      <c r="K102" s="417" t="n"/>
      <c r="L102" s="418" t="n"/>
      <c r="M102" s="410" t="inlineStr">
        <is>
          <t>Not Yet Assessed</t>
        </is>
      </c>
      <c r="N102" s="419" t="n"/>
      <c r="O102" s="412">
        <f t="array" ref="O102">IF(M102&lt;&gt;"Fully Implemented",-1*J102,0)</f>
        <v/>
      </c>
      <c r="P102" s="384" t="n"/>
      <c r="Q102" s="320" t="n"/>
      <c r="R102" s="47" t="n"/>
      <c r="S102" s="47" t="n"/>
      <c r="T102" s="48" t="n"/>
    </row>
    <row r="103" ht="31.5" customHeight="1" s="566">
      <c r="A103" s="425" t="n"/>
      <c r="B103" s="425" t="n"/>
      <c r="C103" s="425" t="n"/>
      <c r="D103" s="425" t="n"/>
      <c r="E103" s="426" t="n"/>
      <c r="F103" s="427" t="n"/>
      <c r="G103" s="913" t="n"/>
      <c r="H103" s="421" t="n">
        <v>41711</v>
      </c>
      <c r="I103" s="406" t="inlineStr">
        <is>
          <t>Control and monitor the use of Voice over Internet Protocol (VoIP) technologies.</t>
        </is>
      </c>
      <c r="J103" s="407" t="n">
        <v>1</v>
      </c>
      <c r="K103" s="408" t="n"/>
      <c r="L103" s="409" t="n"/>
      <c r="M103" s="410" t="inlineStr">
        <is>
          <t>Not Yet Assessed</t>
        </is>
      </c>
      <c r="N103" s="416" t="n"/>
      <c r="O103" s="412">
        <f t="array" ref="O103">IF(M103&lt;&gt;"Fully Implemented",-1*J103,0)</f>
        <v/>
      </c>
      <c r="P103" s="384" t="n"/>
      <c r="Q103" s="320" t="n"/>
      <c r="R103" s="47" t="n"/>
      <c r="S103" s="47" t="n"/>
      <c r="T103" s="48" t="n"/>
    </row>
    <row r="104" ht="31.5" customHeight="1" s="566">
      <c r="A104" s="425" t="n"/>
      <c r="B104" s="425" t="n"/>
      <c r="C104" s="425" t="n"/>
      <c r="D104" s="425" t="n"/>
      <c r="E104" s="426" t="n"/>
      <c r="F104" s="427" t="n"/>
      <c r="G104" s="913" t="n"/>
      <c r="H104" s="421" t="n">
        <v>42076</v>
      </c>
      <c r="I104" s="406" t="inlineStr">
        <is>
          <t>Protect the authenticity of communications sessions.</t>
        </is>
      </c>
      <c r="J104" s="407" t="n">
        <v>5</v>
      </c>
      <c r="K104" s="408" t="n"/>
      <c r="L104" s="409" t="n"/>
      <c r="M104" s="410" t="inlineStr">
        <is>
          <t>Not Yet Assessed</t>
        </is>
      </c>
      <c r="N104" s="416" t="n"/>
      <c r="O104" s="412">
        <f t="array" ref="O104">IF(M104&lt;&gt;"Fully Implemented",-1*J104,0)</f>
        <v/>
      </c>
      <c r="P104" s="384" t="n"/>
      <c r="Q104" s="320" t="n"/>
      <c r="R104" s="47" t="n"/>
      <c r="S104" s="47" t="n"/>
      <c r="T104" s="48" t="n"/>
    </row>
    <row r="105" ht="16.5" customHeight="1" s="566">
      <c r="A105" s="425" t="n"/>
      <c r="B105" s="425" t="n"/>
      <c r="C105" s="425" t="n"/>
      <c r="D105" s="425" t="n"/>
      <c r="E105" s="426" t="n"/>
      <c r="F105" s="427" t="n"/>
      <c r="G105" s="914" t="n"/>
      <c r="H105" s="442" t="n">
        <v>42442</v>
      </c>
      <c r="I105" s="429" t="inlineStr">
        <is>
          <t>Protect the confidentiality of CUI at rest.</t>
        </is>
      </c>
      <c r="J105" s="430" t="n">
        <v>1</v>
      </c>
      <c r="K105" s="439" t="n"/>
      <c r="L105" s="440" t="n"/>
      <c r="M105" s="433" t="inlineStr">
        <is>
          <t>Not Yet Assessed</t>
        </is>
      </c>
      <c r="N105" s="445" t="n"/>
      <c r="O105" s="435">
        <f t="array" ref="O105">IF(M105&lt;&gt;"Fully Implemented",-1*J105,0)</f>
        <v/>
      </c>
      <c r="P105" s="384" t="n"/>
      <c r="Q105" s="320" t="n"/>
      <c r="R105" s="47" t="n"/>
      <c r="S105" s="47" t="n"/>
      <c r="T105" s="48" t="n"/>
    </row>
    <row r="106" ht="31.5" customHeight="1" s="566">
      <c r="A106" s="425" t="n"/>
      <c r="B106" s="425" t="n"/>
      <c r="C106" s="425" t="n"/>
      <c r="D106" s="425" t="n"/>
      <c r="E106" s="426" t="n"/>
      <c r="F106" s="427" t="n"/>
      <c r="G106" s="912" t="inlineStr">
        <is>
          <t>System and Information Integrity</t>
        </is>
      </c>
      <c r="H106" s="392" t="inlineStr">
        <is>
          <t>3.14.1*</t>
        </is>
      </c>
      <c r="I106" s="393" t="inlineStr">
        <is>
          <t>Identify, report, and correct system flaws in a timely manner.</t>
        </is>
      </c>
      <c r="J106" s="394" t="n">
        <v>5</v>
      </c>
      <c r="K106" s="395" t="n"/>
      <c r="L106" s="396" t="n"/>
      <c r="M106" s="397" t="inlineStr">
        <is>
          <t>Not Yet Assessed</t>
        </is>
      </c>
      <c r="N106" s="446" t="n"/>
      <c r="O106" s="399">
        <f t="array" ref="O106">IF(M106&lt;&gt;"Fully Implemented",-1*J106,0)</f>
        <v/>
      </c>
      <c r="P106" s="384" t="n"/>
      <c r="Q106" s="320" t="n"/>
      <c r="R106" s="47" t="n"/>
      <c r="S106" s="47" t="n"/>
      <c r="T106" s="48" t="n"/>
    </row>
    <row r="107" ht="47.25" customHeight="1" s="566">
      <c r="A107" s="425" t="n"/>
      <c r="B107" s="425" t="n"/>
      <c r="C107" s="425" t="n"/>
      <c r="D107" s="425" t="n"/>
      <c r="E107" s="426" t="n"/>
      <c r="F107" s="427" t="n"/>
      <c r="G107" s="913" t="n"/>
      <c r="H107" s="405" t="inlineStr">
        <is>
          <t>3.14.2*</t>
        </is>
      </c>
      <c r="I107" s="406" t="inlineStr">
        <is>
          <t>Provide protection from malicious code at designated locations within organizational systems.</t>
        </is>
      </c>
      <c r="J107" s="407" t="n">
        <v>5</v>
      </c>
      <c r="K107" s="408" t="n"/>
      <c r="L107" s="409" t="n"/>
      <c r="M107" s="410" t="inlineStr">
        <is>
          <t>Not Yet Assessed</t>
        </is>
      </c>
      <c r="N107" s="416" t="n"/>
      <c r="O107" s="412">
        <f t="array" ref="O107">IF(M107&lt;&gt;"Fully Implemented",-1*J107,0)</f>
        <v/>
      </c>
      <c r="P107" s="384" t="n"/>
      <c r="Q107" s="320" t="n"/>
      <c r="R107" s="47" t="n"/>
      <c r="S107" s="47" t="n"/>
      <c r="T107" s="48" t="n"/>
    </row>
    <row r="108" ht="31.5" customHeight="1" s="566">
      <c r="A108" s="425" t="n"/>
      <c r="B108" s="425" t="n"/>
      <c r="C108" s="425" t="n"/>
      <c r="D108" s="425" t="n"/>
      <c r="E108" s="426" t="n"/>
      <c r="F108" s="427" t="n"/>
      <c r="G108" s="913" t="n"/>
      <c r="H108" s="405" t="inlineStr">
        <is>
          <t>3.14.3</t>
        </is>
      </c>
      <c r="I108" s="406" t="inlineStr">
        <is>
          <t>Monitor system security alerts and advisories and take action in response.</t>
        </is>
      </c>
      <c r="J108" s="407" t="n">
        <v>5</v>
      </c>
      <c r="K108" s="408" t="n"/>
      <c r="L108" s="409" t="n"/>
      <c r="M108" s="410" t="inlineStr">
        <is>
          <t>Not Yet Assessed</t>
        </is>
      </c>
      <c r="N108" s="416" t="n"/>
      <c r="O108" s="412">
        <f t="array" ref="O108">IF(M108&lt;&gt;"Fully Implemented",-1*J108,0)</f>
        <v/>
      </c>
      <c r="P108" s="384" t="n"/>
      <c r="Q108" s="320" t="n"/>
      <c r="R108" s="47" t="n"/>
      <c r="S108" s="47" t="n"/>
      <c r="T108" s="48" t="n"/>
    </row>
    <row r="109" ht="31.5" customHeight="1" s="566">
      <c r="A109" s="425" t="n"/>
      <c r="B109" s="425" t="n"/>
      <c r="C109" s="425" t="n"/>
      <c r="D109" s="425" t="n"/>
      <c r="E109" s="426" t="n"/>
      <c r="F109" s="427" t="n"/>
      <c r="G109" s="913" t="n"/>
      <c r="H109" s="405" t="inlineStr">
        <is>
          <t>3.14.4*</t>
        </is>
      </c>
      <c r="I109" s="406" t="inlineStr">
        <is>
          <t>Update malicious code protection mechanisms when new releases are available.</t>
        </is>
      </c>
      <c r="J109" s="407" t="n">
        <v>5</v>
      </c>
      <c r="K109" s="408" t="n"/>
      <c r="L109" s="409" t="n"/>
      <c r="M109" s="410" t="inlineStr">
        <is>
          <t>Not Yet Assessed</t>
        </is>
      </c>
      <c r="N109" s="416" t="n"/>
      <c r="O109" s="412">
        <f t="array" ref="O109">IF(M109&lt;&gt;"Fully Implemented",-1*J109,0)</f>
        <v/>
      </c>
      <c r="P109" s="384" t="n"/>
      <c r="Q109" s="320" t="n"/>
      <c r="R109" s="47" t="n"/>
      <c r="S109" s="47" t="n"/>
      <c r="T109" s="48" t="n"/>
    </row>
    <row r="110" ht="63" customHeight="1" s="566">
      <c r="A110" s="425" t="n"/>
      <c r="B110" s="425" t="n"/>
      <c r="C110" s="425" t="n"/>
      <c r="D110" s="425" t="n"/>
      <c r="E110" s="426" t="n"/>
      <c r="F110" s="427" t="n"/>
      <c r="G110" s="913" t="n"/>
      <c r="H110" s="405" t="inlineStr">
        <is>
          <t>3.14.5*</t>
        </is>
      </c>
      <c r="I110" s="406" t="inlineStr">
        <is>
          <t>Perform periodic scans of organizational systems and real-time scans of files from external sources as files are downloaded, opened, or executed.</t>
        </is>
      </c>
      <c r="J110" s="407" t="n">
        <v>3</v>
      </c>
      <c r="K110" s="438" t="n"/>
      <c r="L110" s="800" t="n"/>
      <c r="M110" s="410" t="inlineStr">
        <is>
          <t>Not Yet Assessed</t>
        </is>
      </c>
      <c r="N110" s="447" t="n"/>
      <c r="O110" s="412">
        <f t="array" ref="O110">IF(M110&lt;&gt;"Fully Implemented",-1*J110,0)</f>
        <v/>
      </c>
      <c r="P110" s="384" t="n"/>
      <c r="Q110" s="320" t="n"/>
      <c r="R110" s="47" t="n"/>
      <c r="S110" s="47" t="n"/>
      <c r="T110" s="48" t="n"/>
    </row>
    <row r="111" ht="63" customHeight="1" s="566">
      <c r="A111" s="425" t="n"/>
      <c r="B111" s="425" t="n"/>
      <c r="C111" s="425" t="n"/>
      <c r="D111" s="425" t="n"/>
      <c r="E111" s="426" t="n"/>
      <c r="F111" s="427" t="n"/>
      <c r="G111" s="913" t="n"/>
      <c r="H111" s="405" t="inlineStr">
        <is>
          <t>3.14.6</t>
        </is>
      </c>
      <c r="I111" s="406" t="inlineStr">
        <is>
          <t>Monitor organizational systems, including inbound and outbound communications traffic, to detect attacks and indicators of potential attacks.</t>
        </is>
      </c>
      <c r="J111" s="407" t="n">
        <v>5</v>
      </c>
      <c r="K111" s="438" t="n"/>
      <c r="L111" s="800" t="n"/>
      <c r="M111" s="410" t="inlineStr">
        <is>
          <t>Not Yet Assessed</t>
        </is>
      </c>
      <c r="N111" s="447" t="n"/>
      <c r="O111" s="412">
        <f t="array" ref="O111">IF(M111&lt;&gt;"Fully Implemented",-1*J111,0)</f>
        <v/>
      </c>
      <c r="P111" s="384" t="n"/>
      <c r="Q111" s="320" t="n"/>
      <c r="R111" s="47" t="n"/>
      <c r="S111" s="47" t="n"/>
      <c r="T111" s="48" t="n"/>
    </row>
    <row r="112" ht="32.1" customHeight="1" s="566">
      <c r="A112" s="425" t="n"/>
      <c r="B112" s="425" t="n"/>
      <c r="C112" s="425" t="n"/>
      <c r="D112" s="425" t="n"/>
      <c r="E112" s="426" t="n"/>
      <c r="F112" s="427" t="n"/>
      <c r="G112" s="914" t="n"/>
      <c r="H112" s="428" t="inlineStr">
        <is>
          <t>3.14.7</t>
        </is>
      </c>
      <c r="I112" s="429" t="inlineStr">
        <is>
          <t>Identify unauthorized use of organizational systems</t>
        </is>
      </c>
      <c r="J112" s="430" t="n">
        <v>3</v>
      </c>
      <c r="K112" s="431" t="n"/>
      <c r="L112" s="432" t="n"/>
      <c r="M112" s="433" t="inlineStr">
        <is>
          <t>Not Yet Assessed</t>
        </is>
      </c>
      <c r="N112" s="448" t="n"/>
      <c r="O112" s="435">
        <f t="array" ref="O112">IF(M112&lt;&gt;"Fully Implemented",-1*J112,0)</f>
        <v/>
      </c>
      <c r="P112" s="384" t="n"/>
      <c r="Q112" s="325" t="n"/>
      <c r="R112" s="52" t="n"/>
      <c r="S112" s="52" t="n"/>
      <c r="T112" s="53" t="n"/>
    </row>
    <row r="113" ht="47.1" customHeight="1" s="566">
      <c r="A113" s="425" t="n"/>
      <c r="B113" s="425" t="n"/>
      <c r="C113" s="425" t="n"/>
      <c r="D113" s="425" t="n"/>
      <c r="E113" s="426" t="n"/>
      <c r="F113" s="449" t="n"/>
      <c r="G113" s="450" t="n"/>
      <c r="H113" s="817" t="inlineStr">
        <is>
          <t>* Basic safeguarding requirements and procedures to protect covered contractor information systems per Federal Acquisition Regulation (FAR) clause 52.204-21, Basic Safeguarding of Covered Contractor Information Systems.</t>
        </is>
      </c>
      <c r="I113" s="887" t="n"/>
      <c r="J113" s="887" t="n"/>
      <c r="K113" s="887" t="n"/>
      <c r="L113" s="887" t="n"/>
      <c r="M113" s="887" t="n"/>
      <c r="N113" s="887" t="n"/>
      <c r="O113" s="902" t="n"/>
      <c r="P113" s="253" t="n"/>
      <c r="Q113" s="70" t="n"/>
      <c r="R113" s="70" t="n"/>
      <c r="S113" s="70" t="n"/>
      <c r="T113" s="70" t="n"/>
    </row>
  </sheetData>
  <mergeCells count="19">
    <mergeCell ref="G28:G36"/>
    <mergeCell ref="G66:G74"/>
    <mergeCell ref="G83:G85"/>
    <mergeCell ref="G86:G89"/>
    <mergeCell ref="H1:O1"/>
    <mergeCell ref="G77:G82"/>
    <mergeCell ref="A1:E1"/>
    <mergeCell ref="G37:G45"/>
    <mergeCell ref="H113:O113"/>
    <mergeCell ref="G3:G24"/>
    <mergeCell ref="G25:G27"/>
    <mergeCell ref="G106:G112"/>
    <mergeCell ref="H2:I2"/>
    <mergeCell ref="G90:G105"/>
    <mergeCell ref="G57:G59"/>
    <mergeCell ref="G46:G56"/>
    <mergeCell ref="G75:G76"/>
    <mergeCell ref="G60:G65"/>
    <mergeCell ref="Q1:T1"/>
  </mergeCells>
  <dataValidations count="3">
    <dataValidation sqref="M3:M47 M49:M99 M101:M112" showDropDown="0" showInputMessage="1" showErrorMessage="1" allowBlank="1" type="list">
      <formula1>"Fully Implemented,Implementation Begun,Implementation Planned,Not Yet Addressed,Not Yet Assessed"</formula1>
    </dataValidation>
    <dataValidation sqref="M48" showDropDown="0" showInputMessage="1" showErrorMessage="1" allowBlank="1" type="list">
      <formula1>"Fully Implemented,Implemented for Remote and Privileged Users,Implementation Planned,Not Yet Addressed,Not Yet Assessed"</formula1>
    </dataValidation>
    <dataValidation sqref="M100" showDropDown="0" showInputMessage="1" showErrorMessage="1" allowBlank="1" type="list">
      <formula1>"All CUI is encrypted using FIPS-validated cryptography,CUI is encrypted but not using FIPS-validated cryptography,CUI is not encrypted,Not Yet Addressed,Not Yet Assessed"</formula1>
    </dataValidation>
  </dataValidations>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24.xml><?xml version="1.0" encoding="utf-8"?>
<worksheet xmlns="http://schemas.openxmlformats.org/spreadsheetml/2006/main">
  <sheetPr>
    <outlinePr summaryBelow="1" summaryRight="1"/>
    <pageSetUpPr/>
  </sheetPr>
  <dimension ref="A1:V115"/>
  <sheetViews>
    <sheetView showGridLines="0" topLeftCell="L1" workbookViewId="0">
      <selection activeCell="A1" sqref="A1"/>
    </sheetView>
  </sheetViews>
  <sheetFormatPr baseColWidth="8" defaultColWidth="9" defaultRowHeight="15.75" customHeight="1"/>
  <cols>
    <col width="64.33203125" customWidth="1" style="1" min="1" max="1"/>
    <col width="9" customWidth="1" style="1" min="2" max="6"/>
    <col width="25" customWidth="1" style="1" min="7" max="7"/>
    <col width="9" customWidth="1" style="1" min="8" max="8"/>
    <col width="14.83203125" customWidth="1" style="1" min="9" max="9"/>
    <col width="11.6640625" customWidth="1" style="1" min="10" max="10"/>
    <col width="12.6640625" customWidth="1" style="1" min="11" max="11"/>
    <col width="13" customWidth="1" style="1" min="12" max="12"/>
    <col width="11.83203125" customWidth="1" style="1" min="13" max="13"/>
    <col width="11" customWidth="1" style="1" min="14" max="14"/>
    <col width="36.6640625" customWidth="1" style="1" min="15" max="15"/>
    <col width="16" customWidth="1" style="1" min="16" max="16"/>
    <col width="9" customWidth="1" style="1" min="17" max="19"/>
    <col width="17" customWidth="1" style="1" min="20" max="20"/>
    <col width="9" customWidth="1" style="1" min="21" max="21"/>
    <col width="42.1640625" customWidth="1" style="1" min="22" max="22"/>
    <col width="9" customWidth="1" style="1" min="23" max="23"/>
    <col width="9" customWidth="1" style="1" min="24" max="16384"/>
  </cols>
  <sheetData>
    <row r="1" ht="16.5" customHeight="1" s="566">
      <c r="A1" s="451" t="inlineStr">
        <is>
          <t>Fully Implemented</t>
        </is>
      </c>
      <c r="B1" s="452" t="n"/>
      <c r="C1" s="839" t="inlineStr">
        <is>
          <t>TM</t>
        </is>
      </c>
      <c r="D1" s="858" t="n"/>
      <c r="E1" s="858" t="n"/>
      <c r="F1" s="858" t="n"/>
      <c r="G1" s="860" t="n"/>
      <c r="H1" s="39" t="n"/>
      <c r="I1" s="453" t="n"/>
      <c r="J1" s="453" t="n"/>
      <c r="K1" s="453" t="n"/>
      <c r="L1" s="453" t="n"/>
      <c r="M1" s="453" t="n"/>
      <c r="N1" s="453" t="n"/>
      <c r="O1" s="453" t="n"/>
      <c r="P1" s="453" t="n"/>
      <c r="Q1" s="40" t="n"/>
      <c r="R1" s="40" t="n"/>
      <c r="S1" s="40" t="n"/>
      <c r="T1" s="453" t="n"/>
      <c r="U1" s="453" t="n"/>
      <c r="V1" s="453" t="n"/>
    </row>
    <row r="2" ht="45.75" customHeight="1" s="566">
      <c r="A2" s="454" t="inlineStr">
        <is>
          <t>Implementation Begun</t>
        </is>
      </c>
      <c r="B2" s="452" t="n"/>
      <c r="C2" s="861" t="n"/>
      <c r="G2" s="863" t="n"/>
      <c r="H2" s="452" t="n"/>
      <c r="I2" s="455" t="inlineStr">
        <is>
          <t>FAR and Above Order</t>
        </is>
      </c>
      <c r="J2" s="455" t="inlineStr">
        <is>
          <t>NIST SP 
800-171 Control</t>
        </is>
      </c>
      <c r="K2" s="455" t="inlineStr">
        <is>
          <t>NIST Sort Order</t>
        </is>
      </c>
      <c r="L2" s="455" t="inlineStr">
        <is>
          <t>NIST SP 800-171 Basic or Derived</t>
        </is>
      </c>
      <c r="M2" s="455" t="inlineStr">
        <is>
          <t>DoD Score Value</t>
        </is>
      </c>
      <c r="N2" s="455" t="inlineStr">
        <is>
          <t>CMMC Domain Abbrev.</t>
        </is>
      </c>
      <c r="O2" s="455" t="inlineStr">
        <is>
          <t>CMMC Domain Desc.</t>
        </is>
      </c>
      <c r="P2" s="455" t="inlineStr">
        <is>
          <t>CMMC Practice</t>
        </is>
      </c>
      <c r="Q2" s="456" t="n"/>
      <c r="R2" s="457" t="n"/>
      <c r="S2" s="458" t="n"/>
      <c r="T2" s="459" t="inlineStr">
        <is>
          <t>NIST Requirement</t>
        </is>
      </c>
      <c r="U2" s="822" t="inlineStr">
        <is>
          <t>NIST Family/CMMC Domain</t>
        </is>
      </c>
      <c r="V2" s="888" t="n"/>
    </row>
    <row r="3" ht="15.95" customHeight="1" s="566">
      <c r="A3" s="454" t="inlineStr">
        <is>
          <t>Implementation Planned</t>
        </is>
      </c>
      <c r="B3" s="452" t="n"/>
      <c r="C3" s="861" t="n"/>
      <c r="G3" s="863" t="n"/>
      <c r="H3" s="452" t="n"/>
      <c r="I3" s="460" t="n">
        <v>1.14</v>
      </c>
      <c r="J3" s="461" t="inlineStr">
        <is>
          <t>3.1.1</t>
        </is>
      </c>
      <c r="K3" s="461" t="inlineStr">
        <is>
          <t>03.01.01.0</t>
        </is>
      </c>
      <c r="L3" s="461" t="inlineStr">
        <is>
          <t>Basic</t>
        </is>
      </c>
      <c r="M3" s="462" t="n">
        <v>5</v>
      </c>
      <c r="N3" s="463" t="inlineStr">
        <is>
          <t>AC</t>
        </is>
      </c>
      <c r="O3" s="463" t="inlineStr">
        <is>
          <t>Access Control</t>
        </is>
      </c>
      <c r="P3" s="464" t="inlineStr">
        <is>
          <t>AC.L1-3.1.1</t>
        </is>
      </c>
      <c r="Q3" s="456" t="n"/>
      <c r="R3" s="457" t="n"/>
      <c r="S3" s="458" t="n"/>
      <c r="T3" s="465" t="inlineStr">
        <is>
          <t>3.1.1</t>
        </is>
      </c>
      <c r="U3" s="463" t="inlineStr">
        <is>
          <t>AC</t>
        </is>
      </c>
      <c r="V3" s="464" t="inlineStr">
        <is>
          <t>Access Cont</t>
        </is>
      </c>
    </row>
    <row r="4" ht="15.6" customHeight="1" s="566">
      <c r="A4" s="454" t="inlineStr">
        <is>
          <t>Not Yet Addressed</t>
        </is>
      </c>
      <c r="B4" s="452" t="n"/>
      <c r="C4" s="861" t="n"/>
      <c r="G4" s="863" t="n"/>
      <c r="H4" s="452" t="n"/>
      <c r="I4" s="466" t="n">
        <v>1.15</v>
      </c>
      <c r="J4" s="467" t="inlineStr">
        <is>
          <t>3.1.2</t>
        </is>
      </c>
      <c r="K4" s="467" t="inlineStr">
        <is>
          <t>03.01.02.0</t>
        </is>
      </c>
      <c r="L4" s="467" t="inlineStr">
        <is>
          <t>Basic</t>
        </is>
      </c>
      <c r="M4" s="468" t="n">
        <v>5</v>
      </c>
      <c r="N4" s="469" t="inlineStr">
        <is>
          <t>AC</t>
        </is>
      </c>
      <c r="O4" s="469" t="inlineStr">
        <is>
          <t>Access Control</t>
        </is>
      </c>
      <c r="P4" s="470" t="inlineStr">
        <is>
          <t>AC.L1-3.1.2</t>
        </is>
      </c>
      <c r="Q4" s="456" t="n"/>
      <c r="R4" s="457" t="n"/>
      <c r="S4" s="458" t="n"/>
      <c r="T4" s="471" t="inlineStr">
        <is>
          <t>3.2.1</t>
        </is>
      </c>
      <c r="U4" s="469" t="inlineStr">
        <is>
          <t>AT</t>
        </is>
      </c>
      <c r="V4" s="470" t="inlineStr">
        <is>
          <t>Awareness and Training</t>
        </is>
      </c>
    </row>
    <row r="5" ht="16.5" customHeight="1" s="566">
      <c r="A5" s="472" t="inlineStr">
        <is>
          <t>Not Yet Assessed</t>
        </is>
      </c>
      <c r="B5" s="452" t="n"/>
      <c r="C5" s="861" t="n"/>
      <c r="G5" s="863" t="n"/>
      <c r="H5" s="452" t="n"/>
      <c r="I5" s="473" t="n">
        <v>5.13</v>
      </c>
      <c r="J5" s="467" t="inlineStr">
        <is>
          <t>3.1.3</t>
        </is>
      </c>
      <c r="K5" s="467" t="inlineStr">
        <is>
          <t>03.01.03.0</t>
        </is>
      </c>
      <c r="L5" s="467" t="inlineStr">
        <is>
          <t>Derived</t>
        </is>
      </c>
      <c r="M5" s="468" t="n">
        <v>1</v>
      </c>
      <c r="N5" s="469" t="inlineStr">
        <is>
          <t>AC</t>
        </is>
      </c>
      <c r="O5" s="469" t="inlineStr">
        <is>
          <t>Access Control</t>
        </is>
      </c>
      <c r="P5" s="470" t="inlineStr">
        <is>
          <t>AC.L2-3.1.3</t>
        </is>
      </c>
      <c r="Q5" s="456" t="n"/>
      <c r="R5" s="457" t="n"/>
      <c r="S5" s="458" t="n"/>
      <c r="T5" s="471" t="inlineStr">
        <is>
          <t>3.3.1</t>
        </is>
      </c>
      <c r="U5" s="469" t="inlineStr">
        <is>
          <t>AU</t>
        </is>
      </c>
      <c r="V5" s="470" t="inlineStr">
        <is>
          <t>Autdit and Accountability</t>
        </is>
      </c>
    </row>
    <row r="6" ht="16.5" customHeight="1" s="566">
      <c r="A6" s="69" t="n"/>
      <c r="B6" s="474" t="n"/>
      <c r="C6" s="861" t="n"/>
      <c r="G6" s="863" t="n"/>
      <c r="H6" s="452" t="n"/>
      <c r="I6" s="475" t="n">
        <v>3.16</v>
      </c>
      <c r="J6" s="467" t="inlineStr">
        <is>
          <t>3.1.4</t>
        </is>
      </c>
      <c r="K6" s="467" t="inlineStr">
        <is>
          <t>03.01.04.0</t>
        </is>
      </c>
      <c r="L6" s="467" t="inlineStr">
        <is>
          <t>Derived</t>
        </is>
      </c>
      <c r="M6" s="468" t="n">
        <v>1</v>
      </c>
      <c r="N6" s="469" t="inlineStr">
        <is>
          <t>AC</t>
        </is>
      </c>
      <c r="O6" s="469" t="inlineStr">
        <is>
          <t>Access Control</t>
        </is>
      </c>
      <c r="P6" s="470" t="inlineStr">
        <is>
          <t>AC.L2-3.1.4</t>
        </is>
      </c>
      <c r="Q6" s="456" t="n"/>
      <c r="R6" s="457" t="n"/>
      <c r="S6" s="458" t="n"/>
      <c r="T6" s="471" t="inlineStr">
        <is>
          <t>3.4.1</t>
        </is>
      </c>
      <c r="U6" s="469" t="inlineStr">
        <is>
          <t>CM</t>
        </is>
      </c>
      <c r="V6" s="470" t="inlineStr">
        <is>
          <t>Configuration Management</t>
        </is>
      </c>
    </row>
    <row r="7" ht="15.95" customHeight="1" s="566">
      <c r="A7" s="451" t="inlineStr">
        <is>
          <t>Fully Implemented</t>
        </is>
      </c>
      <c r="B7" s="452" t="n"/>
      <c r="C7" s="861" t="n"/>
      <c r="G7" s="863" t="n"/>
      <c r="H7" s="452" t="n"/>
      <c r="I7" s="475" t="n">
        <v>3.17</v>
      </c>
      <c r="J7" s="467" t="inlineStr">
        <is>
          <t>3.1.5</t>
        </is>
      </c>
      <c r="K7" s="467" t="inlineStr">
        <is>
          <t>03.01.05.0</t>
        </is>
      </c>
      <c r="L7" s="467" t="inlineStr">
        <is>
          <t>Derived</t>
        </is>
      </c>
      <c r="M7" s="468" t="n">
        <v>3</v>
      </c>
      <c r="N7" s="469" t="inlineStr">
        <is>
          <t>AC</t>
        </is>
      </c>
      <c r="O7" s="469" t="inlineStr">
        <is>
          <t>Access Control</t>
        </is>
      </c>
      <c r="P7" s="470" t="inlineStr">
        <is>
          <t>AC.L2-3.1.5</t>
        </is>
      </c>
      <c r="Q7" s="456" t="n"/>
      <c r="R7" s="457" t="n"/>
      <c r="S7" s="458" t="n"/>
      <c r="T7" s="471" t="inlineStr">
        <is>
          <t>3.5.1</t>
        </is>
      </c>
      <c r="U7" s="469" t="inlineStr">
        <is>
          <t>IA</t>
        </is>
      </c>
      <c r="V7" s="470" t="inlineStr">
        <is>
          <t>Identification and Authentication</t>
        </is>
      </c>
    </row>
    <row r="8" ht="15.6" customHeight="1" s="566">
      <c r="A8" s="454" t="inlineStr">
        <is>
          <t>Implemented for Remote and Privileged Users</t>
        </is>
      </c>
      <c r="B8" s="452" t="n"/>
      <c r="C8" s="861" t="n"/>
      <c r="G8" s="863" t="n"/>
      <c r="H8" s="452" t="n"/>
      <c r="I8" s="476" t="n">
        <v>2.09</v>
      </c>
      <c r="J8" s="467" t="inlineStr">
        <is>
          <t>3.1.6</t>
        </is>
      </c>
      <c r="K8" s="467" t="inlineStr">
        <is>
          <t>03.01.06.0</t>
        </is>
      </c>
      <c r="L8" s="467" t="inlineStr">
        <is>
          <t>Derived</t>
        </is>
      </c>
      <c r="M8" s="468" t="n">
        <v>1</v>
      </c>
      <c r="N8" s="469" t="inlineStr">
        <is>
          <t>AC</t>
        </is>
      </c>
      <c r="O8" s="469" t="inlineStr">
        <is>
          <t>Access Control</t>
        </is>
      </c>
      <c r="P8" s="470" t="inlineStr">
        <is>
          <t>AC.L2-3.1.6</t>
        </is>
      </c>
      <c r="Q8" s="456" t="n"/>
      <c r="R8" s="457" t="n"/>
      <c r="S8" s="458" t="n"/>
      <c r="T8" s="471" t="inlineStr">
        <is>
          <t>3.6.1</t>
        </is>
      </c>
      <c r="U8" s="469" t="inlineStr">
        <is>
          <t>IR</t>
        </is>
      </c>
      <c r="V8" s="470" t="inlineStr">
        <is>
          <t>Incident Response</t>
        </is>
      </c>
    </row>
    <row r="9" ht="15.6" customHeight="1" s="566">
      <c r="A9" s="454" t="inlineStr">
        <is>
          <t>Implementation Planned</t>
        </is>
      </c>
      <c r="B9" s="452" t="n"/>
      <c r="C9" s="861" t="n"/>
      <c r="G9" s="863" t="n"/>
      <c r="H9" s="452" t="n"/>
      <c r="I9" s="473" t="n">
        <v>5.03</v>
      </c>
      <c r="J9" s="467" t="inlineStr">
        <is>
          <t>3.1.7</t>
        </is>
      </c>
      <c r="K9" s="467" t="inlineStr">
        <is>
          <t>03.01.07.0</t>
        </is>
      </c>
      <c r="L9" s="467" t="inlineStr">
        <is>
          <t>Derived</t>
        </is>
      </c>
      <c r="M9" s="468" t="n">
        <v>1</v>
      </c>
      <c r="N9" s="469" t="inlineStr">
        <is>
          <t>AC</t>
        </is>
      </c>
      <c r="O9" s="469" t="inlineStr">
        <is>
          <t>Access Control</t>
        </is>
      </c>
      <c r="P9" s="470" t="inlineStr">
        <is>
          <t>AC.L2-3.1.7</t>
        </is>
      </c>
      <c r="Q9" s="456" t="n"/>
      <c r="R9" s="457" t="n"/>
      <c r="S9" s="458" t="n"/>
      <c r="T9" s="471" t="inlineStr">
        <is>
          <t>3.7.1</t>
        </is>
      </c>
      <c r="U9" s="469" t="inlineStr">
        <is>
          <t>MA</t>
        </is>
      </c>
      <c r="V9" s="470" t="inlineStr">
        <is>
          <t>Maintenance</t>
        </is>
      </c>
    </row>
    <row r="10" ht="15.6" customHeight="1" s="566">
      <c r="A10" s="454" t="inlineStr">
        <is>
          <t>Not Yet Addressed</t>
        </is>
      </c>
      <c r="B10" s="452" t="n"/>
      <c r="C10" s="861" t="n"/>
      <c r="G10" s="863" t="n"/>
      <c r="H10" s="452" t="n"/>
      <c r="I10" s="476" t="n">
        <v>2.05</v>
      </c>
      <c r="J10" s="467" t="inlineStr">
        <is>
          <t>3.1.8</t>
        </is>
      </c>
      <c r="K10" s="467" t="inlineStr">
        <is>
          <t>03.01.08.0</t>
        </is>
      </c>
      <c r="L10" s="467" t="inlineStr">
        <is>
          <t>Derived</t>
        </is>
      </c>
      <c r="M10" s="468" t="n">
        <v>1</v>
      </c>
      <c r="N10" s="469" t="inlineStr">
        <is>
          <t>AC</t>
        </is>
      </c>
      <c r="O10" s="469" t="inlineStr">
        <is>
          <t>Access Control</t>
        </is>
      </c>
      <c r="P10" s="470" t="inlineStr">
        <is>
          <t>AC.L2-3.1.8</t>
        </is>
      </c>
      <c r="Q10" s="456" t="n"/>
      <c r="R10" s="457" t="n"/>
      <c r="S10" s="458" t="n"/>
      <c r="T10" s="471" t="inlineStr">
        <is>
          <t>3.8.1</t>
        </is>
      </c>
      <c r="U10" s="469" t="inlineStr">
        <is>
          <t>MP</t>
        </is>
      </c>
      <c r="V10" s="470" t="inlineStr">
        <is>
          <t>Media Protection</t>
        </is>
      </c>
    </row>
    <row r="11" ht="16.5" customHeight="1" s="566">
      <c r="A11" s="472" t="inlineStr">
        <is>
          <t>Not Yet Assessed</t>
        </is>
      </c>
      <c r="B11" s="452" t="n"/>
      <c r="C11" s="861" t="n"/>
      <c r="G11" s="863" t="n"/>
      <c r="H11" s="452" t="n"/>
      <c r="I11" s="473" t="n">
        <v>5.1</v>
      </c>
      <c r="J11" s="467" t="inlineStr">
        <is>
          <t>3.1.9</t>
        </is>
      </c>
      <c r="K11" s="467" t="inlineStr">
        <is>
          <t>03.01.09.0</t>
        </is>
      </c>
      <c r="L11" s="467" t="inlineStr">
        <is>
          <t>Derived</t>
        </is>
      </c>
      <c r="M11" s="468" t="n">
        <v>1</v>
      </c>
      <c r="N11" s="469" t="inlineStr">
        <is>
          <t>AC</t>
        </is>
      </c>
      <c r="O11" s="469" t="inlineStr">
        <is>
          <t>Access Control</t>
        </is>
      </c>
      <c r="P11" s="470" t="inlineStr">
        <is>
          <t>AC.L2-3.1.9</t>
        </is>
      </c>
      <c r="Q11" s="456" t="n"/>
      <c r="R11" s="457" t="n"/>
      <c r="S11" s="458" t="n"/>
      <c r="T11" s="471" t="inlineStr">
        <is>
          <t>3.9.1</t>
        </is>
      </c>
      <c r="U11" s="469" t="inlineStr">
        <is>
          <t>PS</t>
        </is>
      </c>
      <c r="V11" s="470" t="inlineStr">
        <is>
          <t>Personnel Security</t>
        </is>
      </c>
    </row>
    <row r="12" ht="14.1" customHeight="1" s="566">
      <c r="A12" s="70" t="n"/>
      <c r="B12" s="474" t="n"/>
      <c r="C12" s="861" t="n"/>
      <c r="G12" s="863" t="n"/>
      <c r="H12" s="452" t="n"/>
      <c r="I12" s="475" t="n">
        <v>3.15</v>
      </c>
      <c r="J12" s="477" t="inlineStr">
        <is>
          <t>3.1.10</t>
        </is>
      </c>
      <c r="K12" s="467" t="inlineStr">
        <is>
          <t>03.01.10.0</t>
        </is>
      </c>
      <c r="L12" s="467" t="inlineStr">
        <is>
          <t>Derived</t>
        </is>
      </c>
      <c r="M12" s="468" t="n">
        <v>1</v>
      </c>
      <c r="N12" s="469" t="inlineStr">
        <is>
          <t>AC</t>
        </is>
      </c>
      <c r="O12" s="469" t="inlineStr">
        <is>
          <t>Access Control</t>
        </is>
      </c>
      <c r="P12" s="470" t="inlineStr">
        <is>
          <t>AC.L2-3.1.10</t>
        </is>
      </c>
      <c r="Q12" s="456" t="n"/>
      <c r="R12" s="457" t="n"/>
      <c r="S12" s="458" t="n"/>
      <c r="T12" s="471" t="inlineStr">
        <is>
          <t>3.10.1</t>
        </is>
      </c>
      <c r="U12" s="469" t="inlineStr">
        <is>
          <t>PE</t>
        </is>
      </c>
      <c r="V12" s="470" t="inlineStr">
        <is>
          <t>Physical Protection</t>
        </is>
      </c>
    </row>
    <row r="13" ht="16.5" customHeight="1" s="566">
      <c r="A13" s="453" t="n"/>
      <c r="B13" s="474" t="n"/>
      <c r="C13" s="861" t="n"/>
      <c r="G13" s="863" t="n"/>
      <c r="H13" s="452" t="n"/>
      <c r="I13" s="473" t="n">
        <v>5.2</v>
      </c>
      <c r="J13" s="477" t="inlineStr">
        <is>
          <t>3.1.11</t>
        </is>
      </c>
      <c r="K13" s="467" t="inlineStr">
        <is>
          <t>03.01.11.0</t>
        </is>
      </c>
      <c r="L13" s="467" t="inlineStr">
        <is>
          <t>Derived</t>
        </is>
      </c>
      <c r="M13" s="468" t="n">
        <v>1</v>
      </c>
      <c r="N13" s="469" t="inlineStr">
        <is>
          <t>AC</t>
        </is>
      </c>
      <c r="O13" s="469" t="inlineStr">
        <is>
          <t>Access Control</t>
        </is>
      </c>
      <c r="P13" s="470" t="inlineStr">
        <is>
          <t>AC.L2-3.1.11</t>
        </is>
      </c>
      <c r="Q13" s="456" t="n"/>
      <c r="R13" s="457" t="n"/>
      <c r="S13" s="458" t="n"/>
      <c r="T13" s="471" t="inlineStr">
        <is>
          <t>3.11.1</t>
        </is>
      </c>
      <c r="U13" s="469" t="inlineStr">
        <is>
          <t>RA</t>
        </is>
      </c>
      <c r="V13" s="470" t="inlineStr">
        <is>
          <t>Risk Assessment</t>
        </is>
      </c>
    </row>
    <row r="14" ht="16.5" customHeight="1" s="566">
      <c r="A14" s="451" t="inlineStr">
        <is>
          <t>All CUI is encrypted using FIPS-validated cryptography</t>
        </is>
      </c>
      <c r="B14" s="452" t="n"/>
      <c r="C14" s="864" t="n"/>
      <c r="D14" s="865" t="n"/>
      <c r="E14" s="865" t="n"/>
      <c r="F14" s="865" t="n"/>
      <c r="G14" s="866" t="n"/>
      <c r="H14" s="452" t="n"/>
      <c r="I14" s="475" t="n">
        <v>3.05</v>
      </c>
      <c r="J14" s="478" t="inlineStr">
        <is>
          <t>3.1.12</t>
        </is>
      </c>
      <c r="K14" s="467" t="inlineStr">
        <is>
          <t>03.01.12.0</t>
        </is>
      </c>
      <c r="L14" s="467" t="inlineStr">
        <is>
          <t>Derived</t>
        </is>
      </c>
      <c r="M14" s="468" t="n">
        <v>5</v>
      </c>
      <c r="N14" s="469" t="inlineStr">
        <is>
          <t>AC</t>
        </is>
      </c>
      <c r="O14" s="469" t="inlineStr">
        <is>
          <t>Access Control</t>
        </is>
      </c>
      <c r="P14" s="470" t="inlineStr">
        <is>
          <t>AC.L2-3.1.12</t>
        </is>
      </c>
      <c r="Q14" s="456" t="n"/>
      <c r="R14" s="457" t="n"/>
      <c r="S14" s="458" t="n"/>
      <c r="T14" s="471" t="inlineStr">
        <is>
          <t>3.12.1</t>
        </is>
      </c>
      <c r="U14" s="469" t="inlineStr">
        <is>
          <t>CA</t>
        </is>
      </c>
      <c r="V14" s="470" t="inlineStr">
        <is>
          <t>Security Assessment</t>
        </is>
      </c>
    </row>
    <row r="15" ht="15.75" customHeight="1" s="566">
      <c r="A15" s="454" t="inlineStr">
        <is>
          <t>CUI is encrypted but not using FIPS-validated cryptography</t>
        </is>
      </c>
      <c r="B15" s="452" t="n"/>
      <c r="C15" s="833" t="inlineStr">
        <is>
          <t>Copyright 2022 CMMC Information Institute, Inc.  All Rights Reserved.</t>
        </is>
      </c>
      <c r="D15" s="858" t="n"/>
      <c r="E15" s="858" t="n"/>
      <c r="F15" s="858" t="n"/>
      <c r="G15" s="859" t="n"/>
      <c r="H15" s="452" t="n"/>
      <c r="I15" s="475" t="n">
        <v>3.06</v>
      </c>
      <c r="J15" s="478" t="inlineStr">
        <is>
          <t>3.1.13</t>
        </is>
      </c>
      <c r="K15" s="467" t="inlineStr">
        <is>
          <t>03.01.13.0</t>
        </is>
      </c>
      <c r="L15" s="467" t="inlineStr">
        <is>
          <t>Derived</t>
        </is>
      </c>
      <c r="M15" s="468" t="n">
        <v>5</v>
      </c>
      <c r="N15" s="469" t="inlineStr">
        <is>
          <t>AC</t>
        </is>
      </c>
      <c r="O15" s="469" t="inlineStr">
        <is>
          <t>Access Control</t>
        </is>
      </c>
      <c r="P15" s="470" t="inlineStr">
        <is>
          <t>AC.L2-3.1.13</t>
        </is>
      </c>
      <c r="Q15" s="456" t="n"/>
      <c r="R15" s="457" t="n"/>
      <c r="S15" s="458" t="n"/>
      <c r="T15" s="471" t="inlineStr">
        <is>
          <t>3.13.1</t>
        </is>
      </c>
      <c r="U15" s="469" t="inlineStr">
        <is>
          <t>SC</t>
        </is>
      </c>
      <c r="V15" s="470" t="inlineStr">
        <is>
          <t>System and Communication Protection</t>
        </is>
      </c>
    </row>
    <row r="16" ht="16.5" customHeight="1" s="566">
      <c r="A16" s="454" t="inlineStr">
        <is>
          <t>CUI is not encrypted</t>
        </is>
      </c>
      <c r="B16" s="452" t="n"/>
      <c r="C16" s="869" t="n"/>
      <c r="D16" s="870" t="n"/>
      <c r="E16" s="870" t="n"/>
      <c r="F16" s="870" t="n"/>
      <c r="G16" s="871" t="n"/>
      <c r="H16" s="452" t="n"/>
      <c r="I16" s="473" t="n">
        <v>5.27</v>
      </c>
      <c r="J16" s="477" t="inlineStr">
        <is>
          <t>3.1.14</t>
        </is>
      </c>
      <c r="K16" s="467" t="inlineStr">
        <is>
          <t>03.01.14.0</t>
        </is>
      </c>
      <c r="L16" s="467" t="inlineStr">
        <is>
          <t>Derived</t>
        </is>
      </c>
      <c r="M16" s="468" t="n">
        <v>1</v>
      </c>
      <c r="N16" s="469" t="inlineStr">
        <is>
          <t>AC</t>
        </is>
      </c>
      <c r="O16" s="469" t="inlineStr">
        <is>
          <t>Access Control</t>
        </is>
      </c>
      <c r="P16" s="470" t="inlineStr">
        <is>
          <t>AC.L2-3.1.14</t>
        </is>
      </c>
      <c r="Q16" s="456" t="n"/>
      <c r="R16" s="457" t="n"/>
      <c r="S16" s="458" t="n"/>
      <c r="T16" s="479" t="inlineStr">
        <is>
          <t>3.14.1</t>
        </is>
      </c>
      <c r="U16" s="480" t="inlineStr">
        <is>
          <t>SI</t>
        </is>
      </c>
      <c r="V16" s="481" t="inlineStr">
        <is>
          <t>System and Information Integrity</t>
        </is>
      </c>
    </row>
    <row r="17" ht="15.95" customHeight="1" s="566">
      <c r="A17" s="454" t="inlineStr">
        <is>
          <t>Not Yet Addressed</t>
        </is>
      </c>
      <c r="B17" s="452" t="n"/>
      <c r="C17" s="848" t="inlineStr">
        <is>
          <t>This tool was created by the CMMC Information Institute, Inc. and is released under the Creative Commons CC-BY-ND license.</t>
        </is>
      </c>
      <c r="D17" s="858" t="n"/>
      <c r="E17" s="858" t="n"/>
      <c r="F17" s="858" t="n"/>
      <c r="G17" s="859" t="n"/>
      <c r="H17" s="452" t="n"/>
      <c r="I17" s="473" t="n">
        <v>5.28</v>
      </c>
      <c r="J17" s="477" t="inlineStr">
        <is>
          <t>3.1.15</t>
        </is>
      </c>
      <c r="K17" s="467" t="inlineStr">
        <is>
          <t>03.01.15.0</t>
        </is>
      </c>
      <c r="L17" s="467" t="inlineStr">
        <is>
          <t>Derived</t>
        </is>
      </c>
      <c r="M17" s="468" t="n">
        <v>1</v>
      </c>
      <c r="N17" s="469" t="inlineStr">
        <is>
          <t>AC</t>
        </is>
      </c>
      <c r="O17" s="469" t="inlineStr">
        <is>
          <t>Access Control</t>
        </is>
      </c>
      <c r="P17" s="470" t="inlineStr">
        <is>
          <t>AC.L2-3.1.15</t>
        </is>
      </c>
      <c r="Q17" s="456" t="n"/>
      <c r="R17" s="457" t="n"/>
      <c r="S17" s="457" t="n"/>
      <c r="T17" s="482" t="n"/>
      <c r="U17" s="482" t="n"/>
      <c r="V17" s="482" t="n"/>
    </row>
    <row r="18" ht="16.5" customHeight="1" s="566">
      <c r="A18" s="472" t="inlineStr">
        <is>
          <t>Not Yet Assessed</t>
        </is>
      </c>
      <c r="B18" s="452" t="n"/>
      <c r="C18" s="861" t="n"/>
      <c r="G18" s="862" t="n"/>
      <c r="H18" s="452" t="n"/>
      <c r="I18" s="475" t="n">
        <v>3.04</v>
      </c>
      <c r="J18" s="478" t="inlineStr">
        <is>
          <t>3.1.16</t>
        </is>
      </c>
      <c r="K18" s="467" t="inlineStr">
        <is>
          <t>03.01.16.0</t>
        </is>
      </c>
      <c r="L18" s="467" t="inlineStr">
        <is>
          <t>Derived</t>
        </is>
      </c>
      <c r="M18" s="468" t="n">
        <v>5</v>
      </c>
      <c r="N18" s="469" t="inlineStr">
        <is>
          <t>AC</t>
        </is>
      </c>
      <c r="O18" s="469" t="inlineStr">
        <is>
          <t>Access Control</t>
        </is>
      </c>
      <c r="P18" s="470" t="inlineStr">
        <is>
          <t>AC.L2-3.1.16</t>
        </is>
      </c>
      <c r="Q18" s="456" t="n"/>
      <c r="R18" s="457" t="n"/>
      <c r="S18" s="457" t="n"/>
      <c r="T18" s="457" t="n"/>
      <c r="U18" s="457" t="n"/>
      <c r="V18" s="457" t="n"/>
    </row>
    <row r="19" ht="14.1" customHeight="1" s="566">
      <c r="A19" s="70" t="n"/>
      <c r="B19" s="474" t="n"/>
      <c r="C19" s="861" t="n"/>
      <c r="G19" s="862" t="n"/>
      <c r="H19" s="452" t="n"/>
      <c r="I19" s="475" t="n">
        <v>3.03</v>
      </c>
      <c r="J19" s="478" t="inlineStr">
        <is>
          <t>3.1.17</t>
        </is>
      </c>
      <c r="K19" s="467" t="inlineStr">
        <is>
          <t>03.01.17.0</t>
        </is>
      </c>
      <c r="L19" s="467" t="inlineStr">
        <is>
          <t>Derived</t>
        </is>
      </c>
      <c r="M19" s="468" t="n">
        <v>5</v>
      </c>
      <c r="N19" s="469" t="inlineStr">
        <is>
          <t>AC</t>
        </is>
      </c>
      <c r="O19" s="469" t="inlineStr">
        <is>
          <t>Access Control</t>
        </is>
      </c>
      <c r="P19" s="470" t="inlineStr">
        <is>
          <t>AC.L2-3.1.17</t>
        </is>
      </c>
      <c r="Q19" s="456" t="n"/>
      <c r="R19" s="457" t="n"/>
      <c r="S19" s="457" t="n"/>
      <c r="T19" s="483" t="inlineStr">
        <is>
          <t>800-171 Basic Controls</t>
        </is>
      </c>
      <c r="U19" s="457" t="n"/>
      <c r="V19" s="457" t="n"/>
    </row>
    <row r="20" ht="16.5" customHeight="1" s="566">
      <c r="A20" s="453" t="n"/>
      <c r="B20" s="474" t="n"/>
      <c r="C20" s="861" t="n"/>
      <c r="G20" s="862" t="n"/>
      <c r="H20" s="452" t="n"/>
      <c r="I20" s="475" t="n">
        <v>3.14</v>
      </c>
      <c r="J20" s="478" t="inlineStr">
        <is>
          <t>3.1.18</t>
        </is>
      </c>
      <c r="K20" s="467" t="inlineStr">
        <is>
          <t>03.01.18.0</t>
        </is>
      </c>
      <c r="L20" s="467" t="inlineStr">
        <is>
          <t>Derived</t>
        </is>
      </c>
      <c r="M20" s="468" t="n">
        <v>5</v>
      </c>
      <c r="N20" s="469" t="inlineStr">
        <is>
          <t>AC</t>
        </is>
      </c>
      <c r="O20" s="469" t="inlineStr">
        <is>
          <t>Access Control</t>
        </is>
      </c>
      <c r="P20" s="470" t="inlineStr">
        <is>
          <t>AC.L2-3.1.18</t>
        </is>
      </c>
      <c r="Q20" s="456" t="n"/>
      <c r="R20" s="457" t="n"/>
      <c r="S20" s="457" t="n"/>
      <c r="T20" s="483" t="inlineStr">
        <is>
          <t>3.1.1</t>
        </is>
      </c>
      <c r="U20" s="457" t="n"/>
      <c r="V20" s="457" t="n"/>
    </row>
    <row r="21" ht="15.75" customHeight="1" s="566">
      <c r="A21" s="451" t="inlineStr">
        <is>
          <t>Fully Implemented</t>
        </is>
      </c>
      <c r="B21" s="452" t="n"/>
      <c r="C21" s="869" t="n"/>
      <c r="D21" s="870" t="n"/>
      <c r="E21" s="870" t="n"/>
      <c r="F21" s="870" t="n"/>
      <c r="G21" s="871" t="n"/>
      <c r="H21" s="452" t="n"/>
      <c r="I21" s="484" t="n">
        <v>4.22</v>
      </c>
      <c r="J21" s="477" t="inlineStr">
        <is>
          <t>3.1.19</t>
        </is>
      </c>
      <c r="K21" s="467" t="inlineStr">
        <is>
          <t>03.01.19.0</t>
        </is>
      </c>
      <c r="L21" s="467" t="inlineStr">
        <is>
          <t>Derived</t>
        </is>
      </c>
      <c r="M21" s="468" t="n">
        <v>3</v>
      </c>
      <c r="N21" s="469" t="inlineStr">
        <is>
          <t>AC</t>
        </is>
      </c>
      <c r="O21" s="469" t="inlineStr">
        <is>
          <t>Access Control</t>
        </is>
      </c>
      <c r="P21" s="470" t="inlineStr">
        <is>
          <t>AC.L2-3.1.19</t>
        </is>
      </c>
      <c r="Q21" s="456" t="n"/>
      <c r="R21" s="457" t="n"/>
      <c r="S21" s="457" t="n"/>
      <c r="T21" s="483" t="inlineStr">
        <is>
          <t>3.1.2</t>
        </is>
      </c>
      <c r="U21" s="457" t="n"/>
      <c r="V21" s="457" t="n"/>
    </row>
    <row r="22" ht="15.95" customHeight="1" s="566">
      <c r="A22" s="454" t="inlineStr">
        <is>
          <t>Implementation Begun</t>
        </is>
      </c>
      <c r="B22" s="452" t="n"/>
      <c r="C22" s="824" t="inlineStr">
        <is>
          <t>IN ADDITION, THIS TOOL IS PROVIDED BY THE COPYRIGHT HOLDERS AND CONTRIBUTORS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t>
        </is>
      </c>
      <c r="D22" s="858" t="n"/>
      <c r="E22" s="858" t="n"/>
      <c r="F22" s="858" t="n"/>
      <c r="G22" s="859" t="n"/>
      <c r="H22" s="452" t="n"/>
      <c r="I22" s="466" t="n">
        <v>1.16</v>
      </c>
      <c r="J22" s="478" t="inlineStr">
        <is>
          <t>3.1.20</t>
        </is>
      </c>
      <c r="K22" s="467" t="inlineStr">
        <is>
          <t>03.01.20.0</t>
        </is>
      </c>
      <c r="L22" s="467" t="inlineStr">
        <is>
          <t>Derived</t>
        </is>
      </c>
      <c r="M22" s="468" t="n">
        <v>1</v>
      </c>
      <c r="N22" s="469" t="inlineStr">
        <is>
          <t>AC</t>
        </is>
      </c>
      <c r="O22" s="469" t="inlineStr">
        <is>
          <t>Access Control</t>
        </is>
      </c>
      <c r="P22" s="470" t="inlineStr">
        <is>
          <t>AC.L1-3.1.20</t>
        </is>
      </c>
      <c r="Q22" s="456" t="n"/>
      <c r="R22" s="457" t="n"/>
      <c r="S22" s="457" t="n"/>
      <c r="T22" s="483" t="inlineStr">
        <is>
          <t>3.2.1</t>
        </is>
      </c>
      <c r="U22" s="457" t="n"/>
      <c r="V22" s="457" t="n"/>
    </row>
    <row r="23" ht="15.6" customHeight="1" s="566">
      <c r="A23" s="454" t="inlineStr">
        <is>
          <t>Implementation Planned</t>
        </is>
      </c>
      <c r="B23" s="452" t="n"/>
      <c r="C23" s="861" t="n"/>
      <c r="G23" s="862" t="n"/>
      <c r="H23" s="452" t="n"/>
      <c r="I23" s="484" t="n">
        <v>4.17</v>
      </c>
      <c r="J23" s="477" t="inlineStr">
        <is>
          <t>3.1.21</t>
        </is>
      </c>
      <c r="K23" s="467" t="inlineStr">
        <is>
          <t>03.01.21.0</t>
        </is>
      </c>
      <c r="L23" s="467" t="inlineStr">
        <is>
          <t>Derived</t>
        </is>
      </c>
      <c r="M23" s="468" t="n">
        <v>1</v>
      </c>
      <c r="N23" s="469" t="inlineStr">
        <is>
          <t>AC</t>
        </is>
      </c>
      <c r="O23" s="469" t="inlineStr">
        <is>
          <t>Access Control</t>
        </is>
      </c>
      <c r="P23" s="470" t="inlineStr">
        <is>
          <t>AC.L2-3.1.21</t>
        </is>
      </c>
      <c r="Q23" s="456" t="n"/>
      <c r="R23" s="457" t="n"/>
      <c r="S23" s="457" t="n"/>
      <c r="T23" s="483" t="inlineStr">
        <is>
          <t>3.2.2</t>
        </is>
      </c>
      <c r="U23" s="457" t="n"/>
      <c r="V23" s="457" t="n"/>
    </row>
    <row r="24" ht="15.6" customHeight="1" s="566">
      <c r="A24" s="454" t="inlineStr">
        <is>
          <t>Not Yet Addressed</t>
        </is>
      </c>
      <c r="B24" s="452" t="n"/>
      <c r="C24" s="861" t="n"/>
      <c r="G24" s="862" t="n"/>
      <c r="H24" s="452" t="n"/>
      <c r="I24" s="466" t="n">
        <v>1.17</v>
      </c>
      <c r="J24" s="478" t="inlineStr">
        <is>
          <t>3.1.22</t>
        </is>
      </c>
      <c r="K24" s="467" t="inlineStr">
        <is>
          <t>03.01.22.0</t>
        </is>
      </c>
      <c r="L24" s="467" t="inlineStr">
        <is>
          <t>Derived</t>
        </is>
      </c>
      <c r="M24" s="468" t="n">
        <v>1</v>
      </c>
      <c r="N24" s="469" t="inlineStr">
        <is>
          <t>AC</t>
        </is>
      </c>
      <c r="O24" s="469" t="inlineStr">
        <is>
          <t>Access Control</t>
        </is>
      </c>
      <c r="P24" s="470" t="inlineStr">
        <is>
          <t>AC.L1-3.1.22</t>
        </is>
      </c>
      <c r="Q24" s="456" t="n"/>
      <c r="R24" s="457" t="n"/>
      <c r="S24" s="457" t="n"/>
      <c r="T24" s="483" t="inlineStr">
        <is>
          <t>3.3.1</t>
        </is>
      </c>
      <c r="U24" s="457" t="n"/>
      <c r="V24" s="457" t="n"/>
    </row>
    <row r="25" ht="15.6" customHeight="1" s="566">
      <c r="A25" s="454" t="inlineStr">
        <is>
          <t>Not Permitted</t>
        </is>
      </c>
      <c r="B25" s="452" t="n"/>
      <c r="C25" s="861" t="n"/>
      <c r="G25" s="862" t="n"/>
      <c r="H25" s="452" t="n"/>
      <c r="I25" s="476" t="n">
        <v>2.12</v>
      </c>
      <c r="J25" s="467" t="inlineStr">
        <is>
          <t>3.2.1</t>
        </is>
      </c>
      <c r="K25" s="467" t="inlineStr">
        <is>
          <t>03.02.01.0</t>
        </is>
      </c>
      <c r="L25" s="467" t="inlineStr">
        <is>
          <t>Basic</t>
        </is>
      </c>
      <c r="M25" s="468" t="n">
        <v>5</v>
      </c>
      <c r="N25" s="469" t="inlineStr">
        <is>
          <t>AT</t>
        </is>
      </c>
      <c r="O25" s="469" t="inlineStr">
        <is>
          <t>Awareness and Training</t>
        </is>
      </c>
      <c r="P25" s="470" t="inlineStr">
        <is>
          <t>AT.L2-3.2.1</t>
        </is>
      </c>
      <c r="Q25" s="456" t="n"/>
      <c r="R25" s="457" t="n"/>
      <c r="S25" s="457" t="n"/>
      <c r="T25" s="483" t="inlineStr">
        <is>
          <t>3.3.2</t>
        </is>
      </c>
      <c r="U25" s="457" t="n"/>
      <c r="V25" s="457" t="n"/>
    </row>
    <row r="26" ht="16.5" customHeight="1" s="566">
      <c r="A26" s="472" t="inlineStr">
        <is>
          <t>Not Yet Assessed</t>
        </is>
      </c>
      <c r="B26" s="452" t="n"/>
      <c r="C26" s="861" t="n"/>
      <c r="G26" s="862" t="n"/>
      <c r="H26" s="452" t="n"/>
      <c r="I26" s="476" t="n">
        <v>2.13</v>
      </c>
      <c r="J26" s="467" t="inlineStr">
        <is>
          <t>3.2.2</t>
        </is>
      </c>
      <c r="K26" s="467" t="inlineStr">
        <is>
          <t>03.02.02.0</t>
        </is>
      </c>
      <c r="L26" s="467" t="inlineStr">
        <is>
          <t>Basic</t>
        </is>
      </c>
      <c r="M26" s="468" t="n">
        <v>5</v>
      </c>
      <c r="N26" s="469" t="inlineStr">
        <is>
          <t>AT</t>
        </is>
      </c>
      <c r="O26" s="469" t="inlineStr">
        <is>
          <t>Awareness and Training</t>
        </is>
      </c>
      <c r="P26" s="470" t="inlineStr">
        <is>
          <t>AT.L2-3.2.2</t>
        </is>
      </c>
      <c r="Q26" s="456" t="n"/>
      <c r="R26" s="457" t="n"/>
      <c r="S26" s="457" t="n"/>
      <c r="T26" s="483" t="inlineStr">
        <is>
          <t>3.4.1</t>
        </is>
      </c>
      <c r="U26" s="457" t="n"/>
      <c r="V26" s="457" t="n"/>
    </row>
    <row r="27" ht="14.1" customHeight="1" s="566">
      <c r="A27" s="70" t="n"/>
      <c r="B27" s="474" t="n"/>
      <c r="C27" s="861" t="n"/>
      <c r="G27" s="862" t="n"/>
      <c r="H27" s="452" t="n"/>
      <c r="I27" s="476" t="n">
        <v>2.14</v>
      </c>
      <c r="J27" s="467" t="inlineStr">
        <is>
          <t>3.2.3</t>
        </is>
      </c>
      <c r="K27" s="467" t="inlineStr">
        <is>
          <t>03.02.03.0</t>
        </is>
      </c>
      <c r="L27" s="467" t="inlineStr">
        <is>
          <t>Derived</t>
        </is>
      </c>
      <c r="M27" s="468" t="n">
        <v>1</v>
      </c>
      <c r="N27" s="469" t="inlineStr">
        <is>
          <t>AT</t>
        </is>
      </c>
      <c r="O27" s="469" t="inlineStr">
        <is>
          <t>Awareness and Training</t>
        </is>
      </c>
      <c r="P27" s="470" t="inlineStr">
        <is>
          <t>AT.L2-3.2.3</t>
        </is>
      </c>
      <c r="Q27" s="456" t="n"/>
      <c r="R27" s="457" t="n"/>
      <c r="S27" s="457" t="n"/>
      <c r="T27" s="483" t="inlineStr">
        <is>
          <t>3.4.2</t>
        </is>
      </c>
      <c r="U27" s="457" t="n"/>
      <c r="V27" s="457" t="n"/>
    </row>
    <row r="28" ht="15.6" customHeight="1" s="566">
      <c r="A28" s="485" t="inlineStr">
        <is>
          <t>No</t>
        </is>
      </c>
      <c r="B28" s="474" t="n"/>
      <c r="C28" s="861" t="n"/>
      <c r="G28" s="862" t="n"/>
      <c r="H28" s="452" t="n"/>
      <c r="I28" s="484" t="n">
        <v>4.01</v>
      </c>
      <c r="J28" s="467" t="inlineStr">
        <is>
          <t>3.3.1</t>
        </is>
      </c>
      <c r="K28" s="467" t="inlineStr">
        <is>
          <t>03.03.01.0</t>
        </is>
      </c>
      <c r="L28" s="467" t="inlineStr">
        <is>
          <t>Basic</t>
        </is>
      </c>
      <c r="M28" s="468" t="n">
        <v>5</v>
      </c>
      <c r="N28" s="469" t="inlineStr">
        <is>
          <t>AU</t>
        </is>
      </c>
      <c r="O28" s="469" t="inlineStr">
        <is>
          <t>Autdit and Accountability</t>
        </is>
      </c>
      <c r="P28" s="470" t="inlineStr">
        <is>
          <t>AU.L2-3.3.1</t>
        </is>
      </c>
      <c r="Q28" s="456" t="n"/>
      <c r="R28" s="457" t="n"/>
      <c r="S28" s="457" t="n"/>
      <c r="T28" s="483" t="inlineStr">
        <is>
          <t>3.5.1</t>
        </is>
      </c>
      <c r="U28" s="457" t="n"/>
      <c r="V28" s="457" t="n"/>
    </row>
    <row r="29" ht="15.6" customHeight="1" s="566">
      <c r="A29" s="486" t="inlineStr">
        <is>
          <t>Yes - Admins and privileged users (3 points)</t>
        </is>
      </c>
      <c r="B29" s="474" t="n"/>
      <c r="C29" s="861" t="n"/>
      <c r="G29" s="862" t="n"/>
      <c r="H29" s="452" t="n"/>
      <c r="I29" s="475" t="n">
        <v>3.18</v>
      </c>
      <c r="J29" s="467" t="inlineStr">
        <is>
          <t>3.3.2</t>
        </is>
      </c>
      <c r="K29" s="467" t="inlineStr">
        <is>
          <t>03.03.02.0</t>
        </is>
      </c>
      <c r="L29" s="467" t="inlineStr">
        <is>
          <t>Basic</t>
        </is>
      </c>
      <c r="M29" s="468" t="n">
        <v>3</v>
      </c>
      <c r="N29" s="469" t="inlineStr">
        <is>
          <t>AU</t>
        </is>
      </c>
      <c r="O29" s="469" t="inlineStr">
        <is>
          <t>Autdit and Accountability</t>
        </is>
      </c>
      <c r="P29" s="470" t="inlineStr">
        <is>
          <t>AU.L2-3.3.2</t>
        </is>
      </c>
      <c r="Q29" s="456" t="n"/>
      <c r="R29" s="457" t="n"/>
      <c r="S29" s="457" t="n"/>
      <c r="T29" s="483" t="inlineStr">
        <is>
          <t>3.5.2</t>
        </is>
      </c>
      <c r="U29" s="457" t="n"/>
      <c r="V29" s="457" t="n"/>
    </row>
    <row r="30" ht="15.6" customHeight="1" s="566">
      <c r="A30" s="486" t="inlineStr">
        <is>
          <t>Yes - All employees, including senior mgmt (5 points)</t>
        </is>
      </c>
      <c r="B30" s="487" t="n"/>
      <c r="C30" s="861" t="n"/>
      <c r="G30" s="862" t="n"/>
      <c r="H30" s="452" t="n"/>
      <c r="I30" s="484" t="n">
        <v>4.02</v>
      </c>
      <c r="J30" s="467" t="inlineStr">
        <is>
          <t>3.3.3</t>
        </is>
      </c>
      <c r="K30" s="467" t="inlineStr">
        <is>
          <t>03.03.03.0</t>
        </is>
      </c>
      <c r="L30" s="467" t="inlineStr">
        <is>
          <t>Derived</t>
        </is>
      </c>
      <c r="M30" s="468" t="n">
        <v>1</v>
      </c>
      <c r="N30" s="469" t="inlineStr">
        <is>
          <t>AU</t>
        </is>
      </c>
      <c r="O30" s="469" t="inlineStr">
        <is>
          <t>Autdit and Accountability</t>
        </is>
      </c>
      <c r="P30" s="470" t="inlineStr">
        <is>
          <t>AU.L2-3.3.3</t>
        </is>
      </c>
      <c r="Q30" s="456" t="n"/>
      <c r="R30" s="457" t="n"/>
      <c r="S30" s="457" t="n"/>
      <c r="T30" s="483" t="inlineStr">
        <is>
          <t>3.6.1</t>
        </is>
      </c>
      <c r="U30" s="457" t="n"/>
      <c r="V30" s="457" t="n"/>
    </row>
    <row r="31" ht="13.5" customHeight="1" s="566">
      <c r="A31" s="40" t="n"/>
      <c r="B31" s="487" t="n"/>
      <c r="C31" s="861" t="n"/>
      <c r="G31" s="862" t="n"/>
      <c r="H31" s="452" t="n"/>
      <c r="I31" s="484" t="n">
        <v>4.03</v>
      </c>
      <c r="J31" s="467" t="inlineStr">
        <is>
          <t>3.3.4</t>
        </is>
      </c>
      <c r="K31" s="467" t="inlineStr">
        <is>
          <t>03.03.04.0</t>
        </is>
      </c>
      <c r="L31" s="467" t="inlineStr">
        <is>
          <t>Derived</t>
        </is>
      </c>
      <c r="M31" s="468" t="n">
        <v>1</v>
      </c>
      <c r="N31" s="469" t="inlineStr">
        <is>
          <t>AU</t>
        </is>
      </c>
      <c r="O31" s="469" t="inlineStr">
        <is>
          <t>Autdit and Accountability</t>
        </is>
      </c>
      <c r="P31" s="470" t="inlineStr">
        <is>
          <t>AU.L2-3.3.4</t>
        </is>
      </c>
      <c r="Q31" s="456" t="n"/>
      <c r="R31" s="457" t="n"/>
      <c r="S31" s="457" t="n"/>
      <c r="T31" s="483" t="inlineStr">
        <is>
          <t>3.6.2</t>
        </is>
      </c>
      <c r="U31" s="457" t="n"/>
      <c r="V31" s="457" t="n"/>
    </row>
    <row r="32" ht="15.6" customHeight="1" s="566">
      <c r="A32" s="485" t="inlineStr">
        <is>
          <t>No</t>
        </is>
      </c>
      <c r="B32" s="487" t="n"/>
      <c r="C32" s="861" t="n"/>
      <c r="G32" s="862" t="n"/>
      <c r="H32" s="452" t="n"/>
      <c r="I32" s="484" t="n">
        <v>4.04</v>
      </c>
      <c r="J32" s="467" t="inlineStr">
        <is>
          <t>3.3.5</t>
        </is>
      </c>
      <c r="K32" s="467" t="inlineStr">
        <is>
          <t>03.03.05.0</t>
        </is>
      </c>
      <c r="L32" s="467" t="inlineStr">
        <is>
          <t>Derived</t>
        </is>
      </c>
      <c r="M32" s="468" t="n">
        <v>5</v>
      </c>
      <c r="N32" s="469" t="inlineStr">
        <is>
          <t>AU</t>
        </is>
      </c>
      <c r="O32" s="469" t="inlineStr">
        <is>
          <t>Autdit and Accountability</t>
        </is>
      </c>
      <c r="P32" s="470" t="inlineStr">
        <is>
          <t>AU.L2-3.3.5</t>
        </is>
      </c>
      <c r="Q32" s="456" t="n"/>
      <c r="R32" s="457" t="n"/>
      <c r="S32" s="457" t="n"/>
      <c r="T32" s="483" t="inlineStr">
        <is>
          <t>3.7.1</t>
        </is>
      </c>
      <c r="U32" s="457" t="n"/>
      <c r="V32" s="457" t="n"/>
    </row>
    <row r="33" ht="15.6" customHeight="1" s="566">
      <c r="A33" s="485" t="inlineStr">
        <is>
          <t>Yes - without role-based access definitions (3 points)</t>
        </is>
      </c>
      <c r="B33" s="487" t="n"/>
      <c r="C33" s="861" t="n"/>
      <c r="G33" s="862" t="n"/>
      <c r="H33" s="452" t="n"/>
      <c r="I33" s="484" t="n">
        <v>4.06</v>
      </c>
      <c r="J33" s="467" t="inlineStr">
        <is>
          <t>3.3.6</t>
        </is>
      </c>
      <c r="K33" s="467" t="inlineStr">
        <is>
          <t>03.03.06.0</t>
        </is>
      </c>
      <c r="L33" s="467" t="inlineStr">
        <is>
          <t>Derived</t>
        </is>
      </c>
      <c r="M33" s="468" t="n">
        <v>1</v>
      </c>
      <c r="N33" s="469" t="inlineStr">
        <is>
          <t>AU</t>
        </is>
      </c>
      <c r="O33" s="469" t="inlineStr">
        <is>
          <t>Autdit and Accountability</t>
        </is>
      </c>
      <c r="P33" s="470" t="inlineStr">
        <is>
          <t>AU.L2-3.3.6</t>
        </is>
      </c>
      <c r="Q33" s="456" t="n"/>
      <c r="R33" s="457" t="n"/>
      <c r="S33" s="457" t="n"/>
      <c r="T33" s="483" t="inlineStr">
        <is>
          <t>3.7.2</t>
        </is>
      </c>
      <c r="U33" s="457" t="n"/>
      <c r="V33" s="457" t="n"/>
    </row>
    <row r="34" ht="15.6" customHeight="1" s="566">
      <c r="A34" s="485" t="inlineStr">
        <is>
          <t>Yes - with role-based information access definitions (5 points)</t>
        </is>
      </c>
      <c r="B34" s="487" t="n"/>
      <c r="C34" s="861" t="n"/>
      <c r="G34" s="862" t="n"/>
      <c r="H34" s="452" t="n"/>
      <c r="I34" s="475" t="n">
        <v>3.13</v>
      </c>
      <c r="J34" s="467" t="inlineStr">
        <is>
          <t>3.3.7</t>
        </is>
      </c>
      <c r="K34" s="467" t="inlineStr">
        <is>
          <t>03.03.07.0</t>
        </is>
      </c>
      <c r="L34" s="467" t="inlineStr">
        <is>
          <t>Derived</t>
        </is>
      </c>
      <c r="M34" s="468" t="n">
        <v>1</v>
      </c>
      <c r="N34" s="469" t="inlineStr">
        <is>
          <t>AU</t>
        </is>
      </c>
      <c r="O34" s="469" t="inlineStr">
        <is>
          <t>Autdit and Accountability</t>
        </is>
      </c>
      <c r="P34" s="470" t="inlineStr">
        <is>
          <t>AU.L2-3.3.7</t>
        </is>
      </c>
      <c r="Q34" s="456" t="n"/>
      <c r="R34" s="457" t="n"/>
      <c r="S34" s="457" t="n"/>
      <c r="T34" s="483" t="inlineStr">
        <is>
          <t>3.8.1</t>
        </is>
      </c>
      <c r="U34" s="457" t="n"/>
      <c r="V34" s="457" t="n"/>
    </row>
    <row r="35" ht="13.5" customHeight="1" s="566">
      <c r="A35" s="40" t="n"/>
      <c r="B35" s="487" t="n"/>
      <c r="C35" s="861" t="n"/>
      <c r="G35" s="862" t="n"/>
      <c r="H35" s="452" t="n"/>
      <c r="I35" s="484" t="n">
        <v>4.12</v>
      </c>
      <c r="J35" s="467" t="inlineStr">
        <is>
          <t>3.3.8</t>
        </is>
      </c>
      <c r="K35" s="467" t="inlineStr">
        <is>
          <t>03.03.08.0</t>
        </is>
      </c>
      <c r="L35" s="467" t="inlineStr">
        <is>
          <t>Derived</t>
        </is>
      </c>
      <c r="M35" s="468" t="n">
        <v>1</v>
      </c>
      <c r="N35" s="469" t="inlineStr">
        <is>
          <t>AU</t>
        </is>
      </c>
      <c r="O35" s="469" t="inlineStr">
        <is>
          <t>Autdit and Accountability</t>
        </is>
      </c>
      <c r="P35" s="470" t="inlineStr">
        <is>
          <t>AU.L2-3.3.8</t>
        </is>
      </c>
      <c r="Q35" s="456" t="n"/>
      <c r="R35" s="457" t="n"/>
      <c r="S35" s="457" t="n"/>
      <c r="T35" s="483" t="inlineStr">
        <is>
          <t>3.8.2</t>
        </is>
      </c>
      <c r="U35" s="457" t="n"/>
      <c r="V35" s="457" t="n"/>
    </row>
    <row r="36" ht="15.6" customHeight="1" s="566">
      <c r="A36" s="485" t="inlineStr">
        <is>
          <t>No (3 points)</t>
        </is>
      </c>
      <c r="B36" s="487" t="n"/>
      <c r="C36" s="861" t="n"/>
      <c r="G36" s="862" t="n"/>
      <c r="H36" s="452" t="n"/>
      <c r="I36" s="484" t="n">
        <v>4.13</v>
      </c>
      <c r="J36" s="467" t="inlineStr">
        <is>
          <t>3.3.9</t>
        </is>
      </c>
      <c r="K36" s="467" t="inlineStr">
        <is>
          <t>03.03.09.0</t>
        </is>
      </c>
      <c r="L36" s="467" t="inlineStr">
        <is>
          <t>Derived</t>
        </is>
      </c>
      <c r="M36" s="468" t="n">
        <v>1</v>
      </c>
      <c r="N36" s="469" t="inlineStr">
        <is>
          <t>AU</t>
        </is>
      </c>
      <c r="O36" s="469" t="inlineStr">
        <is>
          <t>Autdit and Accountability</t>
        </is>
      </c>
      <c r="P36" s="470" t="inlineStr">
        <is>
          <t>AU.L2-3.3.9</t>
        </is>
      </c>
      <c r="Q36" s="456" t="n"/>
      <c r="R36" s="457" t="n"/>
      <c r="S36" s="457" t="n"/>
      <c r="T36" s="483" t="inlineStr">
        <is>
          <t>3.8.3</t>
        </is>
      </c>
      <c r="U36" s="457" t="n"/>
      <c r="V36" s="457" t="n"/>
    </row>
    <row r="37" ht="15.6" customHeight="1" s="566">
      <c r="A37" s="485" t="inlineStr">
        <is>
          <t>Yes - WiFi is part of our network</t>
        </is>
      </c>
      <c r="B37" s="487" t="n"/>
      <c r="C37" s="861" t="n"/>
      <c r="G37" s="862" t="n"/>
      <c r="H37" s="452" t="n"/>
      <c r="I37" s="484" t="n">
        <v>4.14</v>
      </c>
      <c r="J37" s="467" t="inlineStr">
        <is>
          <t>3.4.1</t>
        </is>
      </c>
      <c r="K37" s="467" t="inlineStr">
        <is>
          <t>03.04.01.0</t>
        </is>
      </c>
      <c r="L37" s="467" t="inlineStr">
        <is>
          <t>Basic</t>
        </is>
      </c>
      <c r="M37" s="468" t="n">
        <v>5</v>
      </c>
      <c r="N37" s="469" t="inlineStr">
        <is>
          <t>CM</t>
        </is>
      </c>
      <c r="O37" s="469" t="inlineStr">
        <is>
          <t>Configuration Management</t>
        </is>
      </c>
      <c r="P37" s="470" t="inlineStr">
        <is>
          <t>CM.L2-3.4.1</t>
        </is>
      </c>
      <c r="Q37" s="456" t="n"/>
      <c r="R37" s="457" t="n"/>
      <c r="S37" s="457" t="n"/>
      <c r="T37" s="483" t="inlineStr">
        <is>
          <t>3.9.1</t>
        </is>
      </c>
      <c r="U37" s="457" t="n"/>
      <c r="V37" s="457" t="n"/>
    </row>
    <row r="38" ht="15.6" customHeight="1" s="566">
      <c r="A38" s="485" t="inlineStr">
        <is>
          <t xml:space="preserve">Yes - WiFi goes to a guest network separate from our internal network (3 points) </t>
        </is>
      </c>
      <c r="B38" s="487" t="n"/>
      <c r="C38" s="861" t="n"/>
      <c r="G38" s="862" t="n"/>
      <c r="H38" s="452" t="n"/>
      <c r="I38" s="484" t="n">
        <v>4.15</v>
      </c>
      <c r="J38" s="467" t="inlineStr">
        <is>
          <t>3.4.2</t>
        </is>
      </c>
      <c r="K38" s="467" t="inlineStr">
        <is>
          <t>03.04.02.0</t>
        </is>
      </c>
      <c r="L38" s="467" t="inlineStr">
        <is>
          <t>Basic</t>
        </is>
      </c>
      <c r="M38" s="468" t="n">
        <v>5</v>
      </c>
      <c r="N38" s="469" t="inlineStr">
        <is>
          <t>CM</t>
        </is>
      </c>
      <c r="O38" s="469" t="inlineStr">
        <is>
          <t>Configuration Management</t>
        </is>
      </c>
      <c r="P38" s="470" t="inlineStr">
        <is>
          <t>CM.L2-3.4.2</t>
        </is>
      </c>
      <c r="Q38" s="456" t="n"/>
      <c r="R38" s="457" t="n"/>
      <c r="S38" s="457" t="n"/>
      <c r="T38" s="483" t="inlineStr">
        <is>
          <t>3.9.2</t>
        </is>
      </c>
      <c r="U38" s="457" t="n"/>
      <c r="V38" s="457" t="n"/>
    </row>
    <row r="39" ht="13.5" customHeight="1" s="566">
      <c r="A39" s="40" t="n"/>
      <c r="B39" s="487" t="n"/>
      <c r="C39" s="861" t="n"/>
      <c r="G39" s="862" t="n"/>
      <c r="H39" s="452" t="n"/>
      <c r="I39" s="473" t="n">
        <v>5.06</v>
      </c>
      <c r="J39" s="467" t="inlineStr">
        <is>
          <t>3.4.3</t>
        </is>
      </c>
      <c r="K39" s="467" t="inlineStr">
        <is>
          <t>03.04.03.0</t>
        </is>
      </c>
      <c r="L39" s="467" t="inlineStr">
        <is>
          <t>Derived</t>
        </is>
      </c>
      <c r="M39" s="468" t="n">
        <v>1</v>
      </c>
      <c r="N39" s="469" t="inlineStr">
        <is>
          <t>CM</t>
        </is>
      </c>
      <c r="O39" s="469" t="inlineStr">
        <is>
          <t>Configuration Management</t>
        </is>
      </c>
      <c r="P39" s="470" t="inlineStr">
        <is>
          <t>CM.L2-3.4.3</t>
        </is>
      </c>
      <c r="Q39" s="456" t="n"/>
      <c r="R39" s="457" t="n"/>
      <c r="S39" s="457" t="n"/>
      <c r="T39" s="483" t="inlineStr">
        <is>
          <t>3.10.1</t>
        </is>
      </c>
      <c r="U39" s="457" t="n"/>
      <c r="V39" s="457" t="n"/>
    </row>
    <row r="40" ht="15.6" customHeight="1" s="566">
      <c r="A40" s="485" t="inlineStr">
        <is>
          <t>No</t>
        </is>
      </c>
      <c r="B40" s="487" t="n"/>
      <c r="C40" s="861" t="n"/>
      <c r="G40" s="862" t="n"/>
      <c r="H40" s="452" t="n"/>
      <c r="I40" s="473" t="n">
        <v>5.07</v>
      </c>
      <c r="J40" s="467" t="inlineStr">
        <is>
          <t>3.4.4</t>
        </is>
      </c>
      <c r="K40" s="467" t="inlineStr">
        <is>
          <t>03.04.04.0</t>
        </is>
      </c>
      <c r="L40" s="467" t="inlineStr">
        <is>
          <t>Derived</t>
        </is>
      </c>
      <c r="M40" s="468" t="n">
        <v>1</v>
      </c>
      <c r="N40" s="469" t="inlineStr">
        <is>
          <t>CM</t>
        </is>
      </c>
      <c r="O40" s="469" t="inlineStr">
        <is>
          <t>Configuration Management</t>
        </is>
      </c>
      <c r="P40" s="470" t="inlineStr">
        <is>
          <t>CM.L2-3.4.4</t>
        </is>
      </c>
      <c r="Q40" s="456" t="n"/>
      <c r="R40" s="457" t="n"/>
      <c r="S40" s="457" t="n"/>
      <c r="T40" s="483" t="inlineStr">
        <is>
          <t>3.10.2</t>
        </is>
      </c>
      <c r="U40" s="457" t="n"/>
      <c r="V40" s="457" t="n"/>
    </row>
    <row r="41" ht="16.5" customHeight="1" s="566">
      <c r="A41" s="485" t="inlineStr">
        <is>
          <t>Yes - without objectives (3 points)</t>
        </is>
      </c>
      <c r="B41" s="487" t="n"/>
      <c r="C41" s="869" t="n"/>
      <c r="D41" s="870" t="n"/>
      <c r="E41" s="870" t="n"/>
      <c r="F41" s="870" t="n"/>
      <c r="G41" s="871" t="n"/>
      <c r="H41" s="452" t="n"/>
      <c r="I41" s="473" t="n">
        <v>5.04</v>
      </c>
      <c r="J41" s="467" t="inlineStr">
        <is>
          <t>3.4.5</t>
        </is>
      </c>
      <c r="K41" s="467" t="inlineStr">
        <is>
          <t>03.04.05.0</t>
        </is>
      </c>
      <c r="L41" s="467" t="inlineStr">
        <is>
          <t>Derived</t>
        </is>
      </c>
      <c r="M41" s="468" t="n">
        <v>5</v>
      </c>
      <c r="N41" s="469" t="inlineStr">
        <is>
          <t>CM</t>
        </is>
      </c>
      <c r="O41" s="469" t="inlineStr">
        <is>
          <t>Configuration Management</t>
        </is>
      </c>
      <c r="P41" s="470" t="inlineStr">
        <is>
          <t>CM.L2-3.4.5</t>
        </is>
      </c>
      <c r="Q41" s="456" t="n"/>
      <c r="R41" s="457" t="n"/>
      <c r="S41" s="457" t="n"/>
      <c r="T41" s="483" t="inlineStr">
        <is>
          <t>3.11.1</t>
        </is>
      </c>
      <c r="U41" s="457" t="n"/>
      <c r="V41" s="457" t="n"/>
    </row>
    <row r="42" ht="15.95" customHeight="1" s="566">
      <c r="A42" s="485" t="inlineStr">
        <is>
          <t>Yes - with objectives (8 points)</t>
        </is>
      </c>
      <c r="B42" s="488" t="n"/>
      <c r="C42" s="489" t="n"/>
      <c r="D42" s="70" t="n"/>
      <c r="E42" s="70" t="n"/>
      <c r="F42" s="70" t="n"/>
      <c r="G42" s="70" t="n"/>
      <c r="H42" s="474" t="n"/>
      <c r="I42" s="473" t="n">
        <v>5.05</v>
      </c>
      <c r="J42" s="467" t="inlineStr">
        <is>
          <t>3.4.6</t>
        </is>
      </c>
      <c r="K42" s="467" t="inlineStr">
        <is>
          <t>03.04.06.0</t>
        </is>
      </c>
      <c r="L42" s="467" t="inlineStr">
        <is>
          <t>Derived</t>
        </is>
      </c>
      <c r="M42" s="468" t="n">
        <v>5</v>
      </c>
      <c r="N42" s="469" t="inlineStr">
        <is>
          <t>CM</t>
        </is>
      </c>
      <c r="O42" s="469" t="inlineStr">
        <is>
          <t>Configuration Management</t>
        </is>
      </c>
      <c r="P42" s="470" t="inlineStr">
        <is>
          <t>CM.L2-3.4.6</t>
        </is>
      </c>
      <c r="Q42" s="456" t="n"/>
      <c r="R42" s="457" t="n"/>
      <c r="S42" s="457" t="n"/>
      <c r="T42" s="483" t="inlineStr">
        <is>
          <t>3.12.1</t>
        </is>
      </c>
      <c r="U42" s="457" t="n"/>
      <c r="V42" s="457" t="n"/>
    </row>
    <row r="43" ht="13.5" customHeight="1" s="566">
      <c r="A43" s="40" t="n"/>
      <c r="B43" s="40" t="n"/>
      <c r="C43" s="40" t="n"/>
      <c r="D43" s="40" t="n"/>
      <c r="E43" s="40" t="n"/>
      <c r="F43" s="40" t="n"/>
      <c r="G43" s="40" t="n"/>
      <c r="H43" s="474" t="n"/>
      <c r="I43" s="484" t="n">
        <v>4.09</v>
      </c>
      <c r="J43" s="467" t="inlineStr">
        <is>
          <t>3.4.7</t>
        </is>
      </c>
      <c r="K43" s="467" t="inlineStr">
        <is>
          <t>03.04.07.0</t>
        </is>
      </c>
      <c r="L43" s="467" t="inlineStr">
        <is>
          <t>Derived</t>
        </is>
      </c>
      <c r="M43" s="468" t="n">
        <v>5</v>
      </c>
      <c r="N43" s="469" t="inlineStr">
        <is>
          <t>CM</t>
        </is>
      </c>
      <c r="O43" s="469" t="inlineStr">
        <is>
          <t>Configuration Management</t>
        </is>
      </c>
      <c r="P43" s="470" t="inlineStr">
        <is>
          <t>CM.L2-3.4.7</t>
        </is>
      </c>
      <c r="Q43" s="456" t="n"/>
      <c r="R43" s="457" t="n"/>
      <c r="S43" s="457" t="n"/>
      <c r="T43" s="483" t="inlineStr">
        <is>
          <t>3.12.2</t>
        </is>
      </c>
      <c r="U43" s="457" t="n"/>
      <c r="V43" s="457" t="n"/>
    </row>
    <row r="44" ht="15.6" customHeight="1" s="566">
      <c r="A44" s="485" t="inlineStr">
        <is>
          <t>No</t>
        </is>
      </c>
      <c r="B44" s="40" t="n"/>
      <c r="C44" s="40" t="n"/>
      <c r="D44" s="40" t="n"/>
      <c r="E44" s="40" t="n"/>
      <c r="F44" s="40" t="n"/>
      <c r="G44" s="40" t="n"/>
      <c r="H44" s="474" t="n"/>
      <c r="I44" s="484" t="n">
        <v>4.07</v>
      </c>
      <c r="J44" s="467" t="inlineStr">
        <is>
          <t>3.4.8</t>
        </is>
      </c>
      <c r="K44" s="467" t="inlineStr">
        <is>
          <t>03.04.08.0</t>
        </is>
      </c>
      <c r="L44" s="467" t="inlineStr">
        <is>
          <t>Derived</t>
        </is>
      </c>
      <c r="M44" s="468" t="n">
        <v>5</v>
      </c>
      <c r="N44" s="469" t="inlineStr">
        <is>
          <t>CM</t>
        </is>
      </c>
      <c r="O44" s="469" t="inlineStr">
        <is>
          <t>Configuration Management</t>
        </is>
      </c>
      <c r="P44" s="470" t="inlineStr">
        <is>
          <t>CM.L2-3.4.8</t>
        </is>
      </c>
      <c r="Q44" s="456" t="n"/>
      <c r="R44" s="457" t="n"/>
      <c r="S44" s="457" t="n"/>
      <c r="T44" s="483" t="inlineStr">
        <is>
          <t>3.12.3</t>
        </is>
      </c>
      <c r="U44" s="457" t="n"/>
      <c r="V44" s="457" t="n"/>
    </row>
    <row r="45" ht="15.6" customHeight="1" s="566">
      <c r="A45" s="485" t="inlineStr">
        <is>
          <t>Yes - Partial/incomplete (3 points)</t>
        </is>
      </c>
      <c r="B45" s="40" t="n"/>
      <c r="C45" s="40" t="n"/>
      <c r="D45" s="40" t="n"/>
      <c r="E45" s="40" t="n"/>
      <c r="F45" s="40" t="n"/>
      <c r="G45" s="40" t="n"/>
      <c r="H45" s="474" t="n"/>
      <c r="I45" s="484" t="n">
        <v>4.08</v>
      </c>
      <c r="J45" s="467" t="inlineStr">
        <is>
          <t>3.4.9</t>
        </is>
      </c>
      <c r="K45" s="467" t="inlineStr">
        <is>
          <t>03.04.09.0</t>
        </is>
      </c>
      <c r="L45" s="467" t="inlineStr">
        <is>
          <t>Derived</t>
        </is>
      </c>
      <c r="M45" s="468" t="n">
        <v>1</v>
      </c>
      <c r="N45" s="469" t="inlineStr">
        <is>
          <t>CM</t>
        </is>
      </c>
      <c r="O45" s="469" t="inlineStr">
        <is>
          <t>Configuration Management</t>
        </is>
      </c>
      <c r="P45" s="470" t="inlineStr">
        <is>
          <t>CM.L2-3.4.9</t>
        </is>
      </c>
      <c r="Q45" s="456" t="n"/>
      <c r="R45" s="457" t="n"/>
      <c r="S45" s="457" t="n"/>
      <c r="T45" s="483" t="inlineStr">
        <is>
          <t>3.12.4</t>
        </is>
      </c>
      <c r="U45" s="457" t="n"/>
      <c r="V45" s="457" t="n"/>
    </row>
    <row r="46" ht="15.6" customHeight="1" s="566">
      <c r="A46" s="485" t="inlineStr">
        <is>
          <t>Yes - Comprehensive (8 points)</t>
        </is>
      </c>
      <c r="B46" s="40" t="n"/>
      <c r="C46" s="40" t="n"/>
      <c r="D46" s="40" t="n"/>
      <c r="E46" s="40" t="n"/>
      <c r="F46" s="40" t="n"/>
      <c r="G46" s="40" t="n"/>
      <c r="H46" s="474" t="n"/>
      <c r="I46" s="466" t="n">
        <v>1.12</v>
      </c>
      <c r="J46" s="467" t="inlineStr">
        <is>
          <t>3.5.1</t>
        </is>
      </c>
      <c r="K46" s="467" t="inlineStr">
        <is>
          <t>03.05.01.0</t>
        </is>
      </c>
      <c r="L46" s="467" t="inlineStr">
        <is>
          <t>Basic</t>
        </is>
      </c>
      <c r="M46" s="468" t="n">
        <v>5</v>
      </c>
      <c r="N46" s="469" t="inlineStr">
        <is>
          <t>IA</t>
        </is>
      </c>
      <c r="O46" s="469" t="inlineStr">
        <is>
          <t>Identification and Authentication</t>
        </is>
      </c>
      <c r="P46" s="470" t="inlineStr">
        <is>
          <t>IA.L1-3.5.1</t>
        </is>
      </c>
      <c r="Q46" s="456" t="n"/>
      <c r="R46" s="457" t="n"/>
      <c r="S46" s="457" t="n"/>
      <c r="T46" s="483" t="inlineStr">
        <is>
          <t>3.13.1</t>
        </is>
      </c>
      <c r="U46" s="457" t="n"/>
      <c r="V46" s="457" t="n"/>
    </row>
    <row r="47" ht="13.5" customHeight="1" s="566">
      <c r="A47" s="40" t="n"/>
      <c r="B47" s="40" t="n"/>
      <c r="C47" s="40" t="n"/>
      <c r="D47" s="40" t="n"/>
      <c r="E47" s="40" t="n"/>
      <c r="F47" s="40" t="n"/>
      <c r="G47" s="40" t="n"/>
      <c r="H47" s="474" t="n"/>
      <c r="I47" s="466" t="n">
        <v>1.13</v>
      </c>
      <c r="J47" s="467" t="inlineStr">
        <is>
          <t>3.5.2</t>
        </is>
      </c>
      <c r="K47" s="467" t="inlineStr">
        <is>
          <t>03.05.02.0</t>
        </is>
      </c>
      <c r="L47" s="467" t="inlineStr">
        <is>
          <t>Basic</t>
        </is>
      </c>
      <c r="M47" s="468" t="n">
        <v>5</v>
      </c>
      <c r="N47" s="469" t="inlineStr">
        <is>
          <t>IA</t>
        </is>
      </c>
      <c r="O47" s="469" t="inlineStr">
        <is>
          <t>Identification and Authentication</t>
        </is>
      </c>
      <c r="P47" s="470" t="inlineStr">
        <is>
          <t>IA.L1-3.5.2</t>
        </is>
      </c>
      <c r="Q47" s="456" t="n"/>
      <c r="R47" s="457" t="n"/>
      <c r="S47" s="457" t="n"/>
      <c r="T47" s="483" t="inlineStr">
        <is>
          <t>3.13.2</t>
        </is>
      </c>
      <c r="U47" s="457" t="n"/>
      <c r="V47" s="457" t="n"/>
    </row>
    <row r="48" ht="15.6" customHeight="1" s="566">
      <c r="A48" s="485" t="inlineStr">
        <is>
          <t>Incoming</t>
        </is>
      </c>
      <c r="B48" s="40" t="n"/>
      <c r="C48" s="40" t="n"/>
      <c r="D48" s="40" t="n"/>
      <c r="E48" s="40" t="n"/>
      <c r="F48" s="40" t="n"/>
      <c r="G48" s="40" t="n"/>
      <c r="H48" s="474" t="n"/>
      <c r="I48" s="476" t="n">
        <v>2.03</v>
      </c>
      <c r="J48" s="467" t="inlineStr">
        <is>
          <t>3.5.3</t>
        </is>
      </c>
      <c r="K48" s="467" t="inlineStr">
        <is>
          <t>03.05.03.0</t>
        </is>
      </c>
      <c r="L48" s="467" t="inlineStr">
        <is>
          <t>Derived</t>
        </is>
      </c>
      <c r="M48" s="468" t="n">
        <v>5</v>
      </c>
      <c r="N48" s="469" t="inlineStr">
        <is>
          <t>IA</t>
        </is>
      </c>
      <c r="O48" s="469" t="inlineStr">
        <is>
          <t>Identification and Authentication</t>
        </is>
      </c>
      <c r="P48" s="470" t="inlineStr">
        <is>
          <t>IA.L2-3.5.3</t>
        </is>
      </c>
      <c r="Q48" s="456" t="n"/>
      <c r="R48" s="457" t="n"/>
      <c r="S48" s="457" t="n"/>
      <c r="T48" s="483" t="inlineStr">
        <is>
          <t>3.14.1</t>
        </is>
      </c>
      <c r="U48" s="457" t="n"/>
      <c r="V48" s="457" t="n"/>
    </row>
    <row r="49" ht="15.6" customHeight="1" s="566">
      <c r="A49" s="485" t="inlineStr">
        <is>
          <t>Internal - Subsystems Only</t>
        </is>
      </c>
      <c r="B49" s="40" t="n"/>
      <c r="C49" s="40" t="n"/>
      <c r="D49" s="40" t="n"/>
      <c r="E49" s="40" t="n"/>
      <c r="F49" s="40" t="n"/>
      <c r="G49" s="40" t="n"/>
      <c r="H49" s="474" t="n"/>
      <c r="I49" s="473" t="n">
        <v>5.22</v>
      </c>
      <c r="J49" s="467" t="inlineStr">
        <is>
          <t>3.5.4</t>
        </is>
      </c>
      <c r="K49" s="467" t="inlineStr">
        <is>
          <t>03.05.04.0</t>
        </is>
      </c>
      <c r="L49" s="467" t="inlineStr">
        <is>
          <t>Derived</t>
        </is>
      </c>
      <c r="M49" s="468" t="n">
        <v>1</v>
      </c>
      <c r="N49" s="469" t="inlineStr">
        <is>
          <t>IA</t>
        </is>
      </c>
      <c r="O49" s="469" t="inlineStr">
        <is>
          <t>Identification and Authentication</t>
        </is>
      </c>
      <c r="P49" s="470" t="inlineStr">
        <is>
          <t>IA.L2-3.5.4</t>
        </is>
      </c>
      <c r="Q49" s="456" t="n"/>
      <c r="R49" s="457" t="n"/>
      <c r="S49" s="457" t="n"/>
      <c r="T49" s="483" t="inlineStr">
        <is>
          <t>3.14.2</t>
        </is>
      </c>
      <c r="U49" s="457" t="n"/>
      <c r="V49" s="457" t="n"/>
    </row>
    <row r="50" ht="15.6" customHeight="1" s="566">
      <c r="A50" s="485" t="inlineStr">
        <is>
          <t>Internal - To Cloud Provider</t>
        </is>
      </c>
      <c r="B50" s="40" t="n"/>
      <c r="C50" s="40" t="n"/>
      <c r="D50" s="40" t="n"/>
      <c r="E50" s="40" t="n"/>
      <c r="F50" s="40" t="n"/>
      <c r="G50" s="40" t="n"/>
      <c r="H50" s="474" t="n"/>
      <c r="I50" s="473" t="n">
        <v>5.23</v>
      </c>
      <c r="J50" s="467" t="inlineStr">
        <is>
          <t>3.5.5</t>
        </is>
      </c>
      <c r="K50" s="467" t="inlineStr">
        <is>
          <t>03.05.05.0</t>
        </is>
      </c>
      <c r="L50" s="467" t="inlineStr">
        <is>
          <t>Derived</t>
        </is>
      </c>
      <c r="M50" s="468" t="n">
        <v>1</v>
      </c>
      <c r="N50" s="469" t="inlineStr">
        <is>
          <t>IA</t>
        </is>
      </c>
      <c r="O50" s="469" t="inlineStr">
        <is>
          <t>Identification and Authentication</t>
        </is>
      </c>
      <c r="P50" s="470" t="inlineStr">
        <is>
          <t>IA.L2-3.5.5</t>
        </is>
      </c>
      <c r="Q50" s="456" t="n"/>
      <c r="R50" s="457" t="n"/>
      <c r="S50" s="457" t="n"/>
      <c r="T50" s="483" t="inlineStr">
        <is>
          <t>3.14.3</t>
        </is>
      </c>
      <c r="U50" s="457" t="n"/>
      <c r="V50" s="457" t="n"/>
    </row>
    <row r="51" ht="15.6" customHeight="1" s="566">
      <c r="A51" s="485" t="inlineStr">
        <is>
          <t>Internal - From Cloud Provider</t>
        </is>
      </c>
      <c r="B51" s="40" t="n"/>
      <c r="C51" s="40" t="n"/>
      <c r="D51" s="40" t="n"/>
      <c r="E51" s="40" t="n"/>
      <c r="F51" s="40" t="n"/>
      <c r="G51" s="40" t="n"/>
      <c r="H51" s="474" t="n"/>
      <c r="I51" s="473" t="n">
        <v>5.24</v>
      </c>
      <c r="J51" s="467" t="inlineStr">
        <is>
          <t>3.5.6</t>
        </is>
      </c>
      <c r="K51" s="467" t="inlineStr">
        <is>
          <t>03.05.06.0</t>
        </is>
      </c>
      <c r="L51" s="467" t="inlineStr">
        <is>
          <t>Derived</t>
        </is>
      </c>
      <c r="M51" s="468" t="n">
        <v>1</v>
      </c>
      <c r="N51" s="469" t="inlineStr">
        <is>
          <t>IA</t>
        </is>
      </c>
      <c r="O51" s="469" t="inlineStr">
        <is>
          <t>Identification and Authentication</t>
        </is>
      </c>
      <c r="P51" s="470" t="inlineStr">
        <is>
          <t>IA.L2-3.5.6</t>
        </is>
      </c>
      <c r="Q51" s="456" t="n"/>
      <c r="R51" s="457" t="n"/>
      <c r="S51" s="457" t="n"/>
      <c r="T51" s="457" t="n"/>
      <c r="U51" s="457" t="n"/>
      <c r="V51" s="457" t="n"/>
    </row>
    <row r="52" ht="15.6" customHeight="1" s="566">
      <c r="A52" s="485" t="inlineStr">
        <is>
          <t>Outgoing</t>
        </is>
      </c>
      <c r="B52" s="40" t="n"/>
      <c r="C52" s="40" t="n"/>
      <c r="D52" s="40" t="n"/>
      <c r="E52" s="40" t="n"/>
      <c r="F52" s="40" t="n"/>
      <c r="G52" s="40" t="n"/>
      <c r="H52" s="474" t="n"/>
      <c r="I52" s="476" t="n">
        <v>2.07</v>
      </c>
      <c r="J52" s="467" t="inlineStr">
        <is>
          <t>3.5.7</t>
        </is>
      </c>
      <c r="K52" s="467" t="inlineStr">
        <is>
          <t>03.05.07.0</t>
        </is>
      </c>
      <c r="L52" s="467" t="inlineStr">
        <is>
          <t>Derived</t>
        </is>
      </c>
      <c r="M52" s="468" t="n">
        <v>1</v>
      </c>
      <c r="N52" s="469" t="inlineStr">
        <is>
          <t>IA</t>
        </is>
      </c>
      <c r="O52" s="469" t="inlineStr">
        <is>
          <t>Identification and Authentication</t>
        </is>
      </c>
      <c r="P52" s="470" t="inlineStr">
        <is>
          <t>IA.L2-3.5.7</t>
        </is>
      </c>
      <c r="Q52" s="456" t="n"/>
      <c r="R52" s="457" t="n"/>
      <c r="S52" s="457" t="n"/>
      <c r="T52" s="457" t="n"/>
      <c r="U52" s="457" t="n"/>
      <c r="V52" s="457" t="n"/>
    </row>
    <row r="53" ht="13.5" customHeight="1" s="566">
      <c r="A53" s="40" t="n"/>
      <c r="B53" s="40" t="n"/>
      <c r="C53" s="40" t="n"/>
      <c r="D53" s="40" t="n"/>
      <c r="E53" s="40" t="n"/>
      <c r="F53" s="40" t="n"/>
      <c r="G53" s="40" t="n"/>
      <c r="H53" s="474" t="n"/>
      <c r="I53" s="476" t="n">
        <v>2.08</v>
      </c>
      <c r="J53" s="467" t="inlineStr">
        <is>
          <t>3.5.8</t>
        </is>
      </c>
      <c r="K53" s="467" t="inlineStr">
        <is>
          <t>03.05.08.0</t>
        </is>
      </c>
      <c r="L53" s="467" t="inlineStr">
        <is>
          <t>Derived</t>
        </is>
      </c>
      <c r="M53" s="468" t="n">
        <v>1</v>
      </c>
      <c r="N53" s="469" t="inlineStr">
        <is>
          <t>IA</t>
        </is>
      </c>
      <c r="O53" s="469" t="inlineStr">
        <is>
          <t>Identification and Authentication</t>
        </is>
      </c>
      <c r="P53" s="470" t="inlineStr">
        <is>
          <t>IA.L2-3.5.8</t>
        </is>
      </c>
      <c r="Q53" s="456" t="n"/>
      <c r="R53" s="457" t="n"/>
      <c r="S53" s="457" t="n"/>
      <c r="T53" s="457" t="n"/>
      <c r="U53" s="457" t="n"/>
      <c r="V53" s="457" t="n"/>
    </row>
    <row r="54" ht="13.5" customHeight="1" s="566">
      <c r="A54" s="40" t="n"/>
      <c r="B54" s="40" t="n"/>
      <c r="C54" s="40" t="n"/>
      <c r="D54" s="40" t="n"/>
      <c r="E54" s="40" t="n"/>
      <c r="F54" s="40" t="n"/>
      <c r="G54" s="40" t="n"/>
      <c r="H54" s="474" t="n"/>
      <c r="I54" s="476" t="n">
        <v>2.11</v>
      </c>
      <c r="J54" s="467" t="inlineStr">
        <is>
          <t>3.5.9</t>
        </is>
      </c>
      <c r="K54" s="467" t="inlineStr">
        <is>
          <t>03.05.09.0</t>
        </is>
      </c>
      <c r="L54" s="467" t="inlineStr">
        <is>
          <t>Derived</t>
        </is>
      </c>
      <c r="M54" s="468" t="n">
        <v>1</v>
      </c>
      <c r="N54" s="469" t="inlineStr">
        <is>
          <t>IA</t>
        </is>
      </c>
      <c r="O54" s="469" t="inlineStr">
        <is>
          <t>Identification and Authentication</t>
        </is>
      </c>
      <c r="P54" s="470" t="inlineStr">
        <is>
          <t>IA.L2-3.5.9</t>
        </is>
      </c>
      <c r="Q54" s="456" t="n"/>
      <c r="R54" s="457" t="n"/>
      <c r="S54" s="457" t="n"/>
      <c r="T54" s="457" t="n"/>
      <c r="U54" s="457" t="n"/>
      <c r="V54" s="457" t="n"/>
    </row>
    <row r="55" ht="13.5" customHeight="1" s="566">
      <c r="A55" s="40" t="n"/>
      <c r="B55" s="40" t="n"/>
      <c r="C55" s="40" t="n"/>
      <c r="D55" s="40" t="n"/>
      <c r="E55" s="40" t="n"/>
      <c r="F55" s="40" t="n"/>
      <c r="G55" s="40" t="n"/>
      <c r="H55" s="474" t="n"/>
      <c r="I55" s="475" t="n">
        <v>3.02</v>
      </c>
      <c r="J55" s="477" t="inlineStr">
        <is>
          <t>3.5.10</t>
        </is>
      </c>
      <c r="K55" s="467" t="inlineStr">
        <is>
          <t>03.05.10.0</t>
        </is>
      </c>
      <c r="L55" s="467" t="inlineStr">
        <is>
          <t>Derived</t>
        </is>
      </c>
      <c r="M55" s="468" t="n">
        <v>5</v>
      </c>
      <c r="N55" s="469" t="inlineStr">
        <is>
          <t>IA</t>
        </is>
      </c>
      <c r="O55" s="469" t="inlineStr">
        <is>
          <t>Identification and Authentication</t>
        </is>
      </c>
      <c r="P55" s="470" t="inlineStr">
        <is>
          <t>IA.L2-3.5.10</t>
        </is>
      </c>
      <c r="Q55" s="456" t="n"/>
      <c r="R55" s="457" t="n"/>
      <c r="S55" s="457" t="n"/>
      <c r="T55" s="457" t="n"/>
      <c r="U55" s="457" t="n"/>
      <c r="V55" s="457" t="n"/>
    </row>
    <row r="56" ht="13.5" customHeight="1" s="566">
      <c r="A56" s="40" t="n"/>
      <c r="B56" s="40" t="n"/>
      <c r="C56" s="40" t="n"/>
      <c r="D56" s="40" t="n"/>
      <c r="E56" s="40" t="n"/>
      <c r="F56" s="40" t="n"/>
      <c r="G56" s="40" t="n"/>
      <c r="H56" s="474" t="n"/>
      <c r="I56" s="484" t="n">
        <v>4.16</v>
      </c>
      <c r="J56" s="477" t="inlineStr">
        <is>
          <t>3.5.11</t>
        </is>
      </c>
      <c r="K56" s="467" t="inlineStr">
        <is>
          <t>03.05.11.0</t>
        </is>
      </c>
      <c r="L56" s="467" t="inlineStr">
        <is>
          <t>Derived</t>
        </is>
      </c>
      <c r="M56" s="468" t="n">
        <v>1</v>
      </c>
      <c r="N56" s="469" t="inlineStr">
        <is>
          <t>IA</t>
        </is>
      </c>
      <c r="O56" s="469" t="inlineStr">
        <is>
          <t>Identification and Authentication</t>
        </is>
      </c>
      <c r="P56" s="470" t="inlineStr">
        <is>
          <t>IA.L2-3.5.11</t>
        </is>
      </c>
      <c r="Q56" s="456" t="n"/>
      <c r="R56" s="457" t="n"/>
      <c r="S56" s="457" t="n"/>
      <c r="T56" s="457" t="n"/>
      <c r="U56" s="457" t="n"/>
      <c r="V56" s="457" t="n"/>
    </row>
    <row r="57" ht="13.5" customHeight="1" s="566">
      <c r="A57" s="40" t="n"/>
      <c r="B57" s="40" t="n"/>
      <c r="C57" s="40" t="n"/>
      <c r="D57" s="40" t="n"/>
      <c r="E57" s="40" t="n"/>
      <c r="F57" s="40" t="n"/>
      <c r="G57" s="40" t="n"/>
      <c r="H57" s="474" t="n"/>
      <c r="I57" s="475" t="n">
        <v>3.1</v>
      </c>
      <c r="J57" s="467" t="inlineStr">
        <is>
          <t>3.6.1</t>
        </is>
      </c>
      <c r="K57" s="467" t="inlineStr">
        <is>
          <t>03.06.01.0</t>
        </is>
      </c>
      <c r="L57" s="467" t="inlineStr">
        <is>
          <t>Basic</t>
        </is>
      </c>
      <c r="M57" s="468" t="n">
        <v>5</v>
      </c>
      <c r="N57" s="469" t="inlineStr">
        <is>
          <t>IR</t>
        </is>
      </c>
      <c r="O57" s="469" t="inlineStr">
        <is>
          <t>Incident Response</t>
        </is>
      </c>
      <c r="P57" s="470" t="inlineStr">
        <is>
          <t>IR.L2-3.6.1</t>
        </is>
      </c>
      <c r="Q57" s="456" t="n"/>
      <c r="R57" s="457" t="n"/>
      <c r="S57" s="457" t="n"/>
      <c r="T57" s="457" t="n"/>
      <c r="U57" s="457" t="n"/>
      <c r="V57" s="457" t="n"/>
    </row>
    <row r="58" ht="13.5" customHeight="1" s="566">
      <c r="A58" s="40" t="n"/>
      <c r="B58" s="40" t="n"/>
      <c r="C58" s="40" t="n"/>
      <c r="D58" s="40" t="n"/>
      <c r="E58" s="40" t="n"/>
      <c r="F58" s="40" t="n"/>
      <c r="G58" s="40" t="n"/>
      <c r="H58" s="474" t="n"/>
      <c r="I58" s="475" t="n">
        <v>3.11</v>
      </c>
      <c r="J58" s="467" t="inlineStr">
        <is>
          <t>3.6.2</t>
        </is>
      </c>
      <c r="K58" s="467" t="inlineStr">
        <is>
          <t>03.06.02.0</t>
        </is>
      </c>
      <c r="L58" s="467" t="inlineStr">
        <is>
          <t>Basic</t>
        </is>
      </c>
      <c r="M58" s="468" t="n">
        <v>5</v>
      </c>
      <c r="N58" s="469" t="inlineStr">
        <is>
          <t>IR</t>
        </is>
      </c>
      <c r="O58" s="469" t="inlineStr">
        <is>
          <t>Incident Response</t>
        </is>
      </c>
      <c r="P58" s="470" t="inlineStr">
        <is>
          <t>IR.L2-3.6.2</t>
        </is>
      </c>
      <c r="Q58" s="456" t="n"/>
      <c r="R58" s="457" t="n"/>
      <c r="S58" s="457" t="n"/>
      <c r="T58" s="457" t="n"/>
      <c r="U58" s="457" t="n"/>
      <c r="V58" s="457" t="n"/>
    </row>
    <row r="59" ht="13.5" customHeight="1" s="566">
      <c r="A59" s="40" t="n"/>
      <c r="B59" s="40" t="n"/>
      <c r="C59" s="40" t="n"/>
      <c r="D59" s="40" t="n"/>
      <c r="E59" s="40" t="n"/>
      <c r="F59" s="40" t="n"/>
      <c r="G59" s="40" t="n"/>
      <c r="H59" s="474" t="n"/>
      <c r="I59" s="475" t="n">
        <v>3.12</v>
      </c>
      <c r="J59" s="467" t="inlineStr">
        <is>
          <t>3.6.3</t>
        </is>
      </c>
      <c r="K59" s="467" t="inlineStr">
        <is>
          <t>03.06.03.0</t>
        </is>
      </c>
      <c r="L59" s="467" t="inlineStr">
        <is>
          <t>Derived</t>
        </is>
      </c>
      <c r="M59" s="468" t="n">
        <v>1</v>
      </c>
      <c r="N59" s="469" t="inlineStr">
        <is>
          <t>IR</t>
        </is>
      </c>
      <c r="O59" s="469" t="inlineStr">
        <is>
          <t>Incident Response</t>
        </is>
      </c>
      <c r="P59" s="470" t="inlineStr">
        <is>
          <t>IR.L2-3.6.3</t>
        </is>
      </c>
      <c r="Q59" s="456" t="n"/>
      <c r="R59" s="457" t="n"/>
      <c r="S59" s="457" t="n"/>
      <c r="T59" s="457" t="n"/>
      <c r="U59" s="457" t="n"/>
      <c r="V59" s="457" t="n"/>
    </row>
    <row r="60" ht="13.5" customHeight="1" s="566">
      <c r="A60" s="40" t="n"/>
      <c r="B60" s="40" t="n"/>
      <c r="C60" s="40" t="n"/>
      <c r="D60" s="40" t="n"/>
      <c r="E60" s="40" t="n"/>
      <c r="F60" s="40" t="n"/>
      <c r="G60" s="40" t="n"/>
      <c r="H60" s="474" t="n"/>
      <c r="I60" s="476" t="n">
        <v>2.18</v>
      </c>
      <c r="J60" s="467" t="inlineStr">
        <is>
          <t>3.7.1</t>
        </is>
      </c>
      <c r="K60" s="467" t="inlineStr">
        <is>
          <t>03.07.01.0</t>
        </is>
      </c>
      <c r="L60" s="467" t="inlineStr">
        <is>
          <t>Basic</t>
        </is>
      </c>
      <c r="M60" s="468" t="n">
        <v>3</v>
      </c>
      <c r="N60" s="469" t="inlineStr">
        <is>
          <t>MA</t>
        </is>
      </c>
      <c r="O60" s="469" t="inlineStr">
        <is>
          <t>Maintenance</t>
        </is>
      </c>
      <c r="P60" s="470" t="inlineStr">
        <is>
          <t>MA.L2-3.7.1</t>
        </is>
      </c>
      <c r="Q60" s="456" t="n"/>
      <c r="R60" s="457" t="n"/>
      <c r="S60" s="457" t="n"/>
      <c r="T60" s="457" t="n"/>
      <c r="U60" s="457" t="n"/>
      <c r="V60" s="457" t="n"/>
    </row>
    <row r="61" ht="13.5" customHeight="1" s="566">
      <c r="A61" s="40" t="n"/>
      <c r="B61" s="40" t="n"/>
      <c r="C61" s="40" t="n"/>
      <c r="D61" s="40" t="n"/>
      <c r="E61" s="40" t="n"/>
      <c r="F61" s="40" t="n"/>
      <c r="G61" s="40" t="n"/>
      <c r="H61" s="474" t="n"/>
      <c r="I61" s="476" t="n">
        <v>2.19</v>
      </c>
      <c r="J61" s="467" t="inlineStr">
        <is>
          <t>3.7.2</t>
        </is>
      </c>
      <c r="K61" s="467" t="inlineStr">
        <is>
          <t>03.07.02.0</t>
        </is>
      </c>
      <c r="L61" s="467" t="inlineStr">
        <is>
          <t>Basic</t>
        </is>
      </c>
      <c r="M61" s="468" t="n">
        <v>5</v>
      </c>
      <c r="N61" s="469" t="inlineStr">
        <is>
          <t>MA</t>
        </is>
      </c>
      <c r="O61" s="469" t="inlineStr">
        <is>
          <t>Maintenance</t>
        </is>
      </c>
      <c r="P61" s="470" t="inlineStr">
        <is>
          <t>MA.L2-3.7.2</t>
        </is>
      </c>
      <c r="Q61" s="456" t="n"/>
      <c r="R61" s="457" t="n"/>
      <c r="S61" s="457" t="n"/>
      <c r="T61" s="457" t="n"/>
      <c r="U61" s="457" t="n"/>
      <c r="V61" s="457" t="n"/>
    </row>
    <row r="62" ht="13.5" customHeight="1" s="566">
      <c r="A62" s="40" t="n"/>
      <c r="B62" s="40" t="n"/>
      <c r="C62" s="40" t="n"/>
      <c r="D62" s="40" t="n"/>
      <c r="E62" s="40" t="n"/>
      <c r="F62" s="40" t="n"/>
      <c r="G62" s="40" t="n"/>
      <c r="H62" s="474" t="n"/>
      <c r="I62" s="473" t="n">
        <v>5.19</v>
      </c>
      <c r="J62" s="467" t="inlineStr">
        <is>
          <t>3.7.3</t>
        </is>
      </c>
      <c r="K62" s="467" t="inlineStr">
        <is>
          <t>03.07.03.0</t>
        </is>
      </c>
      <c r="L62" s="467" t="inlineStr">
        <is>
          <t>Derived</t>
        </is>
      </c>
      <c r="M62" s="468" t="n">
        <v>1</v>
      </c>
      <c r="N62" s="469" t="inlineStr">
        <is>
          <t>MA</t>
        </is>
      </c>
      <c r="O62" s="469" t="inlineStr">
        <is>
          <t>Maintenance</t>
        </is>
      </c>
      <c r="P62" s="470" t="inlineStr">
        <is>
          <t>MA.L2-3.7.3</t>
        </is>
      </c>
      <c r="Q62" s="456" t="n"/>
      <c r="R62" s="457" t="n"/>
      <c r="S62" s="457" t="n"/>
      <c r="T62" s="457" t="n"/>
      <c r="U62" s="457" t="n"/>
      <c r="V62" s="457" t="n"/>
    </row>
    <row r="63" ht="13.5" customHeight="1" s="566">
      <c r="A63" s="40" t="n"/>
      <c r="B63" s="40" t="n"/>
      <c r="C63" s="40" t="n"/>
      <c r="D63" s="40" t="n"/>
      <c r="E63" s="40" t="n"/>
      <c r="F63" s="40" t="n"/>
      <c r="G63" s="40" t="n"/>
      <c r="H63" s="474" t="n"/>
      <c r="I63" s="484" t="n">
        <v>4.2</v>
      </c>
      <c r="J63" s="467" t="inlineStr">
        <is>
          <t>3.7.4</t>
        </is>
      </c>
      <c r="K63" s="467" t="inlineStr">
        <is>
          <t>03.07.04.0</t>
        </is>
      </c>
      <c r="L63" s="467" t="inlineStr">
        <is>
          <t>Derived</t>
        </is>
      </c>
      <c r="M63" s="468" t="n">
        <v>3</v>
      </c>
      <c r="N63" s="469" t="inlineStr">
        <is>
          <t>MA</t>
        </is>
      </c>
      <c r="O63" s="469" t="inlineStr">
        <is>
          <t>Maintenance</t>
        </is>
      </c>
      <c r="P63" s="470" t="inlineStr">
        <is>
          <t>MA.L2-3.7.4</t>
        </is>
      </c>
      <c r="Q63" s="456" t="n"/>
      <c r="R63" s="457" t="n"/>
      <c r="S63" s="457" t="n"/>
      <c r="T63" s="457" t="n"/>
      <c r="U63" s="457" t="n"/>
      <c r="V63" s="457" t="n"/>
    </row>
    <row r="64" ht="13.5" customHeight="1" s="566">
      <c r="A64" s="40" t="n"/>
      <c r="B64" s="40" t="n"/>
      <c r="C64" s="40" t="n"/>
      <c r="D64" s="40" t="n"/>
      <c r="E64" s="40" t="n"/>
      <c r="F64" s="40" t="n"/>
      <c r="G64" s="40" t="n"/>
      <c r="H64" s="474" t="n"/>
      <c r="I64" s="476" t="n">
        <v>2.04</v>
      </c>
      <c r="J64" s="467" t="inlineStr">
        <is>
          <t>3.7.5</t>
        </is>
      </c>
      <c r="K64" s="467" t="inlineStr">
        <is>
          <t>03.07.05.0</t>
        </is>
      </c>
      <c r="L64" s="467" t="inlineStr">
        <is>
          <t>Derived</t>
        </is>
      </c>
      <c r="M64" s="468" t="n">
        <v>5</v>
      </c>
      <c r="N64" s="469" t="inlineStr">
        <is>
          <t>MA</t>
        </is>
      </c>
      <c r="O64" s="469" t="inlineStr">
        <is>
          <t>Maintenance</t>
        </is>
      </c>
      <c r="P64" s="470" t="inlineStr">
        <is>
          <t>MA.L2-3.7.5</t>
        </is>
      </c>
      <c r="Q64" s="456" t="n"/>
      <c r="R64" s="457" t="n"/>
      <c r="S64" s="457" t="n"/>
      <c r="T64" s="457" t="n"/>
      <c r="U64" s="457" t="n"/>
      <c r="V64" s="457" t="n"/>
    </row>
    <row r="65" ht="13.5" customHeight="1" s="566">
      <c r="A65" s="40" t="n"/>
      <c r="B65" s="40" t="n"/>
      <c r="C65" s="40" t="n"/>
      <c r="D65" s="40" t="n"/>
      <c r="E65" s="40" t="n"/>
      <c r="F65" s="40" t="n"/>
      <c r="G65" s="40" t="n"/>
      <c r="H65" s="474" t="n"/>
      <c r="I65" s="476" t="n">
        <v>2.2</v>
      </c>
      <c r="J65" s="477" t="inlineStr">
        <is>
          <t>3.7.6</t>
        </is>
      </c>
      <c r="K65" s="467" t="inlineStr">
        <is>
          <t>03.07.06.0</t>
        </is>
      </c>
      <c r="L65" s="467" t="inlineStr">
        <is>
          <t>Derived</t>
        </is>
      </c>
      <c r="M65" s="490" t="n">
        <v>1</v>
      </c>
      <c r="N65" s="469" t="inlineStr">
        <is>
          <t>MA</t>
        </is>
      </c>
      <c r="O65" s="469" t="inlineStr">
        <is>
          <t>Maintenance</t>
        </is>
      </c>
      <c r="P65" s="470" t="inlineStr">
        <is>
          <t>MA.L2-3.7.6</t>
        </is>
      </c>
      <c r="Q65" s="456" t="n"/>
      <c r="R65" s="457" t="n"/>
      <c r="S65" s="457" t="n"/>
      <c r="T65" s="457" t="n"/>
      <c r="U65" s="457" t="n"/>
      <c r="V65" s="457" t="n"/>
    </row>
    <row r="66" ht="13.5" customHeight="1" s="566">
      <c r="A66" s="40" t="n"/>
      <c r="B66" s="40" t="n"/>
      <c r="C66" s="40" t="n"/>
      <c r="D66" s="40" t="n"/>
      <c r="E66" s="40" t="n"/>
      <c r="F66" s="40" t="n"/>
      <c r="G66" s="40" t="n"/>
      <c r="H66" s="474" t="n"/>
      <c r="I66" s="484" t="n">
        <v>4.23</v>
      </c>
      <c r="J66" s="467" t="inlineStr">
        <is>
          <t>3.8.1</t>
        </is>
      </c>
      <c r="K66" s="467" t="inlineStr">
        <is>
          <t>03.08.01.0</t>
        </is>
      </c>
      <c r="L66" s="467" t="inlineStr">
        <is>
          <t>Basic</t>
        </is>
      </c>
      <c r="M66" s="468" t="n">
        <v>3</v>
      </c>
      <c r="N66" s="469" t="inlineStr">
        <is>
          <t>MP</t>
        </is>
      </c>
      <c r="O66" s="469" t="inlineStr">
        <is>
          <t>Media Protection</t>
        </is>
      </c>
      <c r="P66" s="470" t="inlineStr">
        <is>
          <t>MP.L2-3.8.1</t>
        </is>
      </c>
      <c r="Q66" s="456" t="n"/>
      <c r="R66" s="457" t="n"/>
      <c r="S66" s="457" t="n"/>
      <c r="T66" s="457" t="n"/>
      <c r="U66" s="457" t="n"/>
      <c r="V66" s="457" t="n"/>
    </row>
    <row r="67" ht="13.5" customHeight="1" s="566">
      <c r="A67" s="40" t="n"/>
      <c r="B67" s="40" t="n"/>
      <c r="C67" s="40" t="n"/>
      <c r="D67" s="40" t="n"/>
      <c r="E67" s="40" t="n"/>
      <c r="F67" s="40" t="n"/>
      <c r="G67" s="40" t="n"/>
      <c r="H67" s="474" t="n"/>
      <c r="I67" s="484" t="n">
        <v>4.21</v>
      </c>
      <c r="J67" s="467" t="inlineStr">
        <is>
          <t>3.8.2</t>
        </is>
      </c>
      <c r="K67" s="467" t="inlineStr">
        <is>
          <t>03.08.02.0</t>
        </is>
      </c>
      <c r="L67" s="467" t="inlineStr">
        <is>
          <t>Basic</t>
        </is>
      </c>
      <c r="M67" s="468" t="n">
        <v>3</v>
      </c>
      <c r="N67" s="469" t="inlineStr">
        <is>
          <t>MP</t>
        </is>
      </c>
      <c r="O67" s="469" t="inlineStr">
        <is>
          <t>Media Protection</t>
        </is>
      </c>
      <c r="P67" s="470" t="inlineStr">
        <is>
          <t>MP.L2-3.8.2</t>
        </is>
      </c>
      <c r="Q67" s="456" t="n"/>
      <c r="R67" s="457" t="n"/>
      <c r="S67" s="457" t="n"/>
      <c r="T67" s="457" t="n"/>
      <c r="U67" s="457" t="n"/>
      <c r="V67" s="457" t="n"/>
    </row>
    <row r="68" ht="13.5" customHeight="1" s="566">
      <c r="A68" s="40" t="n"/>
      <c r="B68" s="40" t="n"/>
      <c r="C68" s="40" t="n"/>
      <c r="D68" s="40" t="n"/>
      <c r="E68" s="40" t="n"/>
      <c r="F68" s="40" t="n"/>
      <c r="G68" s="40" t="n"/>
      <c r="H68" s="474" t="n"/>
      <c r="I68" s="466" t="n">
        <v>1.07</v>
      </c>
      <c r="J68" s="467" t="inlineStr">
        <is>
          <t>3.8.3</t>
        </is>
      </c>
      <c r="K68" s="467" t="inlineStr">
        <is>
          <t>03.08.03.0</t>
        </is>
      </c>
      <c r="L68" s="467" t="inlineStr">
        <is>
          <t>Basic</t>
        </is>
      </c>
      <c r="M68" s="468" t="n">
        <v>5</v>
      </c>
      <c r="N68" s="469" t="inlineStr">
        <is>
          <t>MP</t>
        </is>
      </c>
      <c r="O68" s="469" t="inlineStr">
        <is>
          <t>Media Protection</t>
        </is>
      </c>
      <c r="P68" s="470" t="inlineStr">
        <is>
          <t>MP.L1-3.8.3</t>
        </is>
      </c>
      <c r="Q68" s="456" t="n"/>
      <c r="R68" s="457" t="n"/>
      <c r="S68" s="457" t="n"/>
      <c r="T68" s="457" t="n"/>
      <c r="U68" s="457" t="n"/>
      <c r="V68" s="457" t="n"/>
    </row>
    <row r="69" ht="13.5" customHeight="1" s="566">
      <c r="A69" s="40" t="n"/>
      <c r="B69" s="40" t="n"/>
      <c r="C69" s="40" t="n"/>
      <c r="D69" s="40" t="n"/>
      <c r="E69" s="40" t="n"/>
      <c r="F69" s="40" t="n"/>
      <c r="G69" s="40" t="n"/>
      <c r="H69" s="474" t="n"/>
      <c r="I69" s="473" t="n">
        <v>5.09</v>
      </c>
      <c r="J69" s="467" t="inlineStr">
        <is>
          <t>3.8.4</t>
        </is>
      </c>
      <c r="K69" s="467" t="inlineStr">
        <is>
          <t>03.08.04.0</t>
        </is>
      </c>
      <c r="L69" s="467" t="inlineStr">
        <is>
          <t>Derived</t>
        </is>
      </c>
      <c r="M69" s="468" t="n">
        <v>1</v>
      </c>
      <c r="N69" s="469" t="inlineStr">
        <is>
          <t>MP</t>
        </is>
      </c>
      <c r="O69" s="469" t="inlineStr">
        <is>
          <t>Media Protection</t>
        </is>
      </c>
      <c r="P69" s="470" t="inlineStr">
        <is>
          <t>MP.L2-3.8.4</t>
        </is>
      </c>
      <c r="Q69" s="456" t="n"/>
      <c r="R69" s="457" t="n"/>
      <c r="S69" s="457" t="n"/>
      <c r="T69" s="457" t="n"/>
      <c r="U69" s="457" t="n"/>
      <c r="V69" s="457" t="n"/>
    </row>
    <row r="70" ht="13.5" customHeight="1" s="566">
      <c r="A70" s="40" t="n"/>
      <c r="B70" s="40" t="n"/>
      <c r="C70" s="40" t="n"/>
      <c r="D70" s="40" t="n"/>
      <c r="E70" s="40" t="n"/>
      <c r="F70" s="40" t="n"/>
      <c r="G70" s="40" t="n"/>
      <c r="H70" s="474" t="n"/>
      <c r="I70" s="473" t="n">
        <v>5.14</v>
      </c>
      <c r="J70" s="467" t="inlineStr">
        <is>
          <t>3.8.5</t>
        </is>
      </c>
      <c r="K70" s="467" t="inlineStr">
        <is>
          <t>03.08.05.0</t>
        </is>
      </c>
      <c r="L70" s="467" t="inlineStr">
        <is>
          <t>Derived</t>
        </is>
      </c>
      <c r="M70" s="468" t="n">
        <v>1</v>
      </c>
      <c r="N70" s="469" t="inlineStr">
        <is>
          <t>MP</t>
        </is>
      </c>
      <c r="O70" s="469" t="inlineStr">
        <is>
          <t>Media Protection</t>
        </is>
      </c>
      <c r="P70" s="470" t="inlineStr">
        <is>
          <t>MP.L2-3.8.5</t>
        </is>
      </c>
      <c r="Q70" s="456" t="n"/>
      <c r="R70" s="457" t="n"/>
      <c r="S70" s="457" t="n"/>
      <c r="T70" s="457" t="n"/>
      <c r="U70" s="457" t="n"/>
      <c r="V70" s="457" t="n"/>
    </row>
    <row r="71" ht="13.5" customHeight="1" s="566">
      <c r="A71" s="40" t="n"/>
      <c r="B71" s="40" t="n"/>
      <c r="C71" s="40" t="n"/>
      <c r="D71" s="40" t="n"/>
      <c r="E71" s="40" t="n"/>
      <c r="F71" s="40" t="n"/>
      <c r="G71" s="40" t="n"/>
      <c r="H71" s="474" t="n"/>
      <c r="I71" s="473" t="n">
        <v>5.16</v>
      </c>
      <c r="J71" s="467" t="inlineStr">
        <is>
          <t>3.8.6</t>
        </is>
      </c>
      <c r="K71" s="467" t="inlineStr">
        <is>
          <t>03.08.06.0</t>
        </is>
      </c>
      <c r="L71" s="467" t="inlineStr">
        <is>
          <t>Derived</t>
        </is>
      </c>
      <c r="M71" s="468" t="n">
        <v>1</v>
      </c>
      <c r="N71" s="469" t="inlineStr">
        <is>
          <t>MP</t>
        </is>
      </c>
      <c r="O71" s="469" t="inlineStr">
        <is>
          <t>Media Protection</t>
        </is>
      </c>
      <c r="P71" s="470" t="inlineStr">
        <is>
          <t>MP.L2-3.8.6</t>
        </is>
      </c>
      <c r="Q71" s="456" t="n"/>
      <c r="R71" s="457" t="n"/>
      <c r="S71" s="457" t="n"/>
      <c r="T71" s="457" t="n"/>
      <c r="U71" s="457" t="n"/>
      <c r="V71" s="457" t="n"/>
    </row>
    <row r="72" ht="13.5" customHeight="1" s="566">
      <c r="A72" s="40" t="n"/>
      <c r="B72" s="40" t="n"/>
      <c r="C72" s="40" t="n"/>
      <c r="D72" s="40" t="n"/>
      <c r="E72" s="40" t="n"/>
      <c r="F72" s="40" t="n"/>
      <c r="G72" s="40" t="n"/>
      <c r="H72" s="474" t="n"/>
      <c r="I72" s="484" t="n">
        <v>4.18</v>
      </c>
      <c r="J72" s="467" t="inlineStr">
        <is>
          <t>3.8.7</t>
        </is>
      </c>
      <c r="K72" s="467" t="inlineStr">
        <is>
          <t>03.08.07.0</t>
        </is>
      </c>
      <c r="L72" s="467" t="inlineStr">
        <is>
          <t>Derived</t>
        </is>
      </c>
      <c r="M72" s="468" t="n">
        <v>5</v>
      </c>
      <c r="N72" s="469" t="inlineStr">
        <is>
          <t>MP</t>
        </is>
      </c>
      <c r="O72" s="469" t="inlineStr">
        <is>
          <t>Media Protection</t>
        </is>
      </c>
      <c r="P72" s="470" t="inlineStr">
        <is>
          <t>MP.L2-3.8.7</t>
        </is>
      </c>
      <c r="Q72" s="456" t="n"/>
      <c r="R72" s="457" t="n"/>
      <c r="S72" s="457" t="n"/>
      <c r="T72" s="457" t="n"/>
      <c r="U72" s="457" t="n"/>
      <c r="V72" s="457" t="n"/>
    </row>
    <row r="73" ht="13.5" customHeight="1" s="566">
      <c r="A73" s="40" t="n"/>
      <c r="B73" s="40" t="n"/>
      <c r="C73" s="40" t="n"/>
      <c r="D73" s="40" t="n"/>
      <c r="E73" s="40" t="n"/>
      <c r="F73" s="40" t="n"/>
      <c r="G73" s="40" t="n"/>
      <c r="H73" s="474" t="n"/>
      <c r="I73" s="484" t="n">
        <v>4.19</v>
      </c>
      <c r="J73" s="467" t="inlineStr">
        <is>
          <t>3.8.8</t>
        </is>
      </c>
      <c r="K73" s="467" t="inlineStr">
        <is>
          <t>03.08.08.0</t>
        </is>
      </c>
      <c r="L73" s="467" t="inlineStr">
        <is>
          <t>Derived</t>
        </is>
      </c>
      <c r="M73" s="468" t="n">
        <v>3</v>
      </c>
      <c r="N73" s="469" t="inlineStr">
        <is>
          <t>MP</t>
        </is>
      </c>
      <c r="O73" s="469" t="inlineStr">
        <is>
          <t>Media Protection</t>
        </is>
      </c>
      <c r="P73" s="470" t="inlineStr">
        <is>
          <t>MP.L2-3.8.8</t>
        </is>
      </c>
      <c r="Q73" s="456" t="n"/>
      <c r="R73" s="457" t="n"/>
      <c r="S73" s="457" t="n"/>
      <c r="T73" s="457" t="n"/>
      <c r="U73" s="457" t="n"/>
      <c r="V73" s="457" t="n"/>
    </row>
    <row r="74" ht="13.5" customHeight="1" s="566">
      <c r="A74" s="40" t="n"/>
      <c r="B74" s="40" t="n"/>
      <c r="C74" s="40" t="n"/>
      <c r="D74" s="40" t="n"/>
      <c r="E74" s="40" t="n"/>
      <c r="F74" s="40" t="n"/>
      <c r="G74" s="40" t="n"/>
      <c r="H74" s="474" t="n"/>
      <c r="I74" s="473" t="n">
        <v>5.12</v>
      </c>
      <c r="J74" s="467" t="inlineStr">
        <is>
          <t>3.8.9</t>
        </is>
      </c>
      <c r="K74" s="467" t="inlineStr">
        <is>
          <t>03.08.09.0</t>
        </is>
      </c>
      <c r="L74" s="467" t="inlineStr">
        <is>
          <t>Derived</t>
        </is>
      </c>
      <c r="M74" s="468" t="n">
        <v>1</v>
      </c>
      <c r="N74" s="469" t="inlineStr">
        <is>
          <t>MP</t>
        </is>
      </c>
      <c r="O74" s="469" t="inlineStr">
        <is>
          <t>Media Protection</t>
        </is>
      </c>
      <c r="P74" s="470" t="inlineStr">
        <is>
          <t>MP.L2-3.8.9</t>
        </is>
      </c>
      <c r="Q74" s="456" t="n"/>
      <c r="R74" s="457" t="n"/>
      <c r="S74" s="457" t="n"/>
      <c r="T74" s="457" t="n"/>
      <c r="U74" s="457" t="n"/>
      <c r="V74" s="457" t="n"/>
    </row>
    <row r="75" ht="13.5" customHeight="1" s="566">
      <c r="A75" s="40" t="n"/>
      <c r="B75" s="40" t="n"/>
      <c r="C75" s="40" t="n"/>
      <c r="D75" s="40" t="n"/>
      <c r="E75" s="40" t="n"/>
      <c r="F75" s="40" t="n"/>
      <c r="G75" s="40" t="n"/>
      <c r="H75" s="474" t="n"/>
      <c r="I75" s="473" t="n">
        <v>5.17</v>
      </c>
      <c r="J75" s="467" t="inlineStr">
        <is>
          <t>3.9.1</t>
        </is>
      </c>
      <c r="K75" s="467" t="inlineStr">
        <is>
          <t>03.09.01.0</t>
        </is>
      </c>
      <c r="L75" s="467" t="inlineStr">
        <is>
          <t>Basic</t>
        </is>
      </c>
      <c r="M75" s="468" t="n">
        <v>3</v>
      </c>
      <c r="N75" s="469" t="inlineStr">
        <is>
          <t>PS</t>
        </is>
      </c>
      <c r="O75" s="469" t="inlineStr">
        <is>
          <t>Personnel Security</t>
        </is>
      </c>
      <c r="P75" s="470" t="inlineStr">
        <is>
          <t>PS.L2-3.9.1</t>
        </is>
      </c>
      <c r="Q75" s="456" t="n"/>
      <c r="R75" s="457" t="n"/>
      <c r="S75" s="457" t="n"/>
      <c r="T75" s="457" t="n"/>
      <c r="U75" s="457" t="n"/>
      <c r="V75" s="457" t="n"/>
    </row>
    <row r="76" ht="13.5" customHeight="1" s="566">
      <c r="A76" s="40" t="n"/>
      <c r="B76" s="40" t="n"/>
      <c r="C76" s="40" t="n"/>
      <c r="D76" s="40" t="n"/>
      <c r="E76" s="40" t="n"/>
      <c r="F76" s="40" t="n"/>
      <c r="G76" s="40" t="n"/>
      <c r="H76" s="474" t="n"/>
      <c r="I76" s="473" t="n">
        <v>5.18</v>
      </c>
      <c r="J76" s="467" t="inlineStr">
        <is>
          <t>3.9.2</t>
        </is>
      </c>
      <c r="K76" s="467" t="inlineStr">
        <is>
          <t>03.09.02.0</t>
        </is>
      </c>
      <c r="L76" s="467" t="inlineStr">
        <is>
          <t>Basic</t>
        </is>
      </c>
      <c r="M76" s="468" t="n">
        <v>5</v>
      </c>
      <c r="N76" s="469" t="inlineStr">
        <is>
          <t>PS</t>
        </is>
      </c>
      <c r="O76" s="469" t="inlineStr">
        <is>
          <t>Personnel Security</t>
        </is>
      </c>
      <c r="P76" s="470" t="inlineStr">
        <is>
          <t>PS.L2-3.9.2</t>
        </is>
      </c>
      <c r="Q76" s="456" t="n"/>
      <c r="R76" s="457" t="n"/>
      <c r="S76" s="457" t="n"/>
      <c r="T76" s="457" t="n"/>
      <c r="U76" s="457" t="n"/>
      <c r="V76" s="457" t="n"/>
    </row>
    <row r="77" ht="13.5" customHeight="1" s="566">
      <c r="A77" s="40" t="n"/>
      <c r="B77" s="40" t="n"/>
      <c r="C77" s="40" t="n"/>
      <c r="D77" s="40" t="n"/>
      <c r="E77" s="40" t="n"/>
      <c r="F77" s="40" t="n"/>
      <c r="G77" s="40" t="n"/>
      <c r="H77" s="474" t="n"/>
      <c r="I77" s="466" t="n">
        <v>1.03</v>
      </c>
      <c r="J77" s="467" t="inlineStr">
        <is>
          <t>3.10.1</t>
        </is>
      </c>
      <c r="K77" s="467" t="inlineStr">
        <is>
          <t>03.10.01.0</t>
        </is>
      </c>
      <c r="L77" s="467" t="inlineStr">
        <is>
          <t>Basic</t>
        </is>
      </c>
      <c r="M77" s="468" t="n">
        <v>5</v>
      </c>
      <c r="N77" s="469" t="inlineStr">
        <is>
          <t>PE</t>
        </is>
      </c>
      <c r="O77" s="469" t="inlineStr">
        <is>
          <t>Physical Protection</t>
        </is>
      </c>
      <c r="P77" s="470" t="inlineStr">
        <is>
          <t>PE.L1-3.10.1</t>
        </is>
      </c>
      <c r="Q77" s="456" t="n"/>
      <c r="R77" s="457" t="n"/>
      <c r="S77" s="457" t="n"/>
      <c r="T77" s="457" t="n"/>
      <c r="U77" s="457" t="n"/>
      <c r="V77" s="457" t="n"/>
    </row>
    <row r="78" ht="13.5" customHeight="1" s="566">
      <c r="A78" s="40" t="n"/>
      <c r="B78" s="40" t="n"/>
      <c r="C78" s="40" t="n"/>
      <c r="D78" s="40" t="n"/>
      <c r="E78" s="40" t="n"/>
      <c r="F78" s="40" t="n"/>
      <c r="G78" s="40" t="n"/>
      <c r="H78" s="474" t="n"/>
      <c r="I78" s="476" t="n">
        <v>2.06</v>
      </c>
      <c r="J78" s="467" t="inlineStr">
        <is>
          <t>3.10.2</t>
        </is>
      </c>
      <c r="K78" s="467" t="inlineStr">
        <is>
          <t>03.10.02.0</t>
        </is>
      </c>
      <c r="L78" s="467" t="inlineStr">
        <is>
          <t>Basic</t>
        </is>
      </c>
      <c r="M78" s="468" t="n">
        <v>5</v>
      </c>
      <c r="N78" s="469" t="inlineStr">
        <is>
          <t>PE</t>
        </is>
      </c>
      <c r="O78" s="469" t="inlineStr">
        <is>
          <t>Physical Protection</t>
        </is>
      </c>
      <c r="P78" s="470" t="inlineStr">
        <is>
          <t>PE.L2-3.10.2</t>
        </is>
      </c>
      <c r="Q78" s="456" t="n"/>
      <c r="R78" s="457" t="n"/>
      <c r="S78" s="457" t="n"/>
      <c r="T78" s="457" t="n"/>
      <c r="U78" s="457" t="n"/>
      <c r="V78" s="457" t="n"/>
    </row>
    <row r="79" ht="13.5" customHeight="1" s="566">
      <c r="A79" s="40" t="n"/>
      <c r="B79" s="40" t="n"/>
      <c r="C79" s="40" t="n"/>
      <c r="D79" s="40" t="n"/>
      <c r="E79" s="40" t="n"/>
      <c r="F79" s="40" t="n"/>
      <c r="G79" s="40" t="n"/>
      <c r="H79" s="474" t="n"/>
      <c r="I79" s="466" t="n">
        <v>1.04</v>
      </c>
      <c r="J79" s="478" t="inlineStr">
        <is>
          <t>3.10.3</t>
        </is>
      </c>
      <c r="K79" s="467" t="inlineStr">
        <is>
          <t>03.10.03.0</t>
        </is>
      </c>
      <c r="L79" s="467" t="inlineStr">
        <is>
          <t>Derived</t>
        </is>
      </c>
      <c r="M79" s="468" t="n">
        <v>1</v>
      </c>
      <c r="N79" s="469" t="inlineStr">
        <is>
          <t>PE</t>
        </is>
      </c>
      <c r="O79" s="469" t="inlineStr">
        <is>
          <t>Physical Protection</t>
        </is>
      </c>
      <c r="P79" s="470" t="inlineStr">
        <is>
          <t>PE.L1-3.10.3</t>
        </is>
      </c>
      <c r="Q79" s="456" t="n"/>
      <c r="R79" s="457" t="n"/>
      <c r="S79" s="457" t="n"/>
      <c r="T79" s="457" t="n"/>
      <c r="U79" s="457" t="n"/>
      <c r="V79" s="457" t="n"/>
    </row>
    <row r="80" ht="13.5" customHeight="1" s="566">
      <c r="A80" s="40" t="n"/>
      <c r="B80" s="40" t="n"/>
      <c r="C80" s="40" t="n"/>
      <c r="D80" s="40" t="n"/>
      <c r="E80" s="40" t="n"/>
      <c r="F80" s="40" t="n"/>
      <c r="G80" s="40" t="n"/>
      <c r="H80" s="474" t="n"/>
      <c r="I80" s="466" t="n">
        <v>1.05</v>
      </c>
      <c r="J80" s="478" t="inlineStr">
        <is>
          <t>3.10.4</t>
        </is>
      </c>
      <c r="K80" s="467" t="inlineStr">
        <is>
          <t>03.10.04.0</t>
        </is>
      </c>
      <c r="L80" s="467" t="inlineStr">
        <is>
          <t>Derived</t>
        </is>
      </c>
      <c r="M80" s="468" t="n">
        <v>1</v>
      </c>
      <c r="N80" s="469" t="inlineStr">
        <is>
          <t>PE</t>
        </is>
      </c>
      <c r="O80" s="469" t="inlineStr">
        <is>
          <t>Physical Protection</t>
        </is>
      </c>
      <c r="P80" s="470" t="inlineStr">
        <is>
          <t>PE.L1-3.10.4</t>
        </is>
      </c>
      <c r="Q80" s="456" t="n"/>
      <c r="R80" s="457" t="n"/>
      <c r="S80" s="457" t="n"/>
      <c r="T80" s="457" t="n"/>
      <c r="U80" s="457" t="n"/>
      <c r="V80" s="457" t="n"/>
    </row>
    <row r="81" ht="13.5" customHeight="1" s="566">
      <c r="A81" s="40" t="n"/>
      <c r="B81" s="40" t="n"/>
      <c r="C81" s="40" t="n"/>
      <c r="D81" s="40" t="n"/>
      <c r="E81" s="40" t="n"/>
      <c r="F81" s="40" t="n"/>
      <c r="G81" s="40" t="n"/>
      <c r="H81" s="474" t="n"/>
      <c r="I81" s="466" t="n">
        <v>1.06</v>
      </c>
      <c r="J81" s="478" t="inlineStr">
        <is>
          <t>3.10.5</t>
        </is>
      </c>
      <c r="K81" s="467" t="inlineStr">
        <is>
          <t>03.10.05.0</t>
        </is>
      </c>
      <c r="L81" s="467" t="inlineStr">
        <is>
          <t>Derived</t>
        </is>
      </c>
      <c r="M81" s="468" t="n">
        <v>1</v>
      </c>
      <c r="N81" s="469" t="inlineStr">
        <is>
          <t>PE</t>
        </is>
      </c>
      <c r="O81" s="469" t="inlineStr">
        <is>
          <t>Physical Protection</t>
        </is>
      </c>
      <c r="P81" s="470" t="inlineStr">
        <is>
          <t>PE.L1-3.10.5</t>
        </is>
      </c>
      <c r="Q81" s="456" t="n"/>
      <c r="R81" s="457" t="n"/>
      <c r="S81" s="457" t="n"/>
      <c r="T81" s="457" t="n"/>
      <c r="U81" s="457" t="n"/>
      <c r="V81" s="457" t="n"/>
    </row>
    <row r="82" ht="13.5" customHeight="1" s="566">
      <c r="A82" s="40" t="n"/>
      <c r="B82" s="40" t="n"/>
      <c r="C82" s="40" t="n"/>
      <c r="D82" s="40" t="n"/>
      <c r="E82" s="40" t="n"/>
      <c r="F82" s="40" t="n"/>
      <c r="G82" s="40" t="n"/>
      <c r="H82" s="474" t="n"/>
      <c r="I82" s="473" t="n">
        <v>5.29</v>
      </c>
      <c r="J82" s="467" t="inlineStr">
        <is>
          <t>3.10.6</t>
        </is>
      </c>
      <c r="K82" s="467" t="inlineStr">
        <is>
          <t>03.10.06.0</t>
        </is>
      </c>
      <c r="L82" s="467" t="inlineStr">
        <is>
          <t>Derived</t>
        </is>
      </c>
      <c r="M82" s="468" t="n">
        <v>1</v>
      </c>
      <c r="N82" s="469" t="inlineStr">
        <is>
          <t>PE</t>
        </is>
      </c>
      <c r="O82" s="469" t="inlineStr">
        <is>
          <t>Physical Protection</t>
        </is>
      </c>
      <c r="P82" s="470" t="inlineStr">
        <is>
          <t>PE.L2-3.10.6</t>
        </is>
      </c>
      <c r="Q82" s="456" t="n"/>
      <c r="R82" s="457" t="n"/>
      <c r="S82" s="457" t="n"/>
      <c r="T82" s="457" t="n"/>
      <c r="U82" s="457" t="n"/>
      <c r="V82" s="457" t="n"/>
    </row>
    <row r="83" ht="13.5" customHeight="1" s="566">
      <c r="A83" s="40" t="n"/>
      <c r="B83" s="40" t="n"/>
      <c r="C83" s="40" t="n"/>
      <c r="D83" s="40" t="n"/>
      <c r="E83" s="40" t="n"/>
      <c r="F83" s="40" t="n"/>
      <c r="G83" s="40" t="n"/>
      <c r="H83" s="474" t="n"/>
      <c r="I83" s="476" t="n">
        <v>2.16</v>
      </c>
      <c r="J83" s="467" t="inlineStr">
        <is>
          <t>3.11.1</t>
        </is>
      </c>
      <c r="K83" s="467" t="inlineStr">
        <is>
          <t>03.11.01.0</t>
        </is>
      </c>
      <c r="L83" s="467" t="inlineStr">
        <is>
          <t>Basic</t>
        </is>
      </c>
      <c r="M83" s="468" t="n">
        <v>3</v>
      </c>
      <c r="N83" s="469" t="inlineStr">
        <is>
          <t>RA</t>
        </is>
      </c>
      <c r="O83" s="469" t="inlineStr">
        <is>
          <t>Risk Assessment</t>
        </is>
      </c>
      <c r="P83" s="470" t="inlineStr">
        <is>
          <t>RA.L2-3.11.1</t>
        </is>
      </c>
      <c r="Q83" s="456" t="n"/>
      <c r="R83" s="457" t="n"/>
      <c r="S83" s="457" t="n"/>
      <c r="T83" s="457" t="n"/>
      <c r="U83" s="457" t="n"/>
      <c r="V83" s="457" t="n"/>
    </row>
    <row r="84" ht="13.5" customHeight="1" s="566">
      <c r="A84" s="40" t="n"/>
      <c r="B84" s="40" t="n"/>
      <c r="C84" s="40" t="n"/>
      <c r="D84" s="40" t="n"/>
      <c r="E84" s="40" t="n"/>
      <c r="F84" s="40" t="n"/>
      <c r="G84" s="40" t="n"/>
      <c r="H84" s="474" t="n"/>
      <c r="I84" s="476" t="n">
        <v>2.15</v>
      </c>
      <c r="J84" s="467" t="inlineStr">
        <is>
          <t>3.11.2</t>
        </is>
      </c>
      <c r="K84" s="467" t="inlineStr">
        <is>
          <t>03.11.02.0</t>
        </is>
      </c>
      <c r="L84" s="467" t="inlineStr">
        <is>
          <t>Derived</t>
        </is>
      </c>
      <c r="M84" s="468" t="n">
        <v>5</v>
      </c>
      <c r="N84" s="469" t="inlineStr">
        <is>
          <t>RA</t>
        </is>
      </c>
      <c r="O84" s="469" t="inlineStr">
        <is>
          <t>Risk Assessment</t>
        </is>
      </c>
      <c r="P84" s="470" t="inlineStr">
        <is>
          <t>RA.L2-3.11.2</t>
        </is>
      </c>
      <c r="Q84" s="456" t="n"/>
      <c r="R84" s="457" t="n"/>
      <c r="S84" s="457" t="n"/>
      <c r="T84" s="457" t="n"/>
      <c r="U84" s="457" t="n"/>
      <c r="V84" s="457" t="n"/>
    </row>
    <row r="85" ht="13.5" customHeight="1" s="566">
      <c r="A85" s="40" t="n"/>
      <c r="B85" s="40" t="n"/>
      <c r="C85" s="40" t="n"/>
      <c r="D85" s="40" t="n"/>
      <c r="E85" s="40" t="n"/>
      <c r="F85" s="40" t="n"/>
      <c r="G85" s="40" t="n"/>
      <c r="H85" s="474" t="n"/>
      <c r="I85" s="476" t="n">
        <v>2.17</v>
      </c>
      <c r="J85" s="467" t="inlineStr">
        <is>
          <t>3.11.3</t>
        </is>
      </c>
      <c r="K85" s="467" t="inlineStr">
        <is>
          <t>03.11.03.0</t>
        </is>
      </c>
      <c r="L85" s="467" t="inlineStr">
        <is>
          <t>Derived</t>
        </is>
      </c>
      <c r="M85" s="468" t="n">
        <v>1</v>
      </c>
      <c r="N85" s="469" t="inlineStr">
        <is>
          <t>RA</t>
        </is>
      </c>
      <c r="O85" s="469" t="inlineStr">
        <is>
          <t>Risk Assessment</t>
        </is>
      </c>
      <c r="P85" s="470" t="inlineStr">
        <is>
          <t>RA.L2-3.11.3</t>
        </is>
      </c>
      <c r="Q85" s="456" t="n"/>
      <c r="R85" s="457" t="n"/>
      <c r="S85" s="457" t="n"/>
      <c r="T85" s="457" t="n"/>
      <c r="U85" s="457" t="n"/>
      <c r="V85" s="457" t="n"/>
    </row>
    <row r="86" ht="13.5" customHeight="1" s="566">
      <c r="A86" s="40" t="n"/>
      <c r="B86" s="40" t="n"/>
      <c r="C86" s="40" t="n"/>
      <c r="D86" s="40" t="n"/>
      <c r="E86" s="40" t="n"/>
      <c r="F86" s="40" t="n"/>
      <c r="G86" s="40" t="n"/>
      <c r="H86" s="474" t="n"/>
      <c r="I86" s="476" t="n">
        <v>2.01</v>
      </c>
      <c r="J86" s="467" t="inlineStr">
        <is>
          <t>3.12.1</t>
        </is>
      </c>
      <c r="K86" s="467" t="inlineStr">
        <is>
          <t>03.12.01.0</t>
        </is>
      </c>
      <c r="L86" s="467" t="inlineStr">
        <is>
          <t>Basic</t>
        </is>
      </c>
      <c r="M86" s="468" t="n">
        <v>5</v>
      </c>
      <c r="N86" s="469" t="inlineStr">
        <is>
          <t>CA</t>
        </is>
      </c>
      <c r="O86" s="469" t="inlineStr">
        <is>
          <t>Security Assessment</t>
        </is>
      </c>
      <c r="P86" s="470" t="inlineStr">
        <is>
          <t>CA.L2-3.12.1</t>
        </is>
      </c>
      <c r="Q86" s="456" t="n"/>
      <c r="R86" s="457" t="n"/>
      <c r="S86" s="457" t="n"/>
      <c r="T86" s="457" t="n"/>
      <c r="U86" s="457" t="n"/>
      <c r="V86" s="457" t="n"/>
    </row>
    <row r="87" ht="13.5" customHeight="1" s="566">
      <c r="A87" s="40" t="n"/>
      <c r="B87" s="40" t="n"/>
      <c r="C87" s="40" t="n"/>
      <c r="D87" s="40" t="n"/>
      <c r="E87" s="40" t="n"/>
      <c r="F87" s="40" t="n"/>
      <c r="G87" s="40" t="n"/>
      <c r="H87" s="474" t="n"/>
      <c r="I87" s="476" t="n">
        <v>2.23</v>
      </c>
      <c r="J87" s="467" t="inlineStr">
        <is>
          <t>3.12.2</t>
        </is>
      </c>
      <c r="K87" s="467" t="inlineStr">
        <is>
          <t>03.12.02.0</t>
        </is>
      </c>
      <c r="L87" s="467" t="inlineStr">
        <is>
          <t>Basic</t>
        </is>
      </c>
      <c r="M87" s="468" t="n">
        <v>3</v>
      </c>
      <c r="N87" s="469" t="inlineStr">
        <is>
          <t>CA</t>
        </is>
      </c>
      <c r="O87" s="469" t="inlineStr">
        <is>
          <t>Security Assessment</t>
        </is>
      </c>
      <c r="P87" s="470" t="inlineStr">
        <is>
          <t>CA.L2-3.12.2</t>
        </is>
      </c>
      <c r="Q87" s="456" t="n"/>
      <c r="R87" s="457" t="n"/>
      <c r="S87" s="457" t="n"/>
      <c r="T87" s="457" t="n"/>
      <c r="U87" s="457" t="n"/>
      <c r="V87" s="457" t="n"/>
    </row>
    <row r="88" ht="13.5" customHeight="1" s="566">
      <c r="A88" s="40" t="n"/>
      <c r="B88" s="40" t="n"/>
      <c r="C88" s="40" t="n"/>
      <c r="D88" s="40" t="n"/>
      <c r="E88" s="40" t="n"/>
      <c r="F88" s="40" t="n"/>
      <c r="G88" s="40" t="n"/>
      <c r="H88" s="474" t="n"/>
      <c r="I88" s="473" t="n">
        <v>5.08</v>
      </c>
      <c r="J88" s="467" t="inlineStr">
        <is>
          <t>3.12.3</t>
        </is>
      </c>
      <c r="K88" s="467" t="inlineStr">
        <is>
          <t>03.12.03.0</t>
        </is>
      </c>
      <c r="L88" s="467" t="inlineStr">
        <is>
          <t>Basic</t>
        </is>
      </c>
      <c r="M88" s="468" t="n">
        <v>5</v>
      </c>
      <c r="N88" s="469" t="inlineStr">
        <is>
          <t>CA</t>
        </is>
      </c>
      <c r="O88" s="469" t="inlineStr">
        <is>
          <t>Security Assessment</t>
        </is>
      </c>
      <c r="P88" s="470" t="inlineStr">
        <is>
          <t>CA.L2-3.12.3</t>
        </is>
      </c>
      <c r="Q88" s="456" t="n"/>
      <c r="R88" s="457" t="n"/>
      <c r="S88" s="457" t="n"/>
      <c r="T88" s="457" t="n"/>
      <c r="U88" s="457" t="n"/>
      <c r="V88" s="457" t="n"/>
    </row>
    <row r="89" ht="13.5" customHeight="1" s="566">
      <c r="A89" s="40" t="n"/>
      <c r="B89" s="40" t="n"/>
      <c r="C89" s="40" t="n"/>
      <c r="D89" s="40" t="n"/>
      <c r="E89" s="40" t="n"/>
      <c r="F89" s="40" t="n"/>
      <c r="G89" s="40" t="n"/>
      <c r="H89" s="474" t="n"/>
      <c r="I89" s="476" t="n">
        <v>2.02</v>
      </c>
      <c r="J89" s="467" t="inlineStr">
        <is>
          <t>3.12.4</t>
        </is>
      </c>
      <c r="K89" s="467" t="inlineStr">
        <is>
          <t>03.12.04.0</t>
        </is>
      </c>
      <c r="L89" s="467" t="inlineStr">
        <is>
          <t>Basic</t>
        </is>
      </c>
      <c r="M89" s="468" t="n">
        <v>0</v>
      </c>
      <c r="N89" s="469" t="inlineStr">
        <is>
          <t>CA</t>
        </is>
      </c>
      <c r="O89" s="469" t="inlineStr">
        <is>
          <t>Security Assessment</t>
        </is>
      </c>
      <c r="P89" s="470" t="inlineStr">
        <is>
          <t>CA.L2-3.12.4</t>
        </is>
      </c>
      <c r="Q89" s="456" t="n"/>
      <c r="R89" s="457" t="n"/>
      <c r="S89" s="457" t="n"/>
      <c r="T89" s="457" t="n"/>
      <c r="U89" s="457" t="n"/>
      <c r="V89" s="457" t="n"/>
    </row>
    <row r="90" ht="13.5" customHeight="1" s="566">
      <c r="A90" s="40" t="n"/>
      <c r="B90" s="40" t="n"/>
      <c r="C90" s="40" t="n"/>
      <c r="D90" s="40" t="n"/>
      <c r="E90" s="40" t="n"/>
      <c r="F90" s="40" t="n"/>
      <c r="G90" s="40" t="n"/>
      <c r="H90" s="474" t="n"/>
      <c r="I90" s="466" t="n">
        <v>1.01</v>
      </c>
      <c r="J90" s="467" t="inlineStr">
        <is>
          <t>3.13.1</t>
        </is>
      </c>
      <c r="K90" s="467" t="inlineStr">
        <is>
          <t>03.13.01.0</t>
        </is>
      </c>
      <c r="L90" s="467" t="inlineStr">
        <is>
          <t>Basic</t>
        </is>
      </c>
      <c r="M90" s="468" t="n">
        <v>5</v>
      </c>
      <c r="N90" s="469" t="inlineStr">
        <is>
          <t>SC</t>
        </is>
      </c>
      <c r="O90" s="469" t="inlineStr">
        <is>
          <t>System and Communication Protection</t>
        </is>
      </c>
      <c r="P90" s="470" t="inlineStr">
        <is>
          <t>SC.L1-3.13.1</t>
        </is>
      </c>
      <c r="Q90" s="456" t="n"/>
      <c r="R90" s="457" t="n"/>
      <c r="S90" s="457" t="n"/>
      <c r="T90" s="457" t="n"/>
      <c r="U90" s="457" t="n"/>
      <c r="V90" s="457" t="n"/>
    </row>
    <row r="91" ht="13.5" customHeight="1" s="566">
      <c r="A91" s="40" t="n"/>
      <c r="B91" s="40" t="n"/>
      <c r="C91" s="40" t="n"/>
      <c r="D91" s="40" t="n"/>
      <c r="E91" s="40" t="n"/>
      <c r="F91" s="40" t="n"/>
      <c r="G91" s="40" t="n"/>
      <c r="H91" s="474" t="n"/>
      <c r="I91" s="476" t="n">
        <v>2.21</v>
      </c>
      <c r="J91" s="467" t="inlineStr">
        <is>
          <t>3.13.2</t>
        </is>
      </c>
      <c r="K91" s="467" t="inlineStr">
        <is>
          <t>03.13.02.0</t>
        </is>
      </c>
      <c r="L91" s="467" t="inlineStr">
        <is>
          <t>Basic</t>
        </is>
      </c>
      <c r="M91" s="468" t="n">
        <v>5</v>
      </c>
      <c r="N91" s="469" t="inlineStr">
        <is>
          <t>SC</t>
        </is>
      </c>
      <c r="O91" s="469" t="inlineStr">
        <is>
          <t>System and Communication Protection</t>
        </is>
      </c>
      <c r="P91" s="470" t="inlineStr">
        <is>
          <t>SC.L2-3.13.2</t>
        </is>
      </c>
      <c r="Q91" s="456" t="n"/>
      <c r="R91" s="457" t="n"/>
      <c r="S91" s="457" t="n"/>
      <c r="T91" s="457" t="n"/>
      <c r="U91" s="457" t="n"/>
      <c r="V91" s="457" t="n"/>
    </row>
    <row r="92" ht="13.5" customHeight="1" s="566">
      <c r="A92" s="40" t="n"/>
      <c r="B92" s="40" t="n"/>
      <c r="C92" s="40" t="n"/>
      <c r="D92" s="40" t="n"/>
      <c r="E92" s="40" t="n"/>
      <c r="F92" s="40" t="n"/>
      <c r="G92" s="40" t="n"/>
      <c r="H92" s="474" t="n"/>
      <c r="I92" s="476" t="n">
        <v>2.1</v>
      </c>
      <c r="J92" s="467" t="inlineStr">
        <is>
          <t>3.13.3</t>
        </is>
      </c>
      <c r="K92" s="467" t="inlineStr">
        <is>
          <t>03.13.03.0</t>
        </is>
      </c>
      <c r="L92" s="467" t="inlineStr">
        <is>
          <t>Derived</t>
        </is>
      </c>
      <c r="M92" s="468" t="n">
        <v>1</v>
      </c>
      <c r="N92" s="469" t="inlineStr">
        <is>
          <t>SC</t>
        </is>
      </c>
      <c r="O92" s="469" t="inlineStr">
        <is>
          <t>System and Communication Protection</t>
        </is>
      </c>
      <c r="P92" s="470" t="inlineStr">
        <is>
          <t>SC.L2-3.13.3</t>
        </is>
      </c>
      <c r="Q92" s="456" t="n"/>
      <c r="R92" s="457" t="n"/>
      <c r="S92" s="457" t="n"/>
      <c r="T92" s="457" t="n"/>
      <c r="U92" s="457" t="n"/>
      <c r="V92" s="457" t="n"/>
    </row>
    <row r="93" ht="13.5" customHeight="1" s="566">
      <c r="A93" s="40" t="n"/>
      <c r="B93" s="40" t="n"/>
      <c r="C93" s="40" t="n"/>
      <c r="D93" s="40" t="n"/>
      <c r="E93" s="40" t="n"/>
      <c r="F93" s="40" t="n"/>
      <c r="G93" s="40" t="n"/>
      <c r="H93" s="474" t="n"/>
      <c r="I93" s="484" t="n">
        <v>4.11</v>
      </c>
      <c r="J93" s="467" t="inlineStr">
        <is>
          <t>3.13.4</t>
        </is>
      </c>
      <c r="K93" s="467" t="inlineStr">
        <is>
          <t>03.13.04.0</t>
        </is>
      </c>
      <c r="L93" s="467" t="inlineStr">
        <is>
          <t>Derived</t>
        </is>
      </c>
      <c r="M93" s="468" t="n">
        <v>1</v>
      </c>
      <c r="N93" s="469" t="inlineStr">
        <is>
          <t>SC</t>
        </is>
      </c>
      <c r="O93" s="469" t="inlineStr">
        <is>
          <t>System and Communication Protection</t>
        </is>
      </c>
      <c r="P93" s="470" t="inlineStr">
        <is>
          <t>SC.L2-3.13.4</t>
        </is>
      </c>
      <c r="Q93" s="456" t="n"/>
      <c r="R93" s="457" t="n"/>
      <c r="S93" s="457" t="n"/>
      <c r="T93" s="457" t="n"/>
      <c r="U93" s="457" t="n"/>
      <c r="V93" s="457" t="n"/>
    </row>
    <row r="94" ht="13.5" customHeight="1" s="566">
      <c r="A94" s="40" t="n"/>
      <c r="B94" s="40" t="n"/>
      <c r="C94" s="40" t="n"/>
      <c r="D94" s="40" t="n"/>
      <c r="E94" s="40" t="n"/>
      <c r="F94" s="40" t="n"/>
      <c r="G94" s="40" t="n"/>
      <c r="H94" s="474" t="n"/>
      <c r="I94" s="466" t="n">
        <v>1.02</v>
      </c>
      <c r="J94" s="467" t="inlineStr">
        <is>
          <t>3.13.5</t>
        </is>
      </c>
      <c r="K94" s="467" t="inlineStr">
        <is>
          <t>03.13.05.0</t>
        </is>
      </c>
      <c r="L94" s="467" t="inlineStr">
        <is>
          <t>Derived</t>
        </is>
      </c>
      <c r="M94" s="468" t="n">
        <v>5</v>
      </c>
      <c r="N94" s="469" t="inlineStr">
        <is>
          <t>SC</t>
        </is>
      </c>
      <c r="O94" s="469" t="inlineStr">
        <is>
          <t>System and Communication Protection</t>
        </is>
      </c>
      <c r="P94" s="470" t="inlineStr">
        <is>
          <t>SC.L1-3.13.5</t>
        </is>
      </c>
      <c r="Q94" s="456" t="n"/>
      <c r="R94" s="457" t="n"/>
      <c r="S94" s="457" t="n"/>
      <c r="T94" s="457" t="n"/>
      <c r="U94" s="457" t="n"/>
      <c r="V94" s="457" t="n"/>
    </row>
    <row r="95" ht="13.5" customHeight="1" s="566">
      <c r="A95" s="40" t="n"/>
      <c r="B95" s="40" t="n"/>
      <c r="C95" s="40" t="n"/>
      <c r="D95" s="40" t="n"/>
      <c r="E95" s="40" t="n"/>
      <c r="F95" s="40" t="n"/>
      <c r="G95" s="40" t="n"/>
      <c r="H95" s="474" t="n"/>
      <c r="I95" s="473" t="n">
        <v>5.01</v>
      </c>
      <c r="J95" s="467" t="inlineStr">
        <is>
          <t>3.13.6</t>
        </is>
      </c>
      <c r="K95" s="467" t="inlineStr">
        <is>
          <t>03.13.06.0</t>
        </is>
      </c>
      <c r="L95" s="467" t="inlineStr">
        <is>
          <t>Derived</t>
        </is>
      </c>
      <c r="M95" s="468" t="n">
        <v>5</v>
      </c>
      <c r="N95" s="469" t="inlineStr">
        <is>
          <t>SC</t>
        </is>
      </c>
      <c r="O95" s="469" t="inlineStr">
        <is>
          <t>System and Communication Protection</t>
        </is>
      </c>
      <c r="P95" s="470" t="inlineStr">
        <is>
          <t>SC.L2-3.13.6</t>
        </is>
      </c>
      <c r="Q95" s="456" t="n"/>
      <c r="R95" s="457" t="n"/>
      <c r="S95" s="457" t="n"/>
      <c r="T95" s="457" t="n"/>
      <c r="U95" s="457" t="n"/>
      <c r="V95" s="457" t="n"/>
    </row>
    <row r="96" ht="13.5" customHeight="1" s="566">
      <c r="A96" s="40" t="n"/>
      <c r="B96" s="40" t="n"/>
      <c r="C96" s="40" t="n"/>
      <c r="D96" s="40" t="n"/>
      <c r="E96" s="40" t="n"/>
      <c r="F96" s="40" t="n"/>
      <c r="G96" s="40" t="n"/>
      <c r="H96" s="474" t="n"/>
      <c r="I96" s="473" t="n">
        <v>5.02</v>
      </c>
      <c r="J96" s="467" t="inlineStr">
        <is>
          <t>3.13.7</t>
        </is>
      </c>
      <c r="K96" s="467" t="inlineStr">
        <is>
          <t>03.13.07.0</t>
        </is>
      </c>
      <c r="L96" s="467" t="inlineStr">
        <is>
          <t>Derived</t>
        </is>
      </c>
      <c r="M96" s="468" t="n">
        <v>1</v>
      </c>
      <c r="N96" s="469" t="inlineStr">
        <is>
          <t>SC</t>
        </is>
      </c>
      <c r="O96" s="469" t="inlineStr">
        <is>
          <t>System and Communication Protection</t>
        </is>
      </c>
      <c r="P96" s="470" t="inlineStr">
        <is>
          <t>SC.L2-3.13.7</t>
        </is>
      </c>
      <c r="Q96" s="456" t="n"/>
      <c r="R96" s="457" t="n"/>
      <c r="S96" s="457" t="n"/>
      <c r="T96" s="457" t="n"/>
      <c r="U96" s="457" t="n"/>
      <c r="V96" s="457" t="n"/>
    </row>
    <row r="97" ht="13.5" customHeight="1" s="566">
      <c r="A97" s="40" t="n"/>
      <c r="B97" s="40" t="n"/>
      <c r="C97" s="40" t="n"/>
      <c r="D97" s="40" t="n"/>
      <c r="E97" s="40" t="n"/>
      <c r="F97" s="40" t="n"/>
      <c r="G97" s="40" t="n"/>
      <c r="H97" s="474" t="n"/>
      <c r="I97" s="473" t="n">
        <v>5.15</v>
      </c>
      <c r="J97" s="467" t="inlineStr">
        <is>
          <t>3.13.8</t>
        </is>
      </c>
      <c r="K97" s="467" t="inlineStr">
        <is>
          <t>03.13.08.0</t>
        </is>
      </c>
      <c r="L97" s="467" t="inlineStr">
        <is>
          <t>Derived</t>
        </is>
      </c>
      <c r="M97" s="468" t="n">
        <v>3</v>
      </c>
      <c r="N97" s="469" t="inlineStr">
        <is>
          <t>SC</t>
        </is>
      </c>
      <c r="O97" s="469" t="inlineStr">
        <is>
          <t>System and Communication Protection</t>
        </is>
      </c>
      <c r="P97" s="470" t="inlineStr">
        <is>
          <t>SC.L2-3.13.8</t>
        </is>
      </c>
      <c r="Q97" s="456" t="n"/>
      <c r="R97" s="457" t="n"/>
      <c r="S97" s="457" t="n"/>
      <c r="T97" s="457" t="n"/>
      <c r="U97" s="457" t="n"/>
      <c r="V97" s="457" t="n"/>
    </row>
    <row r="98" ht="13.5" customHeight="1" s="566">
      <c r="A98" s="40" t="n"/>
      <c r="B98" s="40" t="n"/>
      <c r="C98" s="40" t="n"/>
      <c r="D98" s="40" t="n"/>
      <c r="E98" s="40" t="n"/>
      <c r="F98" s="40" t="n"/>
      <c r="G98" s="40" t="n"/>
      <c r="H98" s="474" t="n"/>
      <c r="I98" s="473" t="n">
        <v>5.21</v>
      </c>
      <c r="J98" s="467" t="inlineStr">
        <is>
          <t>3.13.9</t>
        </is>
      </c>
      <c r="K98" s="467" t="inlineStr">
        <is>
          <t>03.13.09.0</t>
        </is>
      </c>
      <c r="L98" s="467" t="inlineStr">
        <is>
          <t>Derived</t>
        </is>
      </c>
      <c r="M98" s="468" t="n">
        <v>1</v>
      </c>
      <c r="N98" s="469" t="inlineStr">
        <is>
          <t>SC</t>
        </is>
      </c>
      <c r="O98" s="469" t="inlineStr">
        <is>
          <t>System and Communication Protection</t>
        </is>
      </c>
      <c r="P98" s="470" t="inlineStr">
        <is>
          <t>SC.L2-3.13.9</t>
        </is>
      </c>
      <c r="Q98" s="456" t="n"/>
      <c r="R98" s="457" t="n"/>
      <c r="S98" s="457" t="n"/>
      <c r="T98" s="457" t="n"/>
      <c r="U98" s="457" t="n"/>
      <c r="V98" s="457" t="n"/>
    </row>
    <row r="99" ht="13.5" customHeight="1" s="566">
      <c r="A99" s="40" t="n"/>
      <c r="B99" s="40" t="n"/>
      <c r="C99" s="40" t="n"/>
      <c r="D99" s="40" t="n"/>
      <c r="E99" s="40" t="n"/>
      <c r="F99" s="40" t="n"/>
      <c r="G99" s="40" t="n"/>
      <c r="H99" s="474" t="n"/>
      <c r="I99" s="475" t="n">
        <v>3.01</v>
      </c>
      <c r="J99" s="477" t="inlineStr">
        <is>
          <t>3.13.10</t>
        </is>
      </c>
      <c r="K99" s="467" t="inlineStr">
        <is>
          <t>03.13.10.0</t>
        </is>
      </c>
      <c r="L99" s="467" t="inlineStr">
        <is>
          <t>Derived</t>
        </is>
      </c>
      <c r="M99" s="468" t="n">
        <v>1</v>
      </c>
      <c r="N99" s="469" t="inlineStr">
        <is>
          <t>SC</t>
        </is>
      </c>
      <c r="O99" s="469" t="inlineStr">
        <is>
          <t>System and Communication Protection</t>
        </is>
      </c>
      <c r="P99" s="470" t="inlineStr">
        <is>
          <t>SC.L2-3.13.10</t>
        </is>
      </c>
      <c r="Q99" s="456" t="n"/>
      <c r="R99" s="457" t="n"/>
      <c r="S99" s="457" t="n"/>
      <c r="T99" s="457" t="n"/>
      <c r="U99" s="457" t="n"/>
      <c r="V99" s="457" t="n"/>
    </row>
    <row r="100" ht="13.5" customHeight="1" s="566">
      <c r="A100" s="40" t="n"/>
      <c r="B100" s="40" t="n"/>
      <c r="C100" s="40" t="n"/>
      <c r="D100" s="40" t="n"/>
      <c r="E100" s="40" t="n"/>
      <c r="F100" s="40" t="n"/>
      <c r="G100" s="40" t="n"/>
      <c r="H100" s="474" t="n"/>
      <c r="I100" s="476" t="n">
        <v>2.22</v>
      </c>
      <c r="J100" s="478" t="inlineStr">
        <is>
          <t>3.13.11</t>
        </is>
      </c>
      <c r="K100" s="467" t="inlineStr">
        <is>
          <t>03.13.11.0</t>
        </is>
      </c>
      <c r="L100" s="467" t="inlineStr">
        <is>
          <t>Derived</t>
        </is>
      </c>
      <c r="M100" s="468" t="n">
        <v>5</v>
      </c>
      <c r="N100" s="469" t="inlineStr">
        <is>
          <t>SC</t>
        </is>
      </c>
      <c r="O100" s="469" t="inlineStr">
        <is>
          <t>System and Communication Protection</t>
        </is>
      </c>
      <c r="P100" s="470" t="inlineStr">
        <is>
          <t>SC.L2-3.13.11</t>
        </is>
      </c>
      <c r="Q100" s="456" t="n"/>
      <c r="R100" s="457" t="n"/>
      <c r="S100" s="457" t="n"/>
      <c r="T100" s="457" t="n"/>
      <c r="U100" s="457" t="n"/>
      <c r="V100" s="457" t="n"/>
    </row>
    <row r="101" ht="13.5" customHeight="1" s="566">
      <c r="A101" s="40" t="n"/>
      <c r="B101" s="40" t="n"/>
      <c r="C101" s="40" t="n"/>
      <c r="D101" s="40" t="n"/>
      <c r="E101" s="40" t="n"/>
      <c r="F101" s="40" t="n"/>
      <c r="G101" s="40" t="n"/>
      <c r="H101" s="474" t="n"/>
      <c r="I101" s="484" t="n">
        <v>4.1</v>
      </c>
      <c r="J101" s="477" t="inlineStr">
        <is>
          <t>3.13.12</t>
        </is>
      </c>
      <c r="K101" s="467" t="inlineStr">
        <is>
          <t>03.13.12.0</t>
        </is>
      </c>
      <c r="L101" s="467" t="inlineStr">
        <is>
          <t>Derived</t>
        </is>
      </c>
      <c r="M101" s="468" t="n">
        <v>1</v>
      </c>
      <c r="N101" s="469" t="inlineStr">
        <is>
          <t>SC</t>
        </is>
      </c>
      <c r="O101" s="469" t="inlineStr">
        <is>
          <t>System and Communication Protection</t>
        </is>
      </c>
      <c r="P101" s="470" t="inlineStr">
        <is>
          <t>SC.L2-3.13.12</t>
        </is>
      </c>
      <c r="Q101" s="456" t="n"/>
      <c r="R101" s="457" t="n"/>
      <c r="S101" s="457" t="n"/>
      <c r="T101" s="457" t="n"/>
      <c r="U101" s="457" t="n"/>
      <c r="V101" s="457" t="n"/>
    </row>
    <row r="102" ht="13.5" customHeight="1" s="566">
      <c r="A102" s="40" t="n"/>
      <c r="B102" s="40" t="n"/>
      <c r="C102" s="40" t="n"/>
      <c r="D102" s="40" t="n"/>
      <c r="E102" s="40" t="n"/>
      <c r="F102" s="40" t="n"/>
      <c r="G102" s="40" t="n"/>
      <c r="H102" s="474" t="n"/>
      <c r="I102" s="473" t="n">
        <v>5.25</v>
      </c>
      <c r="J102" s="477" t="inlineStr">
        <is>
          <t>3.13.13</t>
        </is>
      </c>
      <c r="K102" s="467" t="inlineStr">
        <is>
          <t>03.13.13.0</t>
        </is>
      </c>
      <c r="L102" s="467" t="inlineStr">
        <is>
          <t>Derived</t>
        </is>
      </c>
      <c r="M102" s="468" t="n">
        <v>1</v>
      </c>
      <c r="N102" s="469" t="inlineStr">
        <is>
          <t>SC</t>
        </is>
      </c>
      <c r="O102" s="469" t="inlineStr">
        <is>
          <t>System and Communication Protection</t>
        </is>
      </c>
      <c r="P102" s="470" t="inlineStr">
        <is>
          <t>SC.L2-3.13.13</t>
        </is>
      </c>
      <c r="Q102" s="456" t="n"/>
      <c r="R102" s="457" t="n"/>
      <c r="S102" s="457" t="n"/>
      <c r="T102" s="457" t="n"/>
      <c r="U102" s="457" t="n"/>
      <c r="V102" s="457" t="n"/>
    </row>
    <row r="103" ht="13.5" customHeight="1" s="566">
      <c r="A103" s="40" t="n"/>
      <c r="B103" s="40" t="n"/>
      <c r="C103" s="40" t="n"/>
      <c r="D103" s="40" t="n"/>
      <c r="E103" s="40" t="n"/>
      <c r="F103" s="40" t="n"/>
      <c r="G103" s="40" t="n"/>
      <c r="H103" s="474" t="n"/>
      <c r="I103" s="473" t="n">
        <v>5.26</v>
      </c>
      <c r="J103" s="477" t="inlineStr">
        <is>
          <t>3.13.14</t>
        </is>
      </c>
      <c r="K103" s="467" t="inlineStr">
        <is>
          <t>03.13.14.0</t>
        </is>
      </c>
      <c r="L103" s="467" t="inlineStr">
        <is>
          <t>Derived</t>
        </is>
      </c>
      <c r="M103" s="468" t="n">
        <v>1</v>
      </c>
      <c r="N103" s="469" t="inlineStr">
        <is>
          <t>SC</t>
        </is>
      </c>
      <c r="O103" s="469" t="inlineStr">
        <is>
          <t>System and Communication Protection</t>
        </is>
      </c>
      <c r="P103" s="470" t="inlineStr">
        <is>
          <t>SC.L2-3.13.14</t>
        </is>
      </c>
      <c r="Q103" s="456" t="n"/>
      <c r="R103" s="457" t="n"/>
      <c r="S103" s="457" t="n"/>
      <c r="T103" s="457" t="n"/>
      <c r="U103" s="457" t="n"/>
      <c r="V103" s="457" t="n"/>
    </row>
    <row r="104" ht="13.5" customHeight="1" s="566">
      <c r="A104" s="40" t="n"/>
      <c r="B104" s="40" t="n"/>
      <c r="C104" s="40" t="n"/>
      <c r="D104" s="40" t="n"/>
      <c r="E104" s="40" t="n"/>
      <c r="F104" s="40" t="n"/>
      <c r="G104" s="40" t="n"/>
      <c r="H104" s="474" t="n"/>
      <c r="I104" s="475" t="n">
        <v>3.07</v>
      </c>
      <c r="J104" s="477" t="inlineStr">
        <is>
          <t>3.13.15</t>
        </is>
      </c>
      <c r="K104" s="467" t="inlineStr">
        <is>
          <t>03.13.15.0</t>
        </is>
      </c>
      <c r="L104" s="467" t="inlineStr">
        <is>
          <t>Derived</t>
        </is>
      </c>
      <c r="M104" s="468" t="n">
        <v>5</v>
      </c>
      <c r="N104" s="469" t="inlineStr">
        <is>
          <t>SC</t>
        </is>
      </c>
      <c r="O104" s="469" t="inlineStr">
        <is>
          <t>System and Communication Protection</t>
        </is>
      </c>
      <c r="P104" s="470" t="inlineStr">
        <is>
          <t>SC.L2-3.13.15</t>
        </is>
      </c>
      <c r="Q104" s="456" t="n"/>
      <c r="R104" s="457" t="n"/>
      <c r="S104" s="457" t="n"/>
      <c r="T104" s="457" t="n"/>
      <c r="U104" s="457" t="n"/>
      <c r="V104" s="457" t="n"/>
    </row>
    <row r="105" ht="13.5" customHeight="1" s="566">
      <c r="A105" s="40" t="n"/>
      <c r="B105" s="40" t="n"/>
      <c r="C105" s="40" t="n"/>
      <c r="D105" s="40" t="n"/>
      <c r="E105" s="40" t="n"/>
      <c r="F105" s="40" t="n"/>
      <c r="G105" s="40" t="n"/>
      <c r="H105" s="474" t="n"/>
      <c r="I105" s="473" t="n">
        <v>5.11</v>
      </c>
      <c r="J105" s="477" t="inlineStr">
        <is>
          <t>3.13.16</t>
        </is>
      </c>
      <c r="K105" s="467" t="inlineStr">
        <is>
          <t>03.13.16.0</t>
        </is>
      </c>
      <c r="L105" s="467" t="inlineStr">
        <is>
          <t>Derived</t>
        </is>
      </c>
      <c r="M105" s="468" t="n">
        <v>1</v>
      </c>
      <c r="N105" s="469" t="inlineStr">
        <is>
          <t>SC</t>
        </is>
      </c>
      <c r="O105" s="469" t="inlineStr">
        <is>
          <t>System and Communication Protection</t>
        </is>
      </c>
      <c r="P105" s="470" t="inlineStr">
        <is>
          <t>SC.L2-3.13.16</t>
        </is>
      </c>
      <c r="Q105" s="456" t="n"/>
      <c r="R105" s="457" t="n"/>
      <c r="S105" s="457" t="n"/>
      <c r="T105" s="457" t="n"/>
      <c r="U105" s="457" t="n"/>
      <c r="V105" s="457" t="n"/>
    </row>
    <row r="106" ht="13.5" customHeight="1" s="566">
      <c r="A106" s="40" t="n"/>
      <c r="B106" s="40" t="n"/>
      <c r="C106" s="40" t="n"/>
      <c r="D106" s="40" t="n"/>
      <c r="E106" s="40" t="n"/>
      <c r="F106" s="40" t="n"/>
      <c r="G106" s="40" t="n"/>
      <c r="H106" s="474" t="n"/>
      <c r="I106" s="466" t="n">
        <v>1.08</v>
      </c>
      <c r="J106" s="467" t="inlineStr">
        <is>
          <t>3.14.1</t>
        </is>
      </c>
      <c r="K106" s="467" t="inlineStr">
        <is>
          <t>03.14.01.0</t>
        </is>
      </c>
      <c r="L106" s="467" t="inlineStr">
        <is>
          <t>Basic</t>
        </is>
      </c>
      <c r="M106" s="468" t="n">
        <v>5</v>
      </c>
      <c r="N106" s="469" t="inlineStr">
        <is>
          <t>SI</t>
        </is>
      </c>
      <c r="O106" s="469" t="inlineStr">
        <is>
          <t>System and Information Integrity</t>
        </is>
      </c>
      <c r="P106" s="470" t="inlineStr">
        <is>
          <t>SI.L1-3.14.1</t>
        </is>
      </c>
      <c r="Q106" s="456" t="n"/>
      <c r="R106" s="457" t="n"/>
      <c r="S106" s="457" t="n"/>
      <c r="T106" s="457" t="n"/>
      <c r="U106" s="457" t="n"/>
      <c r="V106" s="457" t="n"/>
    </row>
    <row r="107" ht="13.5" customHeight="1" s="566">
      <c r="A107" s="40" t="n"/>
      <c r="B107" s="40" t="n"/>
      <c r="C107" s="40" t="n"/>
      <c r="D107" s="40" t="n"/>
      <c r="E107" s="40" t="n"/>
      <c r="F107" s="40" t="n"/>
      <c r="G107" s="40" t="n"/>
      <c r="H107" s="474" t="n"/>
      <c r="I107" s="466" t="n">
        <v>1.09</v>
      </c>
      <c r="J107" s="467" t="inlineStr">
        <is>
          <t>3.14.2</t>
        </is>
      </c>
      <c r="K107" s="467" t="inlineStr">
        <is>
          <t>03.14.02.0</t>
        </is>
      </c>
      <c r="L107" s="467" t="inlineStr">
        <is>
          <t>Basic</t>
        </is>
      </c>
      <c r="M107" s="468" t="n">
        <v>5</v>
      </c>
      <c r="N107" s="469" t="inlineStr">
        <is>
          <t>SI</t>
        </is>
      </c>
      <c r="O107" s="469" t="inlineStr">
        <is>
          <t>System and Information Integrity</t>
        </is>
      </c>
      <c r="P107" s="470" t="inlineStr">
        <is>
          <t>SI.L1-3.14.2</t>
        </is>
      </c>
      <c r="Q107" s="456" t="n"/>
      <c r="R107" s="457" t="n"/>
      <c r="S107" s="457" t="n"/>
      <c r="T107" s="457" t="n"/>
      <c r="U107" s="457" t="n"/>
      <c r="V107" s="457" t="n"/>
    </row>
    <row r="108" ht="13.5" customHeight="1" s="566">
      <c r="A108" s="40" t="n"/>
      <c r="B108" s="40" t="n"/>
      <c r="C108" s="40" t="n"/>
      <c r="D108" s="40" t="n"/>
      <c r="E108" s="40" t="n"/>
      <c r="F108" s="40" t="n"/>
      <c r="G108" s="40" t="n"/>
      <c r="H108" s="474" t="n"/>
      <c r="I108" s="475" t="n">
        <v>3.08</v>
      </c>
      <c r="J108" s="467" t="inlineStr">
        <is>
          <t>3.14.3</t>
        </is>
      </c>
      <c r="K108" s="467" t="inlineStr">
        <is>
          <t>03.14.03.0</t>
        </is>
      </c>
      <c r="L108" s="467" t="inlineStr">
        <is>
          <t>Basic</t>
        </is>
      </c>
      <c r="M108" s="468" t="n">
        <v>5</v>
      </c>
      <c r="N108" s="469" t="inlineStr">
        <is>
          <t>SI</t>
        </is>
      </c>
      <c r="O108" s="469" t="inlineStr">
        <is>
          <t>System and Information Integrity</t>
        </is>
      </c>
      <c r="P108" s="470" t="inlineStr">
        <is>
          <t>SI.L2-3.14.3</t>
        </is>
      </c>
      <c r="Q108" s="456" t="n"/>
      <c r="R108" s="457" t="n"/>
      <c r="S108" s="457" t="n"/>
      <c r="T108" s="457" t="n"/>
      <c r="U108" s="457" t="n"/>
      <c r="V108" s="457" t="n"/>
    </row>
    <row r="109" ht="13.5" customHeight="1" s="566">
      <c r="A109" s="40" t="n"/>
      <c r="B109" s="40" t="n"/>
      <c r="C109" s="40" t="n"/>
      <c r="D109" s="40" t="n"/>
      <c r="E109" s="40" t="n"/>
      <c r="F109" s="40" t="n"/>
      <c r="G109" s="40" t="n"/>
      <c r="H109" s="474" t="n"/>
      <c r="I109" s="466" t="n">
        <v>1.1</v>
      </c>
      <c r="J109" s="467" t="inlineStr">
        <is>
          <t>3.14.4</t>
        </is>
      </c>
      <c r="K109" s="467" t="inlineStr">
        <is>
          <t>03.14.04.0</t>
        </is>
      </c>
      <c r="L109" s="467" t="inlineStr">
        <is>
          <t>Derived</t>
        </is>
      </c>
      <c r="M109" s="468" t="n">
        <v>5</v>
      </c>
      <c r="N109" s="469" t="inlineStr">
        <is>
          <t>SI</t>
        </is>
      </c>
      <c r="O109" s="469" t="inlineStr">
        <is>
          <t>System and Information Integrity</t>
        </is>
      </c>
      <c r="P109" s="470" t="inlineStr">
        <is>
          <t>SI.L1-3.14.4</t>
        </is>
      </c>
      <c r="Q109" s="456" t="n"/>
      <c r="R109" s="457" t="n"/>
      <c r="S109" s="457" t="n"/>
      <c r="T109" s="457" t="n"/>
      <c r="U109" s="457" t="n"/>
      <c r="V109" s="457" t="n"/>
    </row>
    <row r="110" ht="13.5" customHeight="1" s="566">
      <c r="A110" s="40" t="n"/>
      <c r="B110" s="40" t="n"/>
      <c r="C110" s="40" t="n"/>
      <c r="D110" s="40" t="n"/>
      <c r="E110" s="40" t="n"/>
      <c r="F110" s="40" t="n"/>
      <c r="G110" s="40" t="n"/>
      <c r="H110" s="474" t="n"/>
      <c r="I110" s="466" t="n">
        <v>1.11</v>
      </c>
      <c r="J110" s="478" t="inlineStr">
        <is>
          <t>3.14.5</t>
        </is>
      </c>
      <c r="K110" s="467" t="inlineStr">
        <is>
          <t>03.14.05.0</t>
        </is>
      </c>
      <c r="L110" s="467" t="inlineStr">
        <is>
          <t>Derived</t>
        </is>
      </c>
      <c r="M110" s="468" t="n">
        <v>3</v>
      </c>
      <c r="N110" s="469" t="inlineStr">
        <is>
          <t>SI</t>
        </is>
      </c>
      <c r="O110" s="469" t="inlineStr">
        <is>
          <t>System and Information Integrity</t>
        </is>
      </c>
      <c r="P110" s="470" t="inlineStr">
        <is>
          <t>SI.L1-3.14.5</t>
        </is>
      </c>
      <c r="Q110" s="456" t="n"/>
      <c r="R110" s="457" t="n"/>
      <c r="S110" s="457" t="n"/>
      <c r="T110" s="457" t="n"/>
      <c r="U110" s="457" t="n"/>
      <c r="V110" s="457" t="n"/>
    </row>
    <row r="111" ht="13.5" customHeight="1" s="566">
      <c r="A111" s="40" t="n"/>
      <c r="B111" s="40" t="n"/>
      <c r="C111" s="40" t="n"/>
      <c r="D111" s="40" t="n"/>
      <c r="E111" s="40" t="n"/>
      <c r="F111" s="40" t="n"/>
      <c r="G111" s="40" t="n"/>
      <c r="H111" s="474" t="n"/>
      <c r="I111" s="475" t="n">
        <v>3.09</v>
      </c>
      <c r="J111" s="467" t="inlineStr">
        <is>
          <t>3.14.6</t>
        </is>
      </c>
      <c r="K111" s="467" t="inlineStr">
        <is>
          <t>03.14.06.0</t>
        </is>
      </c>
      <c r="L111" s="467" t="inlineStr">
        <is>
          <t>Derived</t>
        </is>
      </c>
      <c r="M111" s="468" t="n">
        <v>5</v>
      </c>
      <c r="N111" s="469" t="inlineStr">
        <is>
          <t>SI</t>
        </is>
      </c>
      <c r="O111" s="469" t="inlineStr">
        <is>
          <t>System and Information Integrity</t>
        </is>
      </c>
      <c r="P111" s="470" t="inlineStr">
        <is>
          <t>SI.L2-3.14.6</t>
        </is>
      </c>
      <c r="Q111" s="456" t="n"/>
      <c r="R111" s="457" t="n"/>
      <c r="S111" s="457" t="n"/>
      <c r="T111" s="457" t="n"/>
      <c r="U111" s="457" t="n"/>
      <c r="V111" s="457" t="n"/>
    </row>
    <row r="112" ht="16.5" customHeight="1" s="566">
      <c r="A112" s="40" t="n"/>
      <c r="B112" s="40" t="n"/>
      <c r="C112" s="40" t="n"/>
      <c r="D112" s="40" t="n"/>
      <c r="E112" s="40" t="n"/>
      <c r="F112" s="40" t="n"/>
      <c r="G112" s="40" t="n"/>
      <c r="H112" s="474" t="n"/>
      <c r="I112" s="491" t="n">
        <v>4.05</v>
      </c>
      <c r="J112" s="492" t="inlineStr">
        <is>
          <t>3.14.7</t>
        </is>
      </c>
      <c r="K112" s="492" t="inlineStr">
        <is>
          <t>03.14.07.0</t>
        </is>
      </c>
      <c r="L112" s="492" t="inlineStr">
        <is>
          <t>Derived</t>
        </is>
      </c>
      <c r="M112" s="493" t="n">
        <v>3</v>
      </c>
      <c r="N112" s="480" t="inlineStr">
        <is>
          <t>SI</t>
        </is>
      </c>
      <c r="O112" s="480" t="inlineStr">
        <is>
          <t>System and Information Integrity</t>
        </is>
      </c>
      <c r="P112" s="481" t="inlineStr">
        <is>
          <t>SI.L2-3.14.7</t>
        </is>
      </c>
      <c r="Q112" s="456" t="n"/>
      <c r="R112" s="457" t="n"/>
      <c r="S112" s="457" t="n"/>
      <c r="T112" s="457" t="n"/>
      <c r="U112" s="457" t="n"/>
      <c r="V112" s="457" t="n"/>
    </row>
    <row r="113" ht="15.75" customHeight="1" s="566">
      <c r="A113" s="40" t="n"/>
      <c r="B113" s="40" t="n"/>
      <c r="C113" s="40" t="n"/>
      <c r="D113" s="40" t="n"/>
      <c r="E113" s="40" t="n"/>
      <c r="F113" s="40" t="n"/>
      <c r="G113" s="40" t="n"/>
      <c r="H113" s="40" t="n"/>
      <c r="I113" s="482" t="n"/>
      <c r="J113" s="482" t="n"/>
      <c r="K113" s="482" t="n"/>
      <c r="L113" s="494" t="n"/>
      <c r="M113" s="495" t="n"/>
      <c r="N113" s="496" t="n"/>
      <c r="O113" s="482" t="n"/>
      <c r="P113" s="482" t="n"/>
      <c r="Q113" s="457" t="n"/>
      <c r="R113" s="457" t="n"/>
      <c r="S113" s="457" t="n"/>
      <c r="T113" s="457" t="n"/>
      <c r="U113" s="457" t="n"/>
      <c r="V113" s="457" t="n"/>
    </row>
    <row r="114" ht="15.75" customHeight="1" s="566">
      <c r="A114" s="40" t="n"/>
      <c r="B114" s="40" t="n"/>
      <c r="C114" s="40" t="n"/>
      <c r="D114" s="40" t="n"/>
      <c r="E114" s="40" t="n"/>
      <c r="F114" s="40" t="n"/>
      <c r="G114" s="40" t="n"/>
      <c r="H114" s="40" t="n"/>
      <c r="I114" s="40" t="n"/>
      <c r="J114" s="40" t="n"/>
      <c r="K114" s="40" t="n"/>
      <c r="L114" s="40" t="n"/>
      <c r="M114" s="497" t="n"/>
      <c r="N114" s="40" t="n"/>
      <c r="O114" s="40" t="n"/>
      <c r="P114" s="40" t="n"/>
      <c r="Q114" s="40" t="n"/>
      <c r="R114" s="40" t="n"/>
      <c r="S114" s="40" t="n"/>
      <c r="T114" s="40" t="n"/>
      <c r="U114" s="40" t="n"/>
      <c r="V114" s="40" t="n"/>
    </row>
    <row r="115" ht="60" customHeight="1" s="566">
      <c r="A115" s="40" t="n"/>
      <c r="B115" s="40" t="n"/>
      <c r="C115" s="40" t="n"/>
      <c r="D115" s="40" t="n"/>
      <c r="E115" s="40" t="n"/>
      <c r="F115" s="40" t="n"/>
      <c r="G115" s="40" t="n"/>
      <c r="H115" s="40" t="n"/>
      <c r="I115" s="40" t="n"/>
      <c r="J115" s="40" t="n"/>
      <c r="K115" s="40" t="n"/>
      <c r="L115" s="40" t="n"/>
      <c r="M115" s="40" t="n"/>
      <c r="N115" s="40" t="n"/>
      <c r="O115" s="40" t="n"/>
      <c r="P115" s="457" t="n"/>
      <c r="Q115" s="457" t="n"/>
      <c r="R115" s="40" t="n"/>
      <c r="S115" s="40" t="n"/>
      <c r="T115" s="40" t="n"/>
      <c r="U115" s="40" t="n"/>
      <c r="V115" s="40" t="n"/>
    </row>
  </sheetData>
  <mergeCells count="5">
    <mergeCell ref="C22:G41"/>
    <mergeCell ref="U2:V2"/>
    <mergeCell ref="C17:G21"/>
    <mergeCell ref="C15:G16"/>
    <mergeCell ref="C1:G14"/>
  </mergeCells>
  <pageMargins left="0.7" right="0.7" top="0.75" bottom="0.75" header="0.3" footer="0.3"/>
  <pageSetup orientation="portrait"/>
  <headerFooter>
    <oddHeader/>
    <oddFooter>&amp;C&amp;"Helvetica Neue,Regular"&amp;12 &amp;K000000&amp;P</oddFooter>
    <evenHeader/>
    <evenFooter/>
    <firstHeader/>
    <firstFooter/>
  </headerFooter>
  <drawing xmlns:r="http://schemas.openxmlformats.org/officeDocument/2006/relationships" r:id="rId1"/>
</worksheet>
</file>

<file path=xl/worksheets/sheet25.xml><?xml version="1.0" encoding="utf-8"?>
<worksheet xmlns="http://schemas.openxmlformats.org/spreadsheetml/2006/main">
  <sheetPr>
    <outlinePr summaryBelow="1" summaryRight="1"/>
    <pageSetUpPr/>
  </sheetPr>
  <dimension ref="A1:E10"/>
  <sheetViews>
    <sheetView showGridLines="0" workbookViewId="0">
      <selection activeCell="A1" sqref="A1"/>
    </sheetView>
  </sheetViews>
  <sheetFormatPr baseColWidth="8" defaultColWidth="9" defaultRowHeight="12.75" customHeight="1"/>
  <cols>
    <col width="9.33203125" customWidth="1" style="1" min="1" max="1"/>
    <col width="106.83203125" customWidth="1" style="1" min="2" max="2"/>
    <col width="9" customWidth="1" style="1" min="3" max="6"/>
    <col width="9" customWidth="1" style="1" min="7" max="16384"/>
  </cols>
  <sheetData>
    <row r="1" ht="13.5" customHeight="1" s="566">
      <c r="A1" s="498" t="inlineStr">
        <is>
          <t>Version</t>
        </is>
      </c>
      <c r="B1" s="498" t="inlineStr">
        <is>
          <t>Change(s)</t>
        </is>
      </c>
      <c r="C1" s="81" t="n"/>
      <c r="D1" s="81" t="n"/>
      <c r="E1" s="81" t="n"/>
    </row>
    <row r="2" ht="13.5" customHeight="1" s="566">
      <c r="A2" s="499" t="n">
        <v>44686</v>
      </c>
      <c r="B2" s="498" t="inlineStr">
        <is>
          <t>Added Media Library and Media Access Log Worksheets</t>
        </is>
      </c>
      <c r="C2" s="81" t="n"/>
      <c r="D2" s="81" t="n"/>
      <c r="E2" s="81" t="n"/>
    </row>
    <row r="3" ht="38.25" customHeight="1" s="566">
      <c r="A3" s="498" t="inlineStr">
        <is>
          <t>2022-08a</t>
        </is>
      </c>
      <c r="B3" s="486" t="inlineStr">
        <is>
          <t>Added DIY/Outsource/Hybrid deisgnations to Requirements and Objectives; Added missing objective in 3.12.1; Added Roles worksheet; Added the Privileged Accounts worksheet; Added fields to the Hardware and Software Inventory Worksheets; Added the CUI Sources and Destinations Worksheet.</t>
        </is>
      </c>
      <c r="C3" s="81" t="n"/>
      <c r="D3" s="81" t="n"/>
      <c r="E3" s="81" t="n"/>
    </row>
    <row r="4" ht="13.5" customHeight="1" s="566">
      <c r="A4" s="498" t="inlineStr">
        <is>
          <t>2022-08b</t>
        </is>
      </c>
      <c r="B4" s="498" t="inlineStr">
        <is>
          <t>Added date reviewed and reviewed by fields to many of the worksheets.</t>
        </is>
      </c>
      <c r="C4" s="81" t="n"/>
      <c r="D4" s="81" t="n"/>
      <c r="E4" s="81" t="n"/>
    </row>
    <row r="5" ht="13.5" customHeight="1" s="566">
      <c r="A5" s="498" t="inlineStr">
        <is>
          <t>2022-08v</t>
        </is>
      </c>
      <c r="B5" s="498" t="inlineStr">
        <is>
          <t>Added user account creation and termination date fields.</t>
        </is>
      </c>
      <c r="C5" s="81" t="n"/>
      <c r="D5" s="81" t="n"/>
      <c r="E5" s="81" t="n"/>
    </row>
    <row r="6" ht="13.5" customHeight="1" s="566">
      <c r="A6" s="498" t="inlineStr">
        <is>
          <t>2023.02a</t>
        </is>
      </c>
      <c r="B6" s="498" t="inlineStr">
        <is>
          <t>Added automated FAR and Above and SPRS scoring to the SSP page.  Fixed an error in previous score calculation.  Reorganized worksheet tabs and added color to simply navigation.  Reorganized the Introduction tab and added explanatory information.</t>
        </is>
      </c>
      <c r="C6" s="81" t="n"/>
      <c r="D6" s="81" t="n"/>
      <c r="E6" s="81" t="n"/>
    </row>
    <row r="7" ht="13.5" customHeight="1" s="566">
      <c r="A7" s="81" t="n"/>
      <c r="B7" s="81" t="n"/>
      <c r="C7" s="81" t="n"/>
      <c r="D7" s="81" t="n"/>
      <c r="E7" s="81" t="n"/>
    </row>
    <row r="8" ht="13.5" customHeight="1" s="566">
      <c r="A8" s="81" t="n"/>
      <c r="B8" s="81" t="n"/>
      <c r="C8" s="81" t="n"/>
      <c r="D8" s="81" t="n"/>
      <c r="E8" s="81" t="n"/>
    </row>
    <row r="9" ht="13.5" customHeight="1" s="566">
      <c r="A9" s="81" t="n"/>
      <c r="B9" s="81" t="n"/>
      <c r="C9" s="81" t="n"/>
      <c r="D9" s="81" t="n"/>
      <c r="E9" s="81" t="n"/>
    </row>
    <row r="10" ht="13.5" customHeight="1" s="566">
      <c r="A10" s="81" t="n"/>
      <c r="B10" s="81" t="n"/>
      <c r="C10" s="81" t="n"/>
      <c r="D10" s="81" t="n"/>
      <c r="E10" s="81" t="n"/>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2026-03-03T22:59:09Z</dcterms:created>
  <dcterms:modified xmlns:dcterms="http://purl.org/dc/terms/" xmlns:xsi="http://www.w3.org/2001/XMLSchema-instance" xsi:type="dcterms:W3CDTF">2026-04-17T14:20:17Z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0x0101003DB39BC51F419E4DA51DDA55B8B3DED1</vt:lpwstr>
  </property>
  <property name="MediaServiceImageTags" fmtid="{D5CDD505-2E9C-101B-9397-08002B2CF9AE}" pid="3">
    <vt:lpwstr xmlns:vt="http://schemas.openxmlformats.org/officeDocument/2006/docPropsVTypes"/>
  </property>
</Properties>
</file>